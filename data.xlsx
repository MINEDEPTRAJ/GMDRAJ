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k\Desktop\My Projects New\MY PROJECT\"/>
    </mc:Choice>
  </mc:AlternateContent>
  <xr:revisionPtr revIDLastSave="0" documentId="13_ncr:1_{210E26E6-58A6-4E9F-BCD2-51337C65E5A1}" xr6:coauthVersionLast="47" xr6:coauthVersionMax="47" xr10:uidLastSave="{00000000-0000-0000-0000-000000000000}"/>
  <bookViews>
    <workbookView xWindow="-120" yWindow="-120" windowWidth="20730" windowHeight="11040" xr2:uid="{CD8F0B71-79B1-40C9-A2D5-894CEF5A2152}"/>
  </bookViews>
  <sheets>
    <sheet name="Sheet1" sheetId="1" r:id="rId1"/>
    <sheet name="Sheet2" sheetId="2" r:id="rId2"/>
  </sheets>
  <definedNames>
    <definedName name="_xlnm._FilterDatabase" localSheetId="0" hidden="1">Sheet1!$A$1:$P$2362</definedName>
    <definedName name="BD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2313" i="1" l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L2312" i="1"/>
  <c r="K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C2312" i="1"/>
  <c r="B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12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243" i="1"/>
  <c r="I2244" i="1" a="1"/>
  <c r="I2244" i="1" s="1"/>
  <c r="J2244" i="1" a="1"/>
  <c r="J2244" i="1" s="1"/>
  <c r="I2245" i="1" a="1"/>
  <c r="I2245" i="1" s="1"/>
  <c r="J2245" i="1" a="1"/>
  <c r="J2245" i="1" s="1"/>
  <c r="I2246" i="1" a="1"/>
  <c r="I2246" i="1" s="1"/>
  <c r="J2246" i="1" a="1"/>
  <c r="J2246" i="1" s="1"/>
  <c r="I2247" i="1" a="1"/>
  <c r="I2247" i="1" s="1"/>
  <c r="J2247" i="1" a="1"/>
  <c r="J2247" i="1" s="1"/>
  <c r="I2248" i="1" a="1"/>
  <c r="I2248" i="1" s="1"/>
  <c r="J2248" i="1" a="1"/>
  <c r="J2248" i="1" s="1"/>
  <c r="I2249" i="1" a="1"/>
  <c r="I2249" i="1" s="1"/>
  <c r="J2249" i="1" a="1"/>
  <c r="J2249" i="1" s="1"/>
  <c r="I2250" i="1" a="1"/>
  <c r="I2250" i="1" s="1"/>
  <c r="J2250" i="1" a="1"/>
  <c r="J2250" i="1" s="1"/>
  <c r="I2251" i="1" a="1"/>
  <c r="I2251" i="1" s="1"/>
  <c r="J2251" i="1" a="1"/>
  <c r="J2251" i="1" s="1"/>
  <c r="I2252" i="1" a="1"/>
  <c r="I2252" i="1" s="1"/>
  <c r="J2252" i="1" a="1"/>
  <c r="J2252" i="1" s="1"/>
  <c r="I2253" i="1" a="1"/>
  <c r="I2253" i="1" s="1"/>
  <c r="J2253" i="1" a="1"/>
  <c r="J2253" i="1" s="1"/>
  <c r="I2254" i="1" a="1"/>
  <c r="I2254" i="1" s="1"/>
  <c r="J2254" i="1" a="1"/>
  <c r="J2254" i="1" s="1"/>
  <c r="I2255" i="1" a="1"/>
  <c r="I2255" i="1" s="1"/>
  <c r="J2255" i="1" a="1"/>
  <c r="J2255" i="1" s="1"/>
  <c r="I2256" i="1" a="1"/>
  <c r="I2256" i="1" s="1"/>
  <c r="J2256" i="1" a="1"/>
  <c r="J2256" i="1" s="1"/>
  <c r="I2257" i="1" a="1"/>
  <c r="I2257" i="1" s="1"/>
  <c r="J2257" i="1" a="1"/>
  <c r="J2257" i="1" s="1"/>
  <c r="I2258" i="1" a="1"/>
  <c r="I2258" i="1" s="1"/>
  <c r="J2258" i="1" a="1"/>
  <c r="J2258" i="1" s="1"/>
  <c r="I2259" i="1" a="1"/>
  <c r="I2259" i="1" s="1"/>
  <c r="J2259" i="1" a="1"/>
  <c r="J2259" i="1" s="1"/>
  <c r="I2260" i="1" a="1"/>
  <c r="I2260" i="1" s="1"/>
  <c r="J2260" i="1" a="1"/>
  <c r="J2260" i="1" s="1"/>
  <c r="I2261" i="1" a="1"/>
  <c r="I2261" i="1" s="1"/>
  <c r="J2261" i="1" a="1"/>
  <c r="J2261" i="1" s="1"/>
  <c r="I2262" i="1" a="1"/>
  <c r="I2262" i="1" s="1"/>
  <c r="J2262" i="1" a="1"/>
  <c r="J2262" i="1" s="1"/>
  <c r="I2263" i="1" a="1"/>
  <c r="I2263" i="1" s="1"/>
  <c r="J2263" i="1" a="1"/>
  <c r="J2263" i="1" s="1"/>
  <c r="I2264" i="1" a="1"/>
  <c r="I2264" i="1" s="1"/>
  <c r="J2264" i="1" a="1"/>
  <c r="J2264" i="1" s="1"/>
  <c r="I2265" i="1" a="1"/>
  <c r="I2265" i="1" s="1"/>
  <c r="J2265" i="1" a="1"/>
  <c r="J2265" i="1" s="1"/>
  <c r="I2266" i="1" a="1"/>
  <c r="I2266" i="1" s="1"/>
  <c r="J2266" i="1" a="1"/>
  <c r="J2266" i="1" s="1"/>
  <c r="I2267" i="1" a="1"/>
  <c r="I2267" i="1" s="1"/>
  <c r="J2267" i="1" a="1"/>
  <c r="J2267" i="1" s="1"/>
  <c r="I2268" i="1" a="1"/>
  <c r="I2268" i="1" s="1"/>
  <c r="J2268" i="1" a="1"/>
  <c r="J2268" i="1" s="1"/>
  <c r="I2269" i="1" a="1"/>
  <c r="I2269" i="1" s="1"/>
  <c r="J2269" i="1" a="1"/>
  <c r="J2269" i="1" s="1"/>
  <c r="I2270" i="1" a="1"/>
  <c r="I2270" i="1" s="1"/>
  <c r="J2270" i="1" a="1"/>
  <c r="J2270" i="1" s="1"/>
  <c r="I2271" i="1" a="1"/>
  <c r="I2271" i="1" s="1"/>
  <c r="J2271" i="1" a="1"/>
  <c r="J2271" i="1" s="1"/>
  <c r="I2272" i="1" a="1"/>
  <c r="I2272" i="1" s="1"/>
  <c r="J2272" i="1" a="1"/>
  <c r="J2272" i="1" s="1"/>
  <c r="I2273" i="1" a="1"/>
  <c r="I2273" i="1" s="1"/>
  <c r="J2273" i="1" a="1"/>
  <c r="J2273" i="1" s="1"/>
  <c r="I2274" i="1" a="1"/>
  <c r="I2274" i="1" s="1"/>
  <c r="J2274" i="1" a="1"/>
  <c r="J2274" i="1" s="1"/>
  <c r="I2275" i="1" a="1"/>
  <c r="I2275" i="1" s="1"/>
  <c r="J2275" i="1" a="1"/>
  <c r="J2275" i="1" s="1"/>
  <c r="I2276" i="1" a="1"/>
  <c r="I2276" i="1" s="1"/>
  <c r="J2276" i="1" a="1"/>
  <c r="J2276" i="1" s="1"/>
  <c r="I2277" i="1" a="1"/>
  <c r="I2277" i="1" s="1"/>
  <c r="J2277" i="1" a="1"/>
  <c r="J2277" i="1" s="1"/>
  <c r="I2278" i="1" a="1"/>
  <c r="I2278" i="1" s="1"/>
  <c r="J2278" i="1" a="1"/>
  <c r="J2278" i="1" s="1"/>
  <c r="I2279" i="1" a="1"/>
  <c r="I2279" i="1" s="1"/>
  <c r="J2279" i="1" a="1"/>
  <c r="J2279" i="1" s="1"/>
  <c r="I2280" i="1" a="1"/>
  <c r="I2280" i="1" s="1"/>
  <c r="J2280" i="1" a="1"/>
  <c r="J2280" i="1" s="1"/>
  <c r="I2281" i="1" a="1"/>
  <c r="I2281" i="1" s="1"/>
  <c r="J2281" i="1" a="1"/>
  <c r="J2281" i="1" s="1"/>
  <c r="I2282" i="1" a="1"/>
  <c r="I2282" i="1" s="1"/>
  <c r="J2282" i="1" a="1"/>
  <c r="J2282" i="1" s="1"/>
  <c r="I2283" i="1" a="1"/>
  <c r="I2283" i="1" s="1"/>
  <c r="J2283" i="1" a="1"/>
  <c r="J2283" i="1" s="1"/>
  <c r="I2284" i="1" a="1"/>
  <c r="I2284" i="1" s="1"/>
  <c r="J2284" i="1" a="1"/>
  <c r="J2284" i="1" s="1"/>
  <c r="I2285" i="1" a="1"/>
  <c r="I2285" i="1" s="1"/>
  <c r="J2285" i="1" a="1"/>
  <c r="J2285" i="1" s="1"/>
  <c r="I2286" i="1" a="1"/>
  <c r="I2286" i="1" s="1"/>
  <c r="J2286" i="1" a="1"/>
  <c r="J2286" i="1" s="1"/>
  <c r="I2287" i="1" a="1"/>
  <c r="I2287" i="1" s="1"/>
  <c r="J2287" i="1" a="1"/>
  <c r="J2287" i="1" s="1"/>
  <c r="I2288" i="1" a="1"/>
  <c r="I2288" i="1" s="1"/>
  <c r="J2288" i="1" a="1"/>
  <c r="J2288" i="1" s="1"/>
  <c r="I2289" i="1" a="1"/>
  <c r="I2289" i="1" s="1"/>
  <c r="J2289" i="1" a="1"/>
  <c r="J2289" i="1" s="1"/>
  <c r="I2290" i="1" a="1"/>
  <c r="I2290" i="1" s="1"/>
  <c r="J2290" i="1" a="1"/>
  <c r="J2290" i="1" s="1"/>
  <c r="I2291" i="1" a="1"/>
  <c r="I2291" i="1" s="1"/>
  <c r="J2291" i="1" a="1"/>
  <c r="J2291" i="1" s="1"/>
  <c r="I2292" i="1" a="1"/>
  <c r="I2292" i="1" s="1"/>
  <c r="J2292" i="1" a="1"/>
  <c r="J2292" i="1" s="1"/>
  <c r="I2293" i="1" a="1"/>
  <c r="I2293" i="1" s="1"/>
  <c r="J2293" i="1" a="1"/>
  <c r="J2293" i="1" s="1"/>
  <c r="I2294" i="1" a="1"/>
  <c r="I2294" i="1" s="1"/>
  <c r="J2294" i="1" a="1"/>
  <c r="J2294" i="1" s="1"/>
  <c r="I2295" i="1" a="1"/>
  <c r="I2295" i="1" s="1"/>
  <c r="J2295" i="1" a="1"/>
  <c r="J2295" i="1" s="1"/>
  <c r="I2296" i="1" a="1"/>
  <c r="I2296" i="1" s="1"/>
  <c r="J2296" i="1" a="1"/>
  <c r="J2296" i="1" s="1"/>
  <c r="I2297" i="1" a="1"/>
  <c r="I2297" i="1" s="1"/>
  <c r="J2297" i="1" a="1"/>
  <c r="J2297" i="1" s="1"/>
  <c r="I2298" i="1" a="1"/>
  <c r="I2298" i="1" s="1"/>
  <c r="J2298" i="1" a="1"/>
  <c r="J2298" i="1" s="1"/>
  <c r="I2299" i="1" a="1"/>
  <c r="I2299" i="1" s="1"/>
  <c r="J2299" i="1" a="1"/>
  <c r="J2299" i="1" s="1"/>
  <c r="I2300" i="1" a="1"/>
  <c r="I2300" i="1" s="1"/>
  <c r="J2300" i="1" a="1"/>
  <c r="J2300" i="1" s="1"/>
  <c r="I2301" i="1" a="1"/>
  <c r="I2301" i="1" s="1"/>
  <c r="J2301" i="1" a="1"/>
  <c r="J2301" i="1" s="1"/>
  <c r="I2302" i="1" a="1"/>
  <c r="I2302" i="1" s="1"/>
  <c r="J2302" i="1" a="1"/>
  <c r="J2302" i="1" s="1"/>
  <c r="I2303" i="1" a="1"/>
  <c r="I2303" i="1" s="1"/>
  <c r="J2303" i="1" a="1"/>
  <c r="J2303" i="1" s="1"/>
  <c r="I2304" i="1" a="1"/>
  <c r="I2304" i="1" s="1"/>
  <c r="J2304" i="1" a="1"/>
  <c r="J2304" i="1" s="1"/>
  <c r="I2305" i="1" a="1"/>
  <c r="I2305" i="1" s="1"/>
  <c r="J2305" i="1" a="1"/>
  <c r="J2305" i="1" s="1"/>
  <c r="I2306" i="1" a="1"/>
  <c r="I2306" i="1" s="1"/>
  <c r="J2306" i="1" a="1"/>
  <c r="J2306" i="1" s="1"/>
  <c r="I2307" i="1" a="1"/>
  <c r="I2307" i="1" s="1"/>
  <c r="J2307" i="1" a="1"/>
  <c r="J2307" i="1" s="1"/>
  <c r="I2308" i="1" a="1"/>
  <c r="I2308" i="1" s="1"/>
  <c r="J2308" i="1" a="1"/>
  <c r="J2308" i="1" s="1"/>
  <c r="I2309" i="1" a="1"/>
  <c r="I2309" i="1" s="1"/>
  <c r="J2309" i="1" a="1"/>
  <c r="J2309" i="1" s="1"/>
  <c r="I2310" i="1" a="1"/>
  <c r="I2310" i="1" s="1"/>
  <c r="J2310" i="1" a="1"/>
  <c r="J2310" i="1" s="1"/>
  <c r="I2311" i="1" a="1"/>
  <c r="I2311" i="1" s="1"/>
  <c r="J2311" i="1" a="1"/>
  <c r="J2311" i="1" s="1"/>
  <c r="J2243" i="1" a="1"/>
  <c r="J2243" i="1" s="1"/>
  <c r="I2243" i="1" a="1"/>
  <c r="I2243" i="1" s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C2245" i="1"/>
  <c r="B2245" i="1"/>
  <c r="C2244" i="1"/>
  <c r="B2244" i="1"/>
  <c r="C2243" i="1"/>
  <c r="B2243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I2202" i="1" a="1"/>
  <c r="I2202" i="1" s="1"/>
  <c r="I2203" i="1" a="1"/>
  <c r="I2203" i="1" s="1"/>
  <c r="I2204" i="1" a="1"/>
  <c r="I2204" i="1" s="1"/>
  <c r="I2205" i="1" a="1"/>
  <c r="I2205" i="1" s="1"/>
  <c r="I2206" i="1" a="1"/>
  <c r="I2206" i="1" s="1"/>
  <c r="I2207" i="1" a="1"/>
  <c r="I2207" i="1" s="1"/>
  <c r="I2208" i="1" a="1"/>
  <c r="I2208" i="1" s="1"/>
  <c r="I2209" i="1" a="1"/>
  <c r="I2209" i="1" s="1"/>
  <c r="I2210" i="1" a="1"/>
  <c r="I2210" i="1" s="1"/>
  <c r="I2211" i="1" a="1"/>
  <c r="I2211" i="1" s="1"/>
  <c r="I2212" i="1" a="1"/>
  <c r="I2212" i="1" s="1"/>
  <c r="I2213" i="1" a="1"/>
  <c r="I2213" i="1" s="1"/>
  <c r="I2214" i="1" a="1"/>
  <c r="I2214" i="1" s="1"/>
  <c r="I2215" i="1" a="1"/>
  <c r="I2215" i="1" s="1"/>
  <c r="I2216" i="1" a="1"/>
  <c r="I2216" i="1" s="1"/>
  <c r="I2217" i="1" a="1"/>
  <c r="I2217" i="1" s="1"/>
  <c r="I2218" i="1" a="1"/>
  <c r="I2218" i="1" s="1"/>
  <c r="I2219" i="1" a="1"/>
  <c r="I2219" i="1" s="1"/>
  <c r="I2220" i="1" a="1"/>
  <c r="I2220" i="1" s="1"/>
  <c r="I2221" i="1" a="1"/>
  <c r="I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 s="1"/>
  <c r="I2227" i="1" a="1"/>
  <c r="I2227" i="1" s="1"/>
  <c r="I2228" i="1" a="1"/>
  <c r="I2228" i="1" s="1"/>
  <c r="I2229" i="1" a="1"/>
  <c r="I2229" i="1" s="1"/>
  <c r="I2230" i="1" a="1"/>
  <c r="I2230" i="1" s="1"/>
  <c r="I2231" i="1" a="1"/>
  <c r="I2231" i="1" s="1"/>
  <c r="I2232" i="1" a="1"/>
  <c r="I2232" i="1" s="1"/>
  <c r="I2233" i="1" a="1"/>
  <c r="I2233" i="1" s="1"/>
  <c r="I2234" i="1" a="1"/>
  <c r="I2234" i="1" s="1"/>
  <c r="I2235" i="1" a="1"/>
  <c r="I2235" i="1" s="1"/>
  <c r="I2236" i="1" a="1"/>
  <c r="I2236" i="1" s="1"/>
  <c r="I2237" i="1" a="1"/>
  <c r="I2237" i="1" s="1"/>
  <c r="I2238" i="1" a="1"/>
  <c r="I2238" i="1" s="1"/>
  <c r="I2239" i="1" a="1"/>
  <c r="I2239" i="1" s="1"/>
  <c r="I2240" i="1" a="1"/>
  <c r="I2240" i="1" s="1"/>
  <c r="I2241" i="1" a="1"/>
  <c r="I2241" i="1" s="1"/>
  <c r="I2242" i="1" a="1"/>
  <c r="I2242" i="1" s="1"/>
  <c r="C2201" i="1"/>
  <c r="B2201" i="1"/>
  <c r="G2201" i="1"/>
  <c r="L2201" i="1"/>
  <c r="K2201" i="1"/>
  <c r="J2201" i="1" a="1"/>
  <c r="J2201" i="1" s="1"/>
  <c r="I2201" i="1" a="1"/>
  <c r="I2201" i="1" s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L103" i="1"/>
  <c r="L112" i="1"/>
  <c r="L119" i="1"/>
  <c r="L127" i="1"/>
  <c r="L132" i="1"/>
  <c r="L135" i="1"/>
  <c r="L151" i="1"/>
  <c r="L152" i="1"/>
  <c r="L155" i="1"/>
  <c r="L160" i="1"/>
  <c r="L183" i="1"/>
  <c r="L191" i="1"/>
  <c r="L192" i="1"/>
  <c r="L199" i="1"/>
  <c r="L215" i="1"/>
  <c r="L219" i="1"/>
  <c r="L232" i="1"/>
  <c r="L235" i="1"/>
  <c r="L244" i="1"/>
  <c r="L247" i="1"/>
  <c r="L255" i="1"/>
  <c r="L263" i="1"/>
  <c r="L271" i="1"/>
  <c r="L279" i="1"/>
  <c r="L283" i="1"/>
  <c r="L308" i="1"/>
  <c r="L311" i="1"/>
  <c r="L319" i="1"/>
  <c r="L324" i="1"/>
  <c r="L327" i="1"/>
  <c r="L328" i="1"/>
  <c r="L344" i="1"/>
  <c r="L364" i="1"/>
  <c r="L376" i="1"/>
  <c r="L396" i="1"/>
  <c r="L408" i="1"/>
  <c r="L428" i="1"/>
  <c r="L440" i="1"/>
  <c r="L460" i="1"/>
  <c r="L483" i="1"/>
  <c r="L499" i="1"/>
  <c r="L515" i="1"/>
  <c r="L531" i="1"/>
  <c r="L547" i="1"/>
  <c r="L563" i="1"/>
  <c r="L579" i="1"/>
  <c r="L595" i="1"/>
  <c r="L611" i="1"/>
  <c r="L627" i="1"/>
  <c r="L643" i="1"/>
  <c r="L659" i="1"/>
  <c r="L675" i="1"/>
  <c r="L691" i="1"/>
  <c r="L707" i="1"/>
  <c r="L723" i="1"/>
  <c r="L739" i="1"/>
  <c r="L755" i="1"/>
  <c r="L771" i="1"/>
  <c r="L787" i="1"/>
  <c r="L803" i="1"/>
  <c r="L819" i="1"/>
  <c r="L835" i="1"/>
  <c r="L851" i="1"/>
  <c r="L867" i="1"/>
  <c r="L883" i="1"/>
  <c r="L899" i="1"/>
  <c r="L915" i="1"/>
  <c r="L931" i="1"/>
  <c r="L947" i="1"/>
  <c r="L963" i="1"/>
  <c r="L979" i="1"/>
  <c r="L995" i="1"/>
  <c r="L1011" i="1"/>
  <c r="L1027" i="1"/>
  <c r="L1043" i="1"/>
  <c r="L1059" i="1"/>
  <c r="L1075" i="1"/>
  <c r="L1091" i="1"/>
  <c r="L1107" i="1"/>
  <c r="L1123" i="1"/>
  <c r="L1139" i="1"/>
  <c r="L1155" i="1"/>
  <c r="L1171" i="1"/>
  <c r="L1187" i="1"/>
  <c r="L1203" i="1"/>
  <c r="L1205" i="1"/>
  <c r="L1217" i="1"/>
  <c r="L1219" i="1"/>
  <c r="L1235" i="1"/>
  <c r="L1237" i="1"/>
  <c r="L1251" i="1"/>
  <c r="L1267" i="1"/>
  <c r="L1283" i="1"/>
  <c r="L1299" i="1"/>
  <c r="L1301" i="1"/>
  <c r="L1315" i="1"/>
  <c r="L1331" i="1"/>
  <c r="L1337" i="1"/>
  <c r="L1347" i="1"/>
  <c r="L1363" i="1"/>
  <c r="L1379" i="1"/>
  <c r="L1396" i="1"/>
  <c r="L1405" i="1"/>
  <c r="L1412" i="1"/>
  <c r="L1424" i="1"/>
  <c r="L1432" i="1"/>
  <c r="L1433" i="1"/>
  <c r="L1440" i="1"/>
  <c r="L1445" i="1"/>
  <c r="L1448" i="1"/>
  <c r="L1460" i="1"/>
  <c r="L1461" i="1"/>
  <c r="L1476" i="1"/>
  <c r="L1488" i="1"/>
  <c r="L1496" i="1"/>
  <c r="L1504" i="1"/>
  <c r="L1512" i="1"/>
  <c r="L1517" i="1"/>
  <c r="L1524" i="1"/>
  <c r="L1533" i="1"/>
  <c r="L1540" i="1"/>
  <c r="L1545" i="1"/>
  <c r="L1552" i="1"/>
  <c r="L1560" i="1"/>
  <c r="L1561" i="1"/>
  <c r="L1568" i="1"/>
  <c r="L1573" i="1"/>
  <c r="L1576" i="1"/>
  <c r="L1588" i="1"/>
  <c r="L1589" i="1"/>
  <c r="L1604" i="1"/>
  <c r="L1616" i="1"/>
  <c r="L1624" i="1"/>
  <c r="L1632" i="1"/>
  <c r="L1640" i="1"/>
  <c r="L1652" i="1"/>
  <c r="L1661" i="1"/>
  <c r="L1668" i="1"/>
  <c r="L1680" i="1"/>
  <c r="L1688" i="1"/>
  <c r="L1689" i="1"/>
  <c r="L1696" i="1"/>
  <c r="L1708" i="1"/>
  <c r="L1712" i="1"/>
  <c r="L1713" i="1"/>
  <c r="L1724" i="1"/>
  <c r="L1728" i="1"/>
  <c r="L1733" i="1"/>
  <c r="L1740" i="1"/>
  <c r="L1744" i="1"/>
  <c r="L1745" i="1"/>
  <c r="L1756" i="1"/>
  <c r="L1760" i="1"/>
  <c r="L1772" i="1"/>
  <c r="L1776" i="1"/>
  <c r="L1777" i="1"/>
  <c r="L1788" i="1"/>
  <c r="L1792" i="1"/>
  <c r="L1797" i="1"/>
  <c r="L1804" i="1"/>
  <c r="L1808" i="1"/>
  <c r="L1809" i="1"/>
  <c r="L1820" i="1"/>
  <c r="L1824" i="1"/>
  <c r="L1836" i="1"/>
  <c r="L1840" i="1"/>
  <c r="L1841" i="1"/>
  <c r="L1852" i="1"/>
  <c r="L1856" i="1"/>
  <c r="L1861" i="1"/>
  <c r="L1868" i="1"/>
  <c r="L1872" i="1"/>
  <c r="L1873" i="1"/>
  <c r="L1884" i="1"/>
  <c r="L1888" i="1"/>
  <c r="L1904" i="1"/>
  <c r="L1905" i="1"/>
  <c r="L1916" i="1"/>
  <c r="L1925" i="1"/>
  <c r="L1936" i="1"/>
  <c r="L1937" i="1"/>
  <c r="L1948" i="1"/>
  <c r="L1968" i="1"/>
  <c r="L1969" i="1"/>
  <c r="L1980" i="1"/>
  <c r="L1989" i="1"/>
  <c r="L2000" i="1"/>
  <c r="L2001" i="1"/>
  <c r="L2012" i="1"/>
  <c r="L2032" i="1"/>
  <c r="L2033" i="1"/>
  <c r="L2044" i="1"/>
  <c r="L2053" i="1"/>
  <c r="L2064" i="1"/>
  <c r="L2065" i="1"/>
  <c r="L2076" i="1"/>
  <c r="L2096" i="1"/>
  <c r="L2097" i="1"/>
  <c r="L2105" i="1"/>
  <c r="L2112" i="1"/>
  <c r="L2124" i="1"/>
  <c r="L2132" i="1"/>
  <c r="L2133" i="1"/>
  <c r="L2140" i="1"/>
  <c r="L2145" i="1"/>
  <c r="L2148" i="1"/>
  <c r="L2153" i="1"/>
  <c r="L2160" i="1"/>
  <c r="L2161" i="1"/>
  <c r="L2169" i="1"/>
  <c r="L2176" i="1"/>
  <c r="L2181" i="1"/>
  <c r="L2188" i="1"/>
  <c r="L2196" i="1"/>
  <c r="L2197" i="1"/>
  <c r="L95" i="1"/>
  <c r="L98" i="1"/>
  <c r="L99" i="1"/>
  <c r="L102" i="1"/>
  <c r="L106" i="1"/>
  <c r="L107" i="1"/>
  <c r="L110" i="1"/>
  <c r="L111" i="1"/>
  <c r="L114" i="1"/>
  <c r="L115" i="1"/>
  <c r="L118" i="1"/>
  <c r="L122" i="1"/>
  <c r="L123" i="1"/>
  <c r="L126" i="1"/>
  <c r="L130" i="1"/>
  <c r="L131" i="1"/>
  <c r="L134" i="1"/>
  <c r="L138" i="1"/>
  <c r="L139" i="1"/>
  <c r="L142" i="1"/>
  <c r="L143" i="1"/>
  <c r="L146" i="1"/>
  <c r="L150" i="1"/>
  <c r="L154" i="1"/>
  <c r="L158" i="1"/>
  <c r="L159" i="1"/>
  <c r="L162" i="1"/>
  <c r="L163" i="1"/>
  <c r="L166" i="1"/>
  <c r="L170" i="1"/>
  <c r="L171" i="1"/>
  <c r="L174" i="1"/>
  <c r="L175" i="1"/>
  <c r="L178" i="1"/>
  <c r="L182" i="1"/>
  <c r="L186" i="1"/>
  <c r="L187" i="1"/>
  <c r="L190" i="1"/>
  <c r="L194" i="1"/>
  <c r="L195" i="1"/>
  <c r="L198" i="1"/>
  <c r="L202" i="1"/>
  <c r="L203" i="1"/>
  <c r="L206" i="1"/>
  <c r="L207" i="1"/>
  <c r="L210" i="1"/>
  <c r="L214" i="1"/>
  <c r="L218" i="1"/>
  <c r="L222" i="1"/>
  <c r="L223" i="1"/>
  <c r="L226" i="1"/>
  <c r="L227" i="1"/>
  <c r="L230" i="1"/>
  <c r="L234" i="1"/>
  <c r="L238" i="1"/>
  <c r="L242" i="1"/>
  <c r="L243" i="1"/>
  <c r="L246" i="1"/>
  <c r="L250" i="1"/>
  <c r="L251" i="1"/>
  <c r="L254" i="1"/>
  <c r="L258" i="1"/>
  <c r="L262" i="1"/>
  <c r="L266" i="1"/>
  <c r="L267" i="1"/>
  <c r="L270" i="1"/>
  <c r="L274" i="1"/>
  <c r="L278" i="1"/>
  <c r="L282" i="1"/>
  <c r="L286" i="1"/>
  <c r="L287" i="1"/>
  <c r="L290" i="1"/>
  <c r="L291" i="1"/>
  <c r="L294" i="1"/>
  <c r="L298" i="1"/>
  <c r="L299" i="1"/>
  <c r="L302" i="1"/>
  <c r="L303" i="1"/>
  <c r="L306" i="1"/>
  <c r="L307" i="1"/>
  <c r="L310" i="1"/>
  <c r="L314" i="1"/>
  <c r="L315" i="1"/>
  <c r="L318" i="1"/>
  <c r="L322" i="1"/>
  <c r="L323" i="1"/>
  <c r="L326" i="1"/>
  <c r="L330" i="1"/>
  <c r="L331" i="1"/>
  <c r="L334" i="1"/>
  <c r="L335" i="1"/>
  <c r="L338" i="1"/>
  <c r="L342" i="1"/>
  <c r="L343" i="1"/>
  <c r="L346" i="1"/>
  <c r="L350" i="1"/>
  <c r="L354" i="1"/>
  <c r="L356" i="1"/>
  <c r="L358" i="1"/>
  <c r="L359" i="1"/>
  <c r="L362" i="1"/>
  <c r="L366" i="1"/>
  <c r="L370" i="1"/>
  <c r="L373" i="1"/>
  <c r="L374" i="1"/>
  <c r="L375" i="1"/>
  <c r="L378" i="1"/>
  <c r="L382" i="1"/>
  <c r="L386" i="1"/>
  <c r="L390" i="1"/>
  <c r="L391" i="1"/>
  <c r="L394" i="1"/>
  <c r="L398" i="1"/>
  <c r="L402" i="1"/>
  <c r="L406" i="1"/>
  <c r="L407" i="1"/>
  <c r="L410" i="1"/>
  <c r="L414" i="1"/>
  <c r="L418" i="1"/>
  <c r="L422" i="1"/>
  <c r="L423" i="1"/>
  <c r="L426" i="1"/>
  <c r="L430" i="1"/>
  <c r="L434" i="1"/>
  <c r="L438" i="1"/>
  <c r="L439" i="1"/>
  <c r="L442" i="1"/>
  <c r="L446" i="1"/>
  <c r="L450" i="1"/>
  <c r="L452" i="1"/>
  <c r="L454" i="1"/>
  <c r="L455" i="1"/>
  <c r="L458" i="1"/>
  <c r="L462" i="1"/>
  <c r="L466" i="1"/>
  <c r="L470" i="1"/>
  <c r="L471" i="1"/>
  <c r="L474" i="1"/>
  <c r="L475" i="1"/>
  <c r="L478" i="1"/>
  <c r="L479" i="1"/>
  <c r="L482" i="1"/>
  <c r="L486" i="1"/>
  <c r="L487" i="1"/>
  <c r="L490" i="1"/>
  <c r="L491" i="1"/>
  <c r="L494" i="1"/>
  <c r="L495" i="1"/>
  <c r="L498" i="1"/>
  <c r="L502" i="1"/>
  <c r="L503" i="1"/>
  <c r="L506" i="1"/>
  <c r="L507" i="1"/>
  <c r="L510" i="1"/>
  <c r="L511" i="1"/>
  <c r="L514" i="1"/>
  <c r="L518" i="1"/>
  <c r="L519" i="1"/>
  <c r="L522" i="1"/>
  <c r="L523" i="1"/>
  <c r="L526" i="1"/>
  <c r="L527" i="1"/>
  <c r="L530" i="1"/>
  <c r="L534" i="1"/>
  <c r="L535" i="1"/>
  <c r="L538" i="1"/>
  <c r="L539" i="1"/>
  <c r="L542" i="1"/>
  <c r="L543" i="1"/>
  <c r="L546" i="1"/>
  <c r="L550" i="1"/>
  <c r="L551" i="1"/>
  <c r="L554" i="1"/>
  <c r="L555" i="1"/>
  <c r="L558" i="1"/>
  <c r="L559" i="1"/>
  <c r="L562" i="1"/>
  <c r="L566" i="1"/>
  <c r="L567" i="1"/>
  <c r="L570" i="1"/>
  <c r="L571" i="1"/>
  <c r="L574" i="1"/>
  <c r="L575" i="1"/>
  <c r="L578" i="1"/>
  <c r="L581" i="1"/>
  <c r="L582" i="1"/>
  <c r="L583" i="1"/>
  <c r="L586" i="1"/>
  <c r="L587" i="1"/>
  <c r="L590" i="1"/>
  <c r="L591" i="1"/>
  <c r="L594" i="1"/>
  <c r="L598" i="1"/>
  <c r="L599" i="1"/>
  <c r="L602" i="1"/>
  <c r="L603" i="1"/>
  <c r="L606" i="1"/>
  <c r="L607" i="1"/>
  <c r="L610" i="1"/>
  <c r="L614" i="1"/>
  <c r="L615" i="1"/>
  <c r="L618" i="1"/>
  <c r="L619" i="1"/>
  <c r="L622" i="1"/>
  <c r="L623" i="1"/>
  <c r="L626" i="1"/>
  <c r="L630" i="1"/>
  <c r="L631" i="1"/>
  <c r="L634" i="1"/>
  <c r="L635" i="1"/>
  <c r="L638" i="1"/>
  <c r="L639" i="1"/>
  <c r="L642" i="1"/>
  <c r="L646" i="1"/>
  <c r="L647" i="1"/>
  <c r="L650" i="1"/>
  <c r="L651" i="1"/>
  <c r="L654" i="1"/>
  <c r="L655" i="1"/>
  <c r="L658" i="1"/>
  <c r="L662" i="1"/>
  <c r="L663" i="1"/>
  <c r="L666" i="1"/>
  <c r="L667" i="1"/>
  <c r="L670" i="1"/>
  <c r="L671" i="1"/>
  <c r="L674" i="1"/>
  <c r="L678" i="1"/>
  <c r="L679" i="1"/>
  <c r="L682" i="1"/>
  <c r="L683" i="1"/>
  <c r="L686" i="1"/>
  <c r="L687" i="1"/>
  <c r="L690" i="1"/>
  <c r="L694" i="1"/>
  <c r="L695" i="1"/>
  <c r="L698" i="1"/>
  <c r="L699" i="1"/>
  <c r="L702" i="1"/>
  <c r="L703" i="1"/>
  <c r="L706" i="1"/>
  <c r="L709" i="1"/>
  <c r="L710" i="1"/>
  <c r="L711" i="1"/>
  <c r="L714" i="1"/>
  <c r="L715" i="1"/>
  <c r="L718" i="1"/>
  <c r="L719" i="1"/>
  <c r="L722" i="1"/>
  <c r="L726" i="1"/>
  <c r="L727" i="1"/>
  <c r="L730" i="1"/>
  <c r="L731" i="1"/>
  <c r="L734" i="1"/>
  <c r="L735" i="1"/>
  <c r="L738" i="1"/>
  <c r="L742" i="1"/>
  <c r="L743" i="1"/>
  <c r="L746" i="1"/>
  <c r="L747" i="1"/>
  <c r="L750" i="1"/>
  <c r="L751" i="1"/>
  <c r="L754" i="1"/>
  <c r="L758" i="1"/>
  <c r="L759" i="1"/>
  <c r="L762" i="1"/>
  <c r="L763" i="1"/>
  <c r="L766" i="1"/>
  <c r="L767" i="1"/>
  <c r="L770" i="1"/>
  <c r="L774" i="1"/>
  <c r="L775" i="1"/>
  <c r="L778" i="1"/>
  <c r="L779" i="1"/>
  <c r="L782" i="1"/>
  <c r="L783" i="1"/>
  <c r="L786" i="1"/>
  <c r="L790" i="1"/>
  <c r="L791" i="1"/>
  <c r="L794" i="1"/>
  <c r="L795" i="1"/>
  <c r="L798" i="1"/>
  <c r="L799" i="1"/>
  <c r="L802" i="1"/>
  <c r="L806" i="1"/>
  <c r="L807" i="1"/>
  <c r="L810" i="1"/>
  <c r="L811" i="1"/>
  <c r="L814" i="1"/>
  <c r="L815" i="1"/>
  <c r="L818" i="1"/>
  <c r="L822" i="1"/>
  <c r="L823" i="1"/>
  <c r="L826" i="1"/>
  <c r="L827" i="1"/>
  <c r="L830" i="1"/>
  <c r="L831" i="1"/>
  <c r="L834" i="1"/>
  <c r="L837" i="1"/>
  <c r="L838" i="1"/>
  <c r="L839" i="1"/>
  <c r="L842" i="1"/>
  <c r="L843" i="1"/>
  <c r="L846" i="1"/>
  <c r="L847" i="1"/>
  <c r="L850" i="1"/>
  <c r="L854" i="1"/>
  <c r="L855" i="1"/>
  <c r="L858" i="1"/>
  <c r="L859" i="1"/>
  <c r="L862" i="1"/>
  <c r="L863" i="1"/>
  <c r="L866" i="1"/>
  <c r="L870" i="1"/>
  <c r="L871" i="1"/>
  <c r="L874" i="1"/>
  <c r="L875" i="1"/>
  <c r="L878" i="1"/>
  <c r="L879" i="1"/>
  <c r="L882" i="1"/>
  <c r="L886" i="1"/>
  <c r="L887" i="1"/>
  <c r="L890" i="1"/>
  <c r="L891" i="1"/>
  <c r="L894" i="1"/>
  <c r="L895" i="1"/>
  <c r="L898" i="1"/>
  <c r="L902" i="1"/>
  <c r="L903" i="1"/>
  <c r="L906" i="1"/>
  <c r="L907" i="1"/>
  <c r="L910" i="1"/>
  <c r="L911" i="1"/>
  <c r="L914" i="1"/>
  <c r="L918" i="1"/>
  <c r="L919" i="1"/>
  <c r="L922" i="1"/>
  <c r="L923" i="1"/>
  <c r="L926" i="1"/>
  <c r="L927" i="1"/>
  <c r="L930" i="1"/>
  <c r="L934" i="1"/>
  <c r="L935" i="1"/>
  <c r="L938" i="1"/>
  <c r="L939" i="1"/>
  <c r="L942" i="1"/>
  <c r="L943" i="1"/>
  <c r="L946" i="1"/>
  <c r="L950" i="1"/>
  <c r="L951" i="1"/>
  <c r="L954" i="1"/>
  <c r="L955" i="1"/>
  <c r="L958" i="1"/>
  <c r="L959" i="1"/>
  <c r="L962" i="1"/>
  <c r="L966" i="1"/>
  <c r="L967" i="1"/>
  <c r="L970" i="1"/>
  <c r="L971" i="1"/>
  <c r="L974" i="1"/>
  <c r="L975" i="1"/>
  <c r="L978" i="1"/>
  <c r="L982" i="1"/>
  <c r="L983" i="1"/>
  <c r="L986" i="1"/>
  <c r="L987" i="1"/>
  <c r="L990" i="1"/>
  <c r="L991" i="1"/>
  <c r="L994" i="1"/>
  <c r="L998" i="1"/>
  <c r="L999" i="1"/>
  <c r="L1002" i="1"/>
  <c r="L1003" i="1"/>
  <c r="L1006" i="1"/>
  <c r="L1007" i="1"/>
  <c r="L1010" i="1"/>
  <c r="L1014" i="1"/>
  <c r="L1015" i="1"/>
  <c r="L1018" i="1"/>
  <c r="L1019" i="1"/>
  <c r="L1022" i="1"/>
  <c r="L1023" i="1"/>
  <c r="L1026" i="1"/>
  <c r="L1030" i="1"/>
  <c r="L1031" i="1"/>
  <c r="L1034" i="1"/>
  <c r="L1035" i="1"/>
  <c r="L1038" i="1"/>
  <c r="L1039" i="1"/>
  <c r="L1042" i="1"/>
  <c r="L1046" i="1"/>
  <c r="L1047" i="1"/>
  <c r="L1050" i="1"/>
  <c r="L1051" i="1"/>
  <c r="L1054" i="1"/>
  <c r="L1055" i="1"/>
  <c r="L1058" i="1"/>
  <c r="L1062" i="1"/>
  <c r="L1063" i="1"/>
  <c r="L1066" i="1"/>
  <c r="L1067" i="1"/>
  <c r="L1070" i="1"/>
  <c r="L1071" i="1"/>
  <c r="L1074" i="1"/>
  <c r="L1078" i="1"/>
  <c r="L1079" i="1"/>
  <c r="L1082" i="1"/>
  <c r="L1083" i="1"/>
  <c r="L1086" i="1"/>
  <c r="L1087" i="1"/>
  <c r="L1090" i="1"/>
  <c r="L1094" i="1"/>
  <c r="L1095" i="1"/>
  <c r="L1098" i="1"/>
  <c r="L1099" i="1"/>
  <c r="L1102" i="1"/>
  <c r="L1103" i="1"/>
  <c r="L1106" i="1"/>
  <c r="L1110" i="1"/>
  <c r="L1111" i="1"/>
  <c r="L1114" i="1"/>
  <c r="L1115" i="1"/>
  <c r="L1118" i="1"/>
  <c r="L1119" i="1"/>
  <c r="L1122" i="1"/>
  <c r="L1126" i="1"/>
  <c r="L1127" i="1"/>
  <c r="L1130" i="1"/>
  <c r="L1131" i="1"/>
  <c r="L1134" i="1"/>
  <c r="L1135" i="1"/>
  <c r="L1138" i="1"/>
  <c r="L1142" i="1"/>
  <c r="L1143" i="1"/>
  <c r="L1146" i="1"/>
  <c r="L1147" i="1"/>
  <c r="L1150" i="1"/>
  <c r="L1151" i="1"/>
  <c r="L1154" i="1"/>
  <c r="L1158" i="1"/>
  <c r="L1159" i="1"/>
  <c r="L1162" i="1"/>
  <c r="L1163" i="1"/>
  <c r="L1166" i="1"/>
  <c r="L1167" i="1"/>
  <c r="L1170" i="1"/>
  <c r="L1174" i="1"/>
  <c r="L1175" i="1"/>
  <c r="L1178" i="1"/>
  <c r="L1179" i="1"/>
  <c r="L1182" i="1"/>
  <c r="L1183" i="1"/>
  <c r="L1186" i="1"/>
  <c r="L1190" i="1"/>
  <c r="L1191" i="1"/>
  <c r="L1194" i="1"/>
  <c r="L1195" i="1"/>
  <c r="L1198" i="1"/>
  <c r="L1199" i="1"/>
  <c r="L1202" i="1"/>
  <c r="L1206" i="1"/>
  <c r="L1207" i="1"/>
  <c r="L1210" i="1"/>
  <c r="L1211" i="1"/>
  <c r="L1212" i="1"/>
  <c r="L1214" i="1"/>
  <c r="L1215" i="1"/>
  <c r="L1218" i="1"/>
  <c r="L1220" i="1"/>
  <c r="L1222" i="1"/>
  <c r="L1223" i="1"/>
  <c r="L1226" i="1"/>
  <c r="L1227" i="1"/>
  <c r="L1229" i="1"/>
  <c r="L1230" i="1"/>
  <c r="L1231" i="1"/>
  <c r="L1232" i="1"/>
  <c r="L1234" i="1"/>
  <c r="L1238" i="1"/>
  <c r="L1239" i="1"/>
  <c r="L1242" i="1"/>
  <c r="L1243" i="1"/>
  <c r="L1244" i="1"/>
  <c r="L1246" i="1"/>
  <c r="L1247" i="1"/>
  <c r="L1250" i="1"/>
  <c r="L1254" i="1"/>
  <c r="L1255" i="1"/>
  <c r="L1258" i="1"/>
  <c r="L1259" i="1"/>
  <c r="L1262" i="1"/>
  <c r="L1263" i="1"/>
  <c r="L1266" i="1"/>
  <c r="L1270" i="1"/>
  <c r="L1271" i="1"/>
  <c r="L1274" i="1"/>
  <c r="L1275" i="1"/>
  <c r="L1278" i="1"/>
  <c r="L1279" i="1"/>
  <c r="L1282" i="1"/>
  <c r="L1286" i="1"/>
  <c r="L1287" i="1"/>
  <c r="L1290" i="1"/>
  <c r="L1291" i="1"/>
  <c r="L1293" i="1"/>
  <c r="L1294" i="1"/>
  <c r="L1295" i="1"/>
  <c r="L1296" i="1"/>
  <c r="L1298" i="1"/>
  <c r="L1302" i="1"/>
  <c r="L1303" i="1"/>
  <c r="L1306" i="1"/>
  <c r="L1307" i="1"/>
  <c r="L1310" i="1"/>
  <c r="L1311" i="1"/>
  <c r="L1314" i="1"/>
  <c r="L1318" i="1"/>
  <c r="L1319" i="1"/>
  <c r="L1321" i="1"/>
  <c r="L1322" i="1"/>
  <c r="L1323" i="1"/>
  <c r="L1326" i="1"/>
  <c r="L1327" i="1"/>
  <c r="L1328" i="1"/>
  <c r="L1330" i="1"/>
  <c r="L1334" i="1"/>
  <c r="L1335" i="1"/>
  <c r="L1338" i="1"/>
  <c r="L1339" i="1"/>
  <c r="L1342" i="1"/>
  <c r="L1343" i="1"/>
  <c r="L1346" i="1"/>
  <c r="L1349" i="1"/>
  <c r="L1350" i="1"/>
  <c r="L1351" i="1"/>
  <c r="L1354" i="1"/>
  <c r="L1355" i="1"/>
  <c r="L1358" i="1"/>
  <c r="L1359" i="1"/>
  <c r="L1362" i="1"/>
  <c r="L1366" i="1"/>
  <c r="L1367" i="1"/>
  <c r="L1370" i="1"/>
  <c r="L1371" i="1"/>
  <c r="L1374" i="1"/>
  <c r="L1375" i="1"/>
  <c r="L1378" i="1"/>
  <c r="L1382" i="1"/>
  <c r="L1383" i="1"/>
  <c r="L1386" i="1"/>
  <c r="L1387" i="1"/>
  <c r="L1390" i="1"/>
  <c r="L1391" i="1"/>
  <c r="L1394" i="1"/>
  <c r="L1395" i="1"/>
  <c r="L1398" i="1"/>
  <c r="L1399" i="1"/>
  <c r="L1401" i="1"/>
  <c r="L1402" i="1"/>
  <c r="L1403" i="1"/>
  <c r="L1406" i="1"/>
  <c r="L1407" i="1"/>
  <c r="L1410" i="1"/>
  <c r="L1411" i="1"/>
  <c r="L1414" i="1"/>
  <c r="L1415" i="1"/>
  <c r="L1418" i="1"/>
  <c r="L1419" i="1"/>
  <c r="L1422" i="1"/>
  <c r="L1423" i="1"/>
  <c r="L1426" i="1"/>
  <c r="L1427" i="1"/>
  <c r="L1430" i="1"/>
  <c r="L1431" i="1"/>
  <c r="L1434" i="1"/>
  <c r="L1435" i="1"/>
  <c r="L1438" i="1"/>
  <c r="L1439" i="1"/>
  <c r="L1442" i="1"/>
  <c r="L1443" i="1"/>
  <c r="L1446" i="1"/>
  <c r="L1447" i="1"/>
  <c r="L1450" i="1"/>
  <c r="L1451" i="1"/>
  <c r="L1454" i="1"/>
  <c r="L1455" i="1"/>
  <c r="L1458" i="1"/>
  <c r="L1459" i="1"/>
  <c r="L1462" i="1"/>
  <c r="L1463" i="1"/>
  <c r="L1466" i="1"/>
  <c r="L1467" i="1"/>
  <c r="L1470" i="1"/>
  <c r="L1471" i="1"/>
  <c r="L1474" i="1"/>
  <c r="L1475" i="1"/>
  <c r="L1478" i="1"/>
  <c r="L1479" i="1"/>
  <c r="L1482" i="1"/>
  <c r="L1483" i="1"/>
  <c r="L1486" i="1"/>
  <c r="L1487" i="1"/>
  <c r="L1490" i="1"/>
  <c r="L1491" i="1"/>
  <c r="L1494" i="1"/>
  <c r="L1495" i="1"/>
  <c r="L1498" i="1"/>
  <c r="L1499" i="1"/>
  <c r="L1502" i="1"/>
  <c r="L1503" i="1"/>
  <c r="L1506" i="1"/>
  <c r="L1507" i="1"/>
  <c r="L1510" i="1"/>
  <c r="L1511" i="1"/>
  <c r="L1514" i="1"/>
  <c r="L1515" i="1"/>
  <c r="L1518" i="1"/>
  <c r="L1519" i="1"/>
  <c r="L1522" i="1"/>
  <c r="L1523" i="1"/>
  <c r="L1526" i="1"/>
  <c r="L1527" i="1"/>
  <c r="L1530" i="1"/>
  <c r="L1531" i="1"/>
  <c r="L1534" i="1"/>
  <c r="L1535" i="1"/>
  <c r="L1538" i="1"/>
  <c r="L1539" i="1"/>
  <c r="L1542" i="1"/>
  <c r="L1543" i="1"/>
  <c r="L1546" i="1"/>
  <c r="L1547" i="1"/>
  <c r="L1550" i="1"/>
  <c r="L1551" i="1"/>
  <c r="L1554" i="1"/>
  <c r="L1555" i="1"/>
  <c r="L1558" i="1"/>
  <c r="L1559" i="1"/>
  <c r="L1562" i="1"/>
  <c r="L1563" i="1"/>
  <c r="L1566" i="1"/>
  <c r="L1567" i="1"/>
  <c r="L1570" i="1"/>
  <c r="L1571" i="1"/>
  <c r="L1574" i="1"/>
  <c r="L1575" i="1"/>
  <c r="L1578" i="1"/>
  <c r="L1579" i="1"/>
  <c r="L1582" i="1"/>
  <c r="L1583" i="1"/>
  <c r="L1586" i="1"/>
  <c r="L1587" i="1"/>
  <c r="L1590" i="1"/>
  <c r="L1591" i="1"/>
  <c r="L1594" i="1"/>
  <c r="L1595" i="1"/>
  <c r="L1598" i="1"/>
  <c r="L1599" i="1"/>
  <c r="L1601" i="1"/>
  <c r="L1602" i="1"/>
  <c r="L1603" i="1"/>
  <c r="L1606" i="1"/>
  <c r="L1607" i="1"/>
  <c r="L1610" i="1"/>
  <c r="L1611" i="1"/>
  <c r="L1614" i="1"/>
  <c r="L1615" i="1"/>
  <c r="L1618" i="1"/>
  <c r="L1619" i="1"/>
  <c r="L1622" i="1"/>
  <c r="L1623" i="1"/>
  <c r="L1626" i="1"/>
  <c r="L1627" i="1"/>
  <c r="L1629" i="1"/>
  <c r="L1630" i="1"/>
  <c r="L1631" i="1"/>
  <c r="L1634" i="1"/>
  <c r="L1635" i="1"/>
  <c r="L1638" i="1"/>
  <c r="L1639" i="1"/>
  <c r="L1642" i="1"/>
  <c r="L1643" i="1"/>
  <c r="L1646" i="1"/>
  <c r="L1647" i="1"/>
  <c r="L1650" i="1"/>
  <c r="L1651" i="1"/>
  <c r="L1654" i="1"/>
  <c r="L1655" i="1"/>
  <c r="L1657" i="1"/>
  <c r="L1658" i="1"/>
  <c r="L1659" i="1"/>
  <c r="L1662" i="1"/>
  <c r="L1663" i="1"/>
  <c r="L1666" i="1"/>
  <c r="L1667" i="1"/>
  <c r="L1670" i="1"/>
  <c r="L1671" i="1"/>
  <c r="L1674" i="1"/>
  <c r="L1675" i="1"/>
  <c r="L1678" i="1"/>
  <c r="L1679" i="1"/>
  <c r="L1682" i="1"/>
  <c r="L1683" i="1"/>
  <c r="L1686" i="1"/>
  <c r="L1687" i="1"/>
  <c r="L1690" i="1"/>
  <c r="L1691" i="1"/>
  <c r="L1694" i="1"/>
  <c r="L1695" i="1"/>
  <c r="L1698" i="1"/>
  <c r="L1699" i="1"/>
  <c r="L1702" i="1"/>
  <c r="L1703" i="1"/>
  <c r="L1706" i="1"/>
  <c r="L1707" i="1"/>
  <c r="L1710" i="1"/>
  <c r="L1711" i="1"/>
  <c r="L1714" i="1"/>
  <c r="L1715" i="1"/>
  <c r="L1718" i="1"/>
  <c r="L1719" i="1"/>
  <c r="L1722" i="1"/>
  <c r="L1723" i="1"/>
  <c r="L1726" i="1"/>
  <c r="L1727" i="1"/>
  <c r="L1730" i="1"/>
  <c r="L1731" i="1"/>
  <c r="L1734" i="1"/>
  <c r="L1735" i="1"/>
  <c r="L1738" i="1"/>
  <c r="L1739" i="1"/>
  <c r="L1742" i="1"/>
  <c r="L1743" i="1"/>
  <c r="L1746" i="1"/>
  <c r="L1747" i="1"/>
  <c r="L1750" i="1"/>
  <c r="L1751" i="1"/>
  <c r="L1753" i="1"/>
  <c r="L1754" i="1"/>
  <c r="L1755" i="1"/>
  <c r="L1758" i="1"/>
  <c r="L1759" i="1"/>
  <c r="L1762" i="1"/>
  <c r="L1763" i="1"/>
  <c r="L1766" i="1"/>
  <c r="L1767" i="1"/>
  <c r="L1770" i="1"/>
  <c r="L1771" i="1"/>
  <c r="L1774" i="1"/>
  <c r="L1775" i="1"/>
  <c r="L1778" i="1"/>
  <c r="L1779" i="1"/>
  <c r="L1782" i="1"/>
  <c r="L1783" i="1"/>
  <c r="L1786" i="1"/>
  <c r="L1787" i="1"/>
  <c r="L1790" i="1"/>
  <c r="L1791" i="1"/>
  <c r="L1794" i="1"/>
  <c r="L1795" i="1"/>
  <c r="L1798" i="1"/>
  <c r="L1799" i="1"/>
  <c r="L1802" i="1"/>
  <c r="L1803" i="1"/>
  <c r="L1806" i="1"/>
  <c r="L1807" i="1"/>
  <c r="L1810" i="1"/>
  <c r="L1811" i="1"/>
  <c r="L1814" i="1"/>
  <c r="L1815" i="1"/>
  <c r="L1817" i="1"/>
  <c r="L1818" i="1"/>
  <c r="L1819" i="1"/>
  <c r="L1822" i="1"/>
  <c r="L1823" i="1"/>
  <c r="L1826" i="1"/>
  <c r="L1827" i="1"/>
  <c r="L1830" i="1"/>
  <c r="L1831" i="1"/>
  <c r="L1834" i="1"/>
  <c r="L1835" i="1"/>
  <c r="L1838" i="1"/>
  <c r="L1839" i="1"/>
  <c r="L1842" i="1"/>
  <c r="L1843" i="1"/>
  <c r="L1846" i="1"/>
  <c r="L1847" i="1"/>
  <c r="L1850" i="1"/>
  <c r="L1851" i="1"/>
  <c r="L1854" i="1"/>
  <c r="L1855" i="1"/>
  <c r="L1858" i="1"/>
  <c r="L1859" i="1"/>
  <c r="L1862" i="1"/>
  <c r="L1863" i="1"/>
  <c r="L1866" i="1"/>
  <c r="L1867" i="1"/>
  <c r="L1870" i="1"/>
  <c r="L1871" i="1"/>
  <c r="L1874" i="1"/>
  <c r="L1875" i="1"/>
  <c r="L1878" i="1"/>
  <c r="L1879" i="1"/>
  <c r="L1881" i="1"/>
  <c r="L1882" i="1"/>
  <c r="L1883" i="1"/>
  <c r="L1886" i="1"/>
  <c r="L1887" i="1"/>
  <c r="L1890" i="1"/>
  <c r="L1891" i="1"/>
  <c r="L1894" i="1"/>
  <c r="L1895" i="1"/>
  <c r="L1898" i="1"/>
  <c r="L1899" i="1"/>
  <c r="L1902" i="1"/>
  <c r="L1903" i="1"/>
  <c r="L1906" i="1"/>
  <c r="L1907" i="1"/>
  <c r="L1910" i="1"/>
  <c r="L1911" i="1"/>
  <c r="L1914" i="1"/>
  <c r="L1915" i="1"/>
  <c r="L1918" i="1"/>
  <c r="L1919" i="1"/>
  <c r="L1922" i="1"/>
  <c r="L1923" i="1"/>
  <c r="L1926" i="1"/>
  <c r="L1927" i="1"/>
  <c r="L1930" i="1"/>
  <c r="L1931" i="1"/>
  <c r="L1934" i="1"/>
  <c r="L1935" i="1"/>
  <c r="L1938" i="1"/>
  <c r="L1939" i="1"/>
  <c r="L1942" i="1"/>
  <c r="L1943" i="1"/>
  <c r="L1945" i="1"/>
  <c r="L1946" i="1"/>
  <c r="L1947" i="1"/>
  <c r="L1950" i="1"/>
  <c r="L1951" i="1"/>
  <c r="L1954" i="1"/>
  <c r="L1955" i="1"/>
  <c r="L1958" i="1"/>
  <c r="L1959" i="1"/>
  <c r="L1962" i="1"/>
  <c r="L1963" i="1"/>
  <c r="L1966" i="1"/>
  <c r="L1967" i="1"/>
  <c r="L1970" i="1"/>
  <c r="L1971" i="1"/>
  <c r="L1974" i="1"/>
  <c r="L1975" i="1"/>
  <c r="L1978" i="1"/>
  <c r="L1979" i="1"/>
  <c r="L1982" i="1"/>
  <c r="L1983" i="1"/>
  <c r="L1986" i="1"/>
  <c r="L1987" i="1"/>
  <c r="L1990" i="1"/>
  <c r="L1991" i="1"/>
  <c r="L1994" i="1"/>
  <c r="L1995" i="1"/>
  <c r="L1998" i="1"/>
  <c r="L1999" i="1"/>
  <c r="L2002" i="1"/>
  <c r="L2003" i="1"/>
  <c r="L2006" i="1"/>
  <c r="L2007" i="1"/>
  <c r="L2009" i="1"/>
  <c r="L2010" i="1"/>
  <c r="L2011" i="1"/>
  <c r="L2014" i="1"/>
  <c r="L2015" i="1"/>
  <c r="L2018" i="1"/>
  <c r="L2019" i="1"/>
  <c r="L2022" i="1"/>
  <c r="L2023" i="1"/>
  <c r="L2026" i="1"/>
  <c r="L2027" i="1"/>
  <c r="L2030" i="1"/>
  <c r="L2031" i="1"/>
  <c r="L2034" i="1"/>
  <c r="L2035" i="1"/>
  <c r="L2038" i="1"/>
  <c r="L2039" i="1"/>
  <c r="L2042" i="1"/>
  <c r="L2043" i="1"/>
  <c r="L2046" i="1"/>
  <c r="L2047" i="1"/>
  <c r="L2050" i="1"/>
  <c r="L2051" i="1"/>
  <c r="L2054" i="1"/>
  <c r="L2055" i="1"/>
  <c r="L2058" i="1"/>
  <c r="L2059" i="1"/>
  <c r="L2062" i="1"/>
  <c r="L2063" i="1"/>
  <c r="L2066" i="1"/>
  <c r="L2067" i="1"/>
  <c r="L2070" i="1"/>
  <c r="L2071" i="1"/>
  <c r="L2073" i="1"/>
  <c r="L2074" i="1"/>
  <c r="L2075" i="1"/>
  <c r="L2078" i="1"/>
  <c r="L2079" i="1"/>
  <c r="L2082" i="1"/>
  <c r="L2083" i="1"/>
  <c r="L2086" i="1"/>
  <c r="L2087" i="1"/>
  <c r="L2090" i="1"/>
  <c r="L2091" i="1"/>
  <c r="L2094" i="1"/>
  <c r="L2095" i="1"/>
  <c r="L2098" i="1"/>
  <c r="L2099" i="1"/>
  <c r="L2102" i="1"/>
  <c r="L2103" i="1"/>
  <c r="L2106" i="1"/>
  <c r="L2107" i="1"/>
  <c r="L2109" i="1"/>
  <c r="L2110" i="1"/>
  <c r="L2111" i="1"/>
  <c r="L2114" i="1"/>
  <c r="L2115" i="1"/>
  <c r="L2118" i="1"/>
  <c r="L2119" i="1"/>
  <c r="L2122" i="1"/>
  <c r="L2123" i="1"/>
  <c r="L2126" i="1"/>
  <c r="L2127" i="1"/>
  <c r="L2130" i="1"/>
  <c r="L2131" i="1"/>
  <c r="L2134" i="1"/>
  <c r="L2135" i="1"/>
  <c r="L2137" i="1"/>
  <c r="L2138" i="1"/>
  <c r="L2139" i="1"/>
  <c r="L2142" i="1"/>
  <c r="L2143" i="1"/>
  <c r="L2146" i="1"/>
  <c r="L2147" i="1"/>
  <c r="L2150" i="1"/>
  <c r="L2151" i="1"/>
  <c r="L2154" i="1"/>
  <c r="L2155" i="1"/>
  <c r="L2158" i="1"/>
  <c r="L2159" i="1"/>
  <c r="L2162" i="1"/>
  <c r="L2163" i="1"/>
  <c r="L2165" i="1"/>
  <c r="L2166" i="1"/>
  <c r="L2167" i="1"/>
  <c r="L2170" i="1"/>
  <c r="L2171" i="1"/>
  <c r="L2174" i="1"/>
  <c r="L2175" i="1"/>
  <c r="L2178" i="1"/>
  <c r="L2179" i="1"/>
  <c r="L2182" i="1"/>
  <c r="L2183" i="1"/>
  <c r="L2186" i="1"/>
  <c r="L2187" i="1"/>
  <c r="L2190" i="1"/>
  <c r="L2191" i="1"/>
  <c r="L2194" i="1"/>
  <c r="L2195" i="1"/>
  <c r="L2198" i="1"/>
  <c r="L2199" i="1"/>
  <c r="J1774" i="1" a="1"/>
  <c r="J1774" i="1" s="1"/>
  <c r="J1782" i="1" a="1"/>
  <c r="J1782" i="1" s="1"/>
  <c r="J1790" i="1" a="1"/>
  <c r="J1790" i="1" s="1"/>
  <c r="J1798" i="1" a="1"/>
  <c r="J1798" i="1" s="1"/>
  <c r="J1806" i="1" a="1"/>
  <c r="J1806" i="1" s="1"/>
  <c r="J1814" i="1" a="1"/>
  <c r="J1814" i="1" s="1"/>
  <c r="J1822" i="1" a="1"/>
  <c r="J1822" i="1" s="1"/>
  <c r="J1830" i="1" a="1"/>
  <c r="J1830" i="1" s="1"/>
  <c r="J1838" i="1" a="1"/>
  <c r="J1838" i="1" s="1"/>
  <c r="J1846" i="1" a="1"/>
  <c r="J1846" i="1" s="1"/>
  <c r="J1854" i="1" a="1"/>
  <c r="J1854" i="1" s="1"/>
  <c r="J1862" i="1" a="1"/>
  <c r="J1862" i="1" s="1"/>
  <c r="J1870" i="1" a="1"/>
  <c r="J1870" i="1" s="1"/>
  <c r="J1878" i="1" a="1"/>
  <c r="J1878" i="1" s="1"/>
  <c r="J1886" i="1" a="1"/>
  <c r="J1886" i="1" s="1"/>
  <c r="J1894" i="1" a="1"/>
  <c r="J1894" i="1" s="1"/>
  <c r="J1902" i="1" a="1"/>
  <c r="J1902" i="1" s="1"/>
  <c r="J1910" i="1" a="1"/>
  <c r="J1910" i="1" s="1"/>
  <c r="J1918" i="1" a="1"/>
  <c r="J1918" i="1" s="1"/>
  <c r="J1926" i="1" a="1"/>
  <c r="J1926" i="1" s="1"/>
  <c r="J1934" i="1" a="1"/>
  <c r="J1934" i="1" s="1"/>
  <c r="J1942" i="1" a="1"/>
  <c r="J1942" i="1" s="1"/>
  <c r="J1950" i="1" a="1"/>
  <c r="J1950" i="1" s="1"/>
  <c r="J1958" i="1" a="1"/>
  <c r="J1958" i="1" s="1"/>
  <c r="J1966" i="1" a="1"/>
  <c r="J1966" i="1" s="1"/>
  <c r="J1974" i="1" a="1"/>
  <c r="J1974" i="1" s="1"/>
  <c r="J1983" i="1" a="1"/>
  <c r="J1983" i="1" s="1"/>
  <c r="J1986" i="1" a="1"/>
  <c r="J1986" i="1" s="1"/>
  <c r="J1989" i="1" a="1"/>
  <c r="J1989" i="1" s="1"/>
  <c r="J1992" i="1" a="1"/>
  <c r="J1992" i="1" s="1"/>
  <c r="J1999" i="1" a="1"/>
  <c r="J1999" i="1" s="1"/>
  <c r="J2002" i="1" a="1"/>
  <c r="J2002" i="1" s="1"/>
  <c r="J2004" i="1" a="1"/>
  <c r="J2004" i="1" s="1"/>
  <c r="J2007" i="1" a="1"/>
  <c r="J2007" i="1" s="1"/>
  <c r="J2010" i="1" a="1"/>
  <c r="J2010" i="1" s="1"/>
  <c r="J2012" i="1" a="1"/>
  <c r="J2012" i="1" s="1"/>
  <c r="J2015" i="1" a="1"/>
  <c r="J2015" i="1" s="1"/>
  <c r="J2018" i="1" a="1"/>
  <c r="J2018" i="1" s="1"/>
  <c r="J2020" i="1" a="1"/>
  <c r="J2020" i="1" s="1"/>
  <c r="J2023" i="1" a="1"/>
  <c r="J2023" i="1" s="1"/>
  <c r="J2026" i="1" a="1"/>
  <c r="J2026" i="1" s="1"/>
  <c r="J2028" i="1" a="1"/>
  <c r="J2028" i="1" s="1"/>
  <c r="J2031" i="1" a="1"/>
  <c r="J2031" i="1" s="1"/>
  <c r="J2034" i="1" a="1"/>
  <c r="J2034" i="1" s="1"/>
  <c r="J2036" i="1" a="1"/>
  <c r="J2036" i="1" s="1"/>
  <c r="J2039" i="1" a="1"/>
  <c r="J2039" i="1" s="1"/>
  <c r="J2042" i="1" a="1"/>
  <c r="J2042" i="1" s="1"/>
  <c r="J2044" i="1" a="1"/>
  <c r="J2044" i="1" s="1"/>
  <c r="J2047" i="1" a="1"/>
  <c r="J2047" i="1" s="1"/>
  <c r="J2050" i="1" a="1"/>
  <c r="J2050" i="1" s="1"/>
  <c r="J2052" i="1" a="1"/>
  <c r="J2052" i="1" s="1"/>
  <c r="J2055" i="1" a="1"/>
  <c r="J2055" i="1" s="1"/>
  <c r="J2058" i="1" a="1"/>
  <c r="J2058" i="1" s="1"/>
  <c r="J2060" i="1" a="1"/>
  <c r="J2060" i="1" s="1"/>
  <c r="J2063" i="1" a="1"/>
  <c r="J2063" i="1" s="1"/>
  <c r="J2066" i="1" a="1"/>
  <c r="J2066" i="1" s="1"/>
  <c r="J2068" i="1" a="1"/>
  <c r="J2068" i="1" s="1"/>
  <c r="J2071" i="1" a="1"/>
  <c r="J2071" i="1" s="1"/>
  <c r="J2074" i="1" a="1"/>
  <c r="J2074" i="1" s="1"/>
  <c r="J2076" i="1" a="1"/>
  <c r="J2076" i="1" s="1"/>
  <c r="J2079" i="1" a="1"/>
  <c r="J2079" i="1" s="1"/>
  <c r="J2082" i="1" a="1"/>
  <c r="J2082" i="1" s="1"/>
  <c r="J2084" i="1" a="1"/>
  <c r="J2084" i="1" s="1"/>
  <c r="J2087" i="1" a="1"/>
  <c r="J2087" i="1" s="1"/>
  <c r="J2090" i="1" a="1"/>
  <c r="J2090" i="1" s="1"/>
  <c r="J2092" i="1" a="1"/>
  <c r="J2092" i="1" s="1"/>
  <c r="J2095" i="1" a="1"/>
  <c r="J2095" i="1" s="1"/>
  <c r="J2103" i="1" a="1"/>
  <c r="J2103" i="1" s="1"/>
  <c r="J2105" i="1" a="1"/>
  <c r="J2105" i="1" s="1"/>
  <c r="J2107" i="1" a="1"/>
  <c r="J2107" i="1" s="1"/>
  <c r="J2109" i="1" a="1"/>
  <c r="J2109" i="1" s="1"/>
  <c r="J2111" i="1" a="1"/>
  <c r="J2111" i="1" s="1"/>
  <c r="J2113" i="1" a="1"/>
  <c r="J2113" i="1" s="1"/>
  <c r="J2115" i="1" a="1"/>
  <c r="J2115" i="1" s="1"/>
  <c r="J2117" i="1" a="1"/>
  <c r="J2117" i="1" s="1"/>
  <c r="J2119" i="1" a="1"/>
  <c r="J2119" i="1" s="1"/>
  <c r="J2121" i="1" a="1"/>
  <c r="J2121" i="1" s="1"/>
  <c r="J2123" i="1" a="1"/>
  <c r="J2123" i="1" s="1"/>
  <c r="J2125" i="1" a="1"/>
  <c r="J2125" i="1" s="1"/>
  <c r="J2127" i="1" a="1"/>
  <c r="J2127" i="1" s="1"/>
  <c r="J2129" i="1" a="1"/>
  <c r="J2129" i="1" s="1"/>
  <c r="J2131" i="1" a="1"/>
  <c r="J2131" i="1" s="1"/>
  <c r="J2133" i="1" a="1"/>
  <c r="J2133" i="1" s="1"/>
  <c r="J2135" i="1" a="1"/>
  <c r="J2135" i="1" s="1"/>
  <c r="J2137" i="1" a="1"/>
  <c r="J2137" i="1" s="1"/>
  <c r="J2139" i="1" a="1"/>
  <c r="J2139" i="1" s="1"/>
  <c r="J2141" i="1" a="1"/>
  <c r="J2141" i="1" s="1"/>
  <c r="J2143" i="1" a="1"/>
  <c r="J2143" i="1" s="1"/>
  <c r="J2145" i="1" a="1"/>
  <c r="J2145" i="1" s="1"/>
  <c r="J2147" i="1" a="1"/>
  <c r="J2147" i="1" s="1"/>
  <c r="J2149" i="1" a="1"/>
  <c r="J2149" i="1" s="1"/>
  <c r="J2151" i="1" a="1"/>
  <c r="J2151" i="1" s="1"/>
  <c r="J2153" i="1" a="1"/>
  <c r="J2153" i="1" s="1"/>
  <c r="J2155" i="1" a="1"/>
  <c r="J2155" i="1" s="1"/>
  <c r="J2157" i="1" a="1"/>
  <c r="J2157" i="1" s="1"/>
  <c r="J2159" i="1" a="1"/>
  <c r="J2159" i="1" s="1"/>
  <c r="J2161" i="1" a="1"/>
  <c r="J2161" i="1" s="1"/>
  <c r="J2163" i="1" a="1"/>
  <c r="J2163" i="1" s="1"/>
  <c r="J2165" i="1" a="1"/>
  <c r="J2165" i="1" s="1"/>
  <c r="J2167" i="1" a="1"/>
  <c r="J2167" i="1" s="1"/>
  <c r="J2169" i="1" a="1"/>
  <c r="J2169" i="1" s="1"/>
  <c r="J2171" i="1" a="1"/>
  <c r="J2171" i="1" s="1"/>
  <c r="J2173" i="1" a="1"/>
  <c r="J2173" i="1" s="1"/>
  <c r="J102" i="1" a="1"/>
  <c r="J102" i="1" s="1"/>
  <c r="J101" i="1" a="1"/>
  <c r="J101" i="1" s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J103" i="1" a="1"/>
  <c r="J103" i="1" s="1"/>
  <c r="I104" i="1" a="1"/>
  <c r="I104" i="1" s="1"/>
  <c r="J104" i="1" a="1"/>
  <c r="J104" i="1" s="1"/>
  <c r="I105" i="1" a="1"/>
  <c r="I105" i="1" s="1"/>
  <c r="J105" i="1" a="1"/>
  <c r="J105" i="1" s="1"/>
  <c r="I106" i="1" a="1"/>
  <c r="I106" i="1" s="1"/>
  <c r="J106" i="1" a="1"/>
  <c r="J106" i="1" s="1"/>
  <c r="I107" i="1" a="1"/>
  <c r="I107" i="1" s="1"/>
  <c r="J107" i="1" a="1"/>
  <c r="J107" i="1" s="1"/>
  <c r="I108" i="1" a="1"/>
  <c r="I108" i="1" s="1"/>
  <c r="J108" i="1" a="1"/>
  <c r="J108" i="1" s="1"/>
  <c r="I109" i="1" a="1"/>
  <c r="I109" i="1" s="1"/>
  <c r="J109" i="1" a="1"/>
  <c r="J109" i="1" s="1"/>
  <c r="I110" i="1" a="1"/>
  <c r="I110" i="1" s="1"/>
  <c r="J110" i="1" a="1"/>
  <c r="J110" i="1" s="1"/>
  <c r="I111" i="1" a="1"/>
  <c r="I111" i="1" s="1"/>
  <c r="J111" i="1" a="1"/>
  <c r="J111" i="1" s="1"/>
  <c r="I112" i="1" a="1"/>
  <c r="I112" i="1" s="1"/>
  <c r="J112" i="1" a="1"/>
  <c r="J112" i="1" s="1"/>
  <c r="I113" i="1" a="1"/>
  <c r="I113" i="1" s="1"/>
  <c r="J113" i="1" a="1"/>
  <c r="J113" i="1" s="1"/>
  <c r="I114" i="1" a="1"/>
  <c r="I114" i="1" s="1"/>
  <c r="J114" i="1" a="1"/>
  <c r="J114" i="1" s="1"/>
  <c r="I115" i="1" a="1"/>
  <c r="I115" i="1" s="1"/>
  <c r="J115" i="1" a="1"/>
  <c r="J115" i="1" s="1"/>
  <c r="I116" i="1" a="1"/>
  <c r="I116" i="1" s="1"/>
  <c r="J116" i="1" a="1"/>
  <c r="J116" i="1" s="1"/>
  <c r="I117" i="1" a="1"/>
  <c r="I117" i="1" s="1"/>
  <c r="J117" i="1" a="1"/>
  <c r="J117" i="1" s="1"/>
  <c r="I118" i="1" a="1"/>
  <c r="I118" i="1" s="1"/>
  <c r="J118" i="1" a="1"/>
  <c r="J118" i="1" s="1"/>
  <c r="I119" i="1" a="1"/>
  <c r="I119" i="1" s="1"/>
  <c r="J119" i="1" a="1"/>
  <c r="J119" i="1" s="1"/>
  <c r="I120" i="1" a="1"/>
  <c r="I120" i="1" s="1"/>
  <c r="J120" i="1" a="1"/>
  <c r="J120" i="1" s="1"/>
  <c r="I121" i="1" a="1"/>
  <c r="I121" i="1" s="1"/>
  <c r="J121" i="1" a="1"/>
  <c r="J121" i="1" s="1"/>
  <c r="I122" i="1" a="1"/>
  <c r="I122" i="1" s="1"/>
  <c r="J122" i="1" a="1"/>
  <c r="J122" i="1" s="1"/>
  <c r="I123" i="1" a="1"/>
  <c r="I123" i="1" s="1"/>
  <c r="J123" i="1" a="1"/>
  <c r="J123" i="1" s="1"/>
  <c r="I124" i="1" a="1"/>
  <c r="I124" i="1" s="1"/>
  <c r="J124" i="1" a="1"/>
  <c r="J124" i="1" s="1"/>
  <c r="I125" i="1" a="1"/>
  <c r="I125" i="1" s="1"/>
  <c r="J125" i="1" a="1"/>
  <c r="J125" i="1" s="1"/>
  <c r="I126" i="1" a="1"/>
  <c r="I126" i="1" s="1"/>
  <c r="J126" i="1" a="1"/>
  <c r="J126" i="1" s="1"/>
  <c r="I127" i="1" a="1"/>
  <c r="I127" i="1" s="1"/>
  <c r="J127" i="1" a="1"/>
  <c r="J127" i="1" s="1"/>
  <c r="I128" i="1" a="1"/>
  <c r="I128" i="1" s="1"/>
  <c r="J128" i="1" a="1"/>
  <c r="J128" i="1" s="1"/>
  <c r="I129" i="1" a="1"/>
  <c r="I129" i="1" s="1"/>
  <c r="J129" i="1" a="1"/>
  <c r="J129" i="1" s="1"/>
  <c r="I130" i="1" a="1"/>
  <c r="I130" i="1" s="1"/>
  <c r="J130" i="1" a="1"/>
  <c r="J130" i="1" s="1"/>
  <c r="I131" i="1" a="1"/>
  <c r="I131" i="1" s="1"/>
  <c r="J131" i="1" a="1"/>
  <c r="J131" i="1" s="1"/>
  <c r="I132" i="1" a="1"/>
  <c r="I132" i="1" s="1"/>
  <c r="J132" i="1" a="1"/>
  <c r="J132" i="1" s="1"/>
  <c r="I133" i="1" a="1"/>
  <c r="I133" i="1" s="1"/>
  <c r="J133" i="1" a="1"/>
  <c r="J133" i="1" s="1"/>
  <c r="I134" i="1" a="1"/>
  <c r="I134" i="1" s="1"/>
  <c r="J134" i="1" a="1"/>
  <c r="J134" i="1" s="1"/>
  <c r="I135" i="1" a="1"/>
  <c r="I135" i="1" s="1"/>
  <c r="J135" i="1" a="1"/>
  <c r="J135" i="1" s="1"/>
  <c r="I136" i="1" a="1"/>
  <c r="I136" i="1" s="1"/>
  <c r="J136" i="1" a="1"/>
  <c r="J136" i="1" s="1"/>
  <c r="I137" i="1" a="1"/>
  <c r="I137" i="1" s="1"/>
  <c r="J137" i="1" a="1"/>
  <c r="J137" i="1" s="1"/>
  <c r="I138" i="1" a="1"/>
  <c r="I138" i="1" s="1"/>
  <c r="J138" i="1" a="1"/>
  <c r="J138" i="1" s="1"/>
  <c r="I139" i="1" a="1"/>
  <c r="I139" i="1" s="1"/>
  <c r="J139" i="1" a="1"/>
  <c r="J139" i="1" s="1"/>
  <c r="I140" i="1" a="1"/>
  <c r="I140" i="1" s="1"/>
  <c r="J140" i="1" a="1"/>
  <c r="J140" i="1" s="1"/>
  <c r="I141" i="1" a="1"/>
  <c r="I141" i="1" s="1"/>
  <c r="J141" i="1" a="1"/>
  <c r="J141" i="1" s="1"/>
  <c r="I142" i="1" a="1"/>
  <c r="I142" i="1" s="1"/>
  <c r="J142" i="1" a="1"/>
  <c r="J142" i="1" s="1"/>
  <c r="I143" i="1" a="1"/>
  <c r="I143" i="1" s="1"/>
  <c r="J143" i="1" a="1"/>
  <c r="J143" i="1" s="1"/>
  <c r="I144" i="1" a="1"/>
  <c r="I144" i="1" s="1"/>
  <c r="J144" i="1" a="1"/>
  <c r="J144" i="1" s="1"/>
  <c r="I145" i="1" a="1"/>
  <c r="I145" i="1" s="1"/>
  <c r="J145" i="1" a="1"/>
  <c r="J145" i="1" s="1"/>
  <c r="I146" i="1" a="1"/>
  <c r="I146" i="1" s="1"/>
  <c r="J146" i="1" a="1"/>
  <c r="J146" i="1" s="1"/>
  <c r="I147" i="1" a="1"/>
  <c r="I147" i="1" s="1"/>
  <c r="J147" i="1" a="1"/>
  <c r="J147" i="1" s="1"/>
  <c r="I148" i="1" a="1"/>
  <c r="I148" i="1" s="1"/>
  <c r="J148" i="1" a="1"/>
  <c r="J148" i="1" s="1"/>
  <c r="I149" i="1" a="1"/>
  <c r="I149" i="1" s="1"/>
  <c r="J149" i="1" a="1"/>
  <c r="J149" i="1" s="1"/>
  <c r="I150" i="1" a="1"/>
  <c r="I150" i="1" s="1"/>
  <c r="J150" i="1" a="1"/>
  <c r="J150" i="1" s="1"/>
  <c r="I151" i="1" a="1"/>
  <c r="I151" i="1" s="1"/>
  <c r="J151" i="1" a="1"/>
  <c r="J151" i="1" s="1"/>
  <c r="I152" i="1" a="1"/>
  <c r="I152" i="1" s="1"/>
  <c r="J152" i="1" a="1"/>
  <c r="J152" i="1" s="1"/>
  <c r="I153" i="1" a="1"/>
  <c r="I153" i="1" s="1"/>
  <c r="J153" i="1" a="1"/>
  <c r="J153" i="1" s="1"/>
  <c r="I154" i="1" a="1"/>
  <c r="I154" i="1" s="1"/>
  <c r="J154" i="1" a="1"/>
  <c r="J154" i="1" s="1"/>
  <c r="I155" i="1" a="1"/>
  <c r="I155" i="1" s="1"/>
  <c r="J155" i="1" a="1"/>
  <c r="J155" i="1" s="1"/>
  <c r="I156" i="1" a="1"/>
  <c r="I156" i="1" s="1"/>
  <c r="J156" i="1" a="1"/>
  <c r="J156" i="1" s="1"/>
  <c r="I157" i="1" a="1"/>
  <c r="I157" i="1" s="1"/>
  <c r="J157" i="1" a="1"/>
  <c r="J157" i="1" s="1"/>
  <c r="I158" i="1" a="1"/>
  <c r="I158" i="1" s="1"/>
  <c r="J158" i="1" a="1"/>
  <c r="J158" i="1" s="1"/>
  <c r="I159" i="1" a="1"/>
  <c r="I159" i="1" s="1"/>
  <c r="J159" i="1" a="1"/>
  <c r="J159" i="1" s="1"/>
  <c r="I160" i="1" a="1"/>
  <c r="I160" i="1" s="1"/>
  <c r="J160" i="1" a="1"/>
  <c r="J160" i="1" s="1"/>
  <c r="I161" i="1" a="1"/>
  <c r="I161" i="1" s="1"/>
  <c r="J161" i="1" a="1"/>
  <c r="J161" i="1" s="1"/>
  <c r="I162" i="1" a="1"/>
  <c r="I162" i="1" s="1"/>
  <c r="J162" i="1" a="1"/>
  <c r="J162" i="1" s="1"/>
  <c r="I163" i="1" a="1"/>
  <c r="I163" i="1" s="1"/>
  <c r="J163" i="1" a="1"/>
  <c r="J163" i="1" s="1"/>
  <c r="I164" i="1" a="1"/>
  <c r="I164" i="1" s="1"/>
  <c r="J164" i="1" a="1"/>
  <c r="J164" i="1" s="1"/>
  <c r="I165" i="1" a="1"/>
  <c r="I165" i="1" s="1"/>
  <c r="J165" i="1" a="1"/>
  <c r="J165" i="1" s="1"/>
  <c r="I166" i="1" a="1"/>
  <c r="I166" i="1" s="1"/>
  <c r="J166" i="1" a="1"/>
  <c r="J166" i="1" s="1"/>
  <c r="I167" i="1" a="1"/>
  <c r="I167" i="1" s="1"/>
  <c r="J167" i="1" a="1"/>
  <c r="J167" i="1" s="1"/>
  <c r="I168" i="1" a="1"/>
  <c r="I168" i="1" s="1"/>
  <c r="J168" i="1" a="1"/>
  <c r="J168" i="1" s="1"/>
  <c r="I169" i="1" a="1"/>
  <c r="I169" i="1" s="1"/>
  <c r="J169" i="1" a="1"/>
  <c r="J169" i="1" s="1"/>
  <c r="I170" i="1" a="1"/>
  <c r="I170" i="1" s="1"/>
  <c r="J170" i="1" a="1"/>
  <c r="J170" i="1" s="1"/>
  <c r="I171" i="1" a="1"/>
  <c r="I171" i="1" s="1"/>
  <c r="J171" i="1" a="1"/>
  <c r="J171" i="1" s="1"/>
  <c r="I172" i="1" a="1"/>
  <c r="I172" i="1" s="1"/>
  <c r="J172" i="1" a="1"/>
  <c r="J172" i="1" s="1"/>
  <c r="I173" i="1" a="1"/>
  <c r="I173" i="1" s="1"/>
  <c r="J173" i="1" a="1"/>
  <c r="J173" i="1" s="1"/>
  <c r="I174" i="1" a="1"/>
  <c r="I174" i="1" s="1"/>
  <c r="J174" i="1" a="1"/>
  <c r="J174" i="1" s="1"/>
  <c r="I175" i="1" a="1"/>
  <c r="I175" i="1" s="1"/>
  <c r="J175" i="1" a="1"/>
  <c r="J175" i="1" s="1"/>
  <c r="I176" i="1" a="1"/>
  <c r="I176" i="1" s="1"/>
  <c r="J176" i="1" a="1"/>
  <c r="J176" i="1" s="1"/>
  <c r="I177" i="1" a="1"/>
  <c r="I177" i="1" s="1"/>
  <c r="J177" i="1" a="1"/>
  <c r="J177" i="1" s="1"/>
  <c r="I178" i="1" a="1"/>
  <c r="I178" i="1" s="1"/>
  <c r="J178" i="1" a="1"/>
  <c r="J178" i="1" s="1"/>
  <c r="I179" i="1" a="1"/>
  <c r="I179" i="1" s="1"/>
  <c r="J179" i="1" a="1"/>
  <c r="J179" i="1" s="1"/>
  <c r="I180" i="1" a="1"/>
  <c r="I180" i="1" s="1"/>
  <c r="J180" i="1" a="1"/>
  <c r="J180" i="1" s="1"/>
  <c r="I181" i="1" a="1"/>
  <c r="I181" i="1" s="1"/>
  <c r="J181" i="1" a="1"/>
  <c r="J181" i="1" s="1"/>
  <c r="I182" i="1" a="1"/>
  <c r="I182" i="1" s="1"/>
  <c r="J182" i="1" a="1"/>
  <c r="J182" i="1" s="1"/>
  <c r="I183" i="1" a="1"/>
  <c r="I183" i="1" s="1"/>
  <c r="J183" i="1" a="1"/>
  <c r="J183" i="1" s="1"/>
  <c r="I184" i="1" a="1"/>
  <c r="I184" i="1" s="1"/>
  <c r="J184" i="1" a="1"/>
  <c r="J184" i="1" s="1"/>
  <c r="I185" i="1" a="1"/>
  <c r="I185" i="1" s="1"/>
  <c r="J185" i="1" a="1"/>
  <c r="J185" i="1" s="1"/>
  <c r="I186" i="1" a="1"/>
  <c r="I186" i="1" s="1"/>
  <c r="J186" i="1" a="1"/>
  <c r="J186" i="1" s="1"/>
  <c r="I187" i="1" a="1"/>
  <c r="I187" i="1" s="1"/>
  <c r="J187" i="1" a="1"/>
  <c r="J187" i="1" s="1"/>
  <c r="I188" i="1" a="1"/>
  <c r="I188" i="1" s="1"/>
  <c r="J188" i="1" a="1"/>
  <c r="J188" i="1" s="1"/>
  <c r="I189" i="1" a="1"/>
  <c r="I189" i="1" s="1"/>
  <c r="J189" i="1" a="1"/>
  <c r="J189" i="1" s="1"/>
  <c r="I190" i="1" a="1"/>
  <c r="I190" i="1" s="1"/>
  <c r="J190" i="1" a="1"/>
  <c r="J190" i="1" s="1"/>
  <c r="I191" i="1" a="1"/>
  <c r="I191" i="1" s="1"/>
  <c r="J191" i="1" a="1"/>
  <c r="J191" i="1" s="1"/>
  <c r="I192" i="1" a="1"/>
  <c r="I192" i="1" s="1"/>
  <c r="J192" i="1" a="1"/>
  <c r="J192" i="1" s="1"/>
  <c r="I193" i="1" a="1"/>
  <c r="I193" i="1" s="1"/>
  <c r="J193" i="1" a="1"/>
  <c r="J193" i="1" s="1"/>
  <c r="I194" i="1" a="1"/>
  <c r="I194" i="1" s="1"/>
  <c r="J194" i="1" a="1"/>
  <c r="J194" i="1" s="1"/>
  <c r="I195" i="1" a="1"/>
  <c r="I195" i="1" s="1"/>
  <c r="J195" i="1" a="1"/>
  <c r="J195" i="1" s="1"/>
  <c r="I196" i="1" a="1"/>
  <c r="I196" i="1" s="1"/>
  <c r="J196" i="1" a="1"/>
  <c r="J196" i="1" s="1"/>
  <c r="I197" i="1" a="1"/>
  <c r="I197" i="1" s="1"/>
  <c r="J197" i="1" a="1"/>
  <c r="J197" i="1" s="1"/>
  <c r="I198" i="1" a="1"/>
  <c r="I198" i="1" s="1"/>
  <c r="J198" i="1" a="1"/>
  <c r="J198" i="1" s="1"/>
  <c r="I199" i="1" a="1"/>
  <c r="I199" i="1" s="1"/>
  <c r="J199" i="1" a="1"/>
  <c r="J199" i="1" s="1"/>
  <c r="I200" i="1" a="1"/>
  <c r="I200" i="1" s="1"/>
  <c r="J200" i="1" a="1"/>
  <c r="J200" i="1" s="1"/>
  <c r="I201" i="1" a="1"/>
  <c r="I201" i="1" s="1"/>
  <c r="J201" i="1" a="1"/>
  <c r="J201" i="1" s="1"/>
  <c r="I202" i="1" a="1"/>
  <c r="I202" i="1" s="1"/>
  <c r="J202" i="1" a="1"/>
  <c r="J202" i="1" s="1"/>
  <c r="I203" i="1" a="1"/>
  <c r="I203" i="1" s="1"/>
  <c r="J203" i="1" a="1"/>
  <c r="J203" i="1" s="1"/>
  <c r="I204" i="1" a="1"/>
  <c r="I204" i="1" s="1"/>
  <c r="J204" i="1" a="1"/>
  <c r="J204" i="1" s="1"/>
  <c r="I205" i="1" a="1"/>
  <c r="I205" i="1" s="1"/>
  <c r="J205" i="1" a="1"/>
  <c r="J205" i="1" s="1"/>
  <c r="I206" i="1" a="1"/>
  <c r="I206" i="1" s="1"/>
  <c r="J206" i="1" a="1"/>
  <c r="J206" i="1" s="1"/>
  <c r="I207" i="1" a="1"/>
  <c r="I207" i="1" s="1"/>
  <c r="J207" i="1" a="1"/>
  <c r="J207" i="1" s="1"/>
  <c r="I208" i="1" a="1"/>
  <c r="I208" i="1" s="1"/>
  <c r="J208" i="1" a="1"/>
  <c r="J208" i="1" s="1"/>
  <c r="I209" i="1" a="1"/>
  <c r="I209" i="1" s="1"/>
  <c r="J209" i="1" a="1"/>
  <c r="J209" i="1" s="1"/>
  <c r="I210" i="1" a="1"/>
  <c r="I210" i="1" s="1"/>
  <c r="J210" i="1" a="1"/>
  <c r="J210" i="1" s="1"/>
  <c r="I211" i="1" a="1"/>
  <c r="I211" i="1" s="1"/>
  <c r="J211" i="1" a="1"/>
  <c r="J211" i="1" s="1"/>
  <c r="I212" i="1" a="1"/>
  <c r="I212" i="1" s="1"/>
  <c r="J212" i="1" a="1"/>
  <c r="J212" i="1" s="1"/>
  <c r="I213" i="1" a="1"/>
  <c r="I213" i="1" s="1"/>
  <c r="J213" i="1" a="1"/>
  <c r="J213" i="1" s="1"/>
  <c r="I214" i="1" a="1"/>
  <c r="I214" i="1" s="1"/>
  <c r="J214" i="1" a="1"/>
  <c r="J214" i="1" s="1"/>
  <c r="I215" i="1" a="1"/>
  <c r="I215" i="1" s="1"/>
  <c r="J215" i="1" a="1"/>
  <c r="J215" i="1" s="1"/>
  <c r="I216" i="1" a="1"/>
  <c r="I216" i="1" s="1"/>
  <c r="J216" i="1" a="1"/>
  <c r="J216" i="1" s="1"/>
  <c r="I217" i="1" a="1"/>
  <c r="I217" i="1" s="1"/>
  <c r="J217" i="1" a="1"/>
  <c r="J217" i="1" s="1"/>
  <c r="I218" i="1" a="1"/>
  <c r="I218" i="1" s="1"/>
  <c r="J218" i="1" a="1"/>
  <c r="J218" i="1" s="1"/>
  <c r="I219" i="1" a="1"/>
  <c r="I219" i="1" s="1"/>
  <c r="J219" i="1" a="1"/>
  <c r="J219" i="1" s="1"/>
  <c r="I220" i="1" a="1"/>
  <c r="I220" i="1" s="1"/>
  <c r="J220" i="1" a="1"/>
  <c r="J220" i="1" s="1"/>
  <c r="I221" i="1" a="1"/>
  <c r="I221" i="1" s="1"/>
  <c r="J221" i="1" a="1"/>
  <c r="J221" i="1" s="1"/>
  <c r="I222" i="1" a="1"/>
  <c r="I222" i="1" s="1"/>
  <c r="J222" i="1" a="1"/>
  <c r="J222" i="1" s="1"/>
  <c r="I223" i="1" a="1"/>
  <c r="I223" i="1" s="1"/>
  <c r="J223" i="1" a="1"/>
  <c r="J223" i="1" s="1"/>
  <c r="I224" i="1" a="1"/>
  <c r="I224" i="1" s="1"/>
  <c r="J224" i="1" a="1"/>
  <c r="J224" i="1" s="1"/>
  <c r="I225" i="1" a="1"/>
  <c r="I225" i="1" s="1"/>
  <c r="J225" i="1" a="1"/>
  <c r="J225" i="1" s="1"/>
  <c r="I226" i="1" a="1"/>
  <c r="I226" i="1" s="1"/>
  <c r="J226" i="1" a="1"/>
  <c r="J226" i="1" s="1"/>
  <c r="I227" i="1" a="1"/>
  <c r="I227" i="1" s="1"/>
  <c r="J227" i="1" a="1"/>
  <c r="J227" i="1" s="1"/>
  <c r="I228" i="1" a="1"/>
  <c r="I228" i="1" s="1"/>
  <c r="J228" i="1" a="1"/>
  <c r="J228" i="1" s="1"/>
  <c r="I229" i="1" a="1"/>
  <c r="I229" i="1" s="1"/>
  <c r="J229" i="1" a="1"/>
  <c r="J229" i="1" s="1"/>
  <c r="I230" i="1" a="1"/>
  <c r="I230" i="1" s="1"/>
  <c r="J230" i="1" a="1"/>
  <c r="J230" i="1" s="1"/>
  <c r="I231" i="1" a="1"/>
  <c r="I231" i="1" s="1"/>
  <c r="J231" i="1" a="1"/>
  <c r="J231" i="1" s="1"/>
  <c r="I232" i="1" a="1"/>
  <c r="I232" i="1" s="1"/>
  <c r="J232" i="1" a="1"/>
  <c r="J232" i="1" s="1"/>
  <c r="I233" i="1" a="1"/>
  <c r="I233" i="1" s="1"/>
  <c r="J233" i="1" a="1"/>
  <c r="J233" i="1" s="1"/>
  <c r="I234" i="1" a="1"/>
  <c r="I234" i="1" s="1"/>
  <c r="J234" i="1" a="1"/>
  <c r="J234" i="1" s="1"/>
  <c r="I235" i="1" a="1"/>
  <c r="I235" i="1" s="1"/>
  <c r="J235" i="1" a="1"/>
  <c r="J235" i="1" s="1"/>
  <c r="I236" i="1" a="1"/>
  <c r="I236" i="1" s="1"/>
  <c r="J236" i="1" a="1"/>
  <c r="J236" i="1" s="1"/>
  <c r="I237" i="1" a="1"/>
  <c r="I237" i="1" s="1"/>
  <c r="J237" i="1" a="1"/>
  <c r="J237" i="1" s="1"/>
  <c r="I238" i="1" a="1"/>
  <c r="I238" i="1" s="1"/>
  <c r="J238" i="1" a="1"/>
  <c r="J238" i="1" s="1"/>
  <c r="I239" i="1" a="1"/>
  <c r="I239" i="1" s="1"/>
  <c r="J239" i="1" a="1"/>
  <c r="J239" i="1" s="1"/>
  <c r="I240" i="1" a="1"/>
  <c r="I240" i="1" s="1"/>
  <c r="J240" i="1" a="1"/>
  <c r="J240" i="1" s="1"/>
  <c r="I241" i="1" a="1"/>
  <c r="I241" i="1" s="1"/>
  <c r="J241" i="1" a="1"/>
  <c r="J241" i="1" s="1"/>
  <c r="I242" i="1" a="1"/>
  <c r="I242" i="1" s="1"/>
  <c r="J242" i="1" a="1"/>
  <c r="J242" i="1" s="1"/>
  <c r="I243" i="1" a="1"/>
  <c r="I243" i="1" s="1"/>
  <c r="J243" i="1" a="1"/>
  <c r="J243" i="1" s="1"/>
  <c r="I244" i="1" a="1"/>
  <c r="I244" i="1" s="1"/>
  <c r="J244" i="1" a="1"/>
  <c r="J244" i="1" s="1"/>
  <c r="I245" i="1" a="1"/>
  <c r="I245" i="1" s="1"/>
  <c r="J245" i="1" a="1"/>
  <c r="J245" i="1" s="1"/>
  <c r="I246" i="1" a="1"/>
  <c r="I246" i="1" s="1"/>
  <c r="J246" i="1" a="1"/>
  <c r="J246" i="1" s="1"/>
  <c r="I247" i="1" a="1"/>
  <c r="I247" i="1" s="1"/>
  <c r="J247" i="1" a="1"/>
  <c r="J247" i="1" s="1"/>
  <c r="I248" i="1" a="1"/>
  <c r="I248" i="1" s="1"/>
  <c r="J248" i="1" a="1"/>
  <c r="J248" i="1" s="1"/>
  <c r="I249" i="1" a="1"/>
  <c r="I249" i="1" s="1"/>
  <c r="J249" i="1" a="1"/>
  <c r="J249" i="1" s="1"/>
  <c r="I250" i="1" a="1"/>
  <c r="I250" i="1" s="1"/>
  <c r="J250" i="1" a="1"/>
  <c r="J250" i="1" s="1"/>
  <c r="I251" i="1" a="1"/>
  <c r="I251" i="1" s="1"/>
  <c r="J251" i="1" a="1"/>
  <c r="J251" i="1" s="1"/>
  <c r="I252" i="1" a="1"/>
  <c r="I252" i="1" s="1"/>
  <c r="J252" i="1" a="1"/>
  <c r="J252" i="1" s="1"/>
  <c r="I253" i="1" a="1"/>
  <c r="I253" i="1" s="1"/>
  <c r="J253" i="1" a="1"/>
  <c r="J253" i="1" s="1"/>
  <c r="I254" i="1" a="1"/>
  <c r="I254" i="1" s="1"/>
  <c r="J254" i="1" a="1"/>
  <c r="J254" i="1" s="1"/>
  <c r="I255" i="1" a="1"/>
  <c r="I255" i="1" s="1"/>
  <c r="J255" i="1" a="1"/>
  <c r="J255" i="1" s="1"/>
  <c r="I256" i="1" a="1"/>
  <c r="I256" i="1" s="1"/>
  <c r="J256" i="1" a="1"/>
  <c r="J256" i="1" s="1"/>
  <c r="I257" i="1" a="1"/>
  <c r="I257" i="1" s="1"/>
  <c r="J257" i="1" a="1"/>
  <c r="J257" i="1" s="1"/>
  <c r="I258" i="1" a="1"/>
  <c r="I258" i="1" s="1"/>
  <c r="J258" i="1" a="1"/>
  <c r="J258" i="1" s="1"/>
  <c r="I259" i="1" a="1"/>
  <c r="I259" i="1" s="1"/>
  <c r="J259" i="1" a="1"/>
  <c r="J259" i="1" s="1"/>
  <c r="I260" i="1" a="1"/>
  <c r="I260" i="1" s="1"/>
  <c r="J260" i="1" a="1"/>
  <c r="J260" i="1" s="1"/>
  <c r="I261" i="1" a="1"/>
  <c r="I261" i="1" s="1"/>
  <c r="J261" i="1" a="1"/>
  <c r="J261" i="1" s="1"/>
  <c r="I262" i="1" a="1"/>
  <c r="I262" i="1" s="1"/>
  <c r="J262" i="1" a="1"/>
  <c r="J262" i="1" s="1"/>
  <c r="I263" i="1" a="1"/>
  <c r="I263" i="1" s="1"/>
  <c r="J263" i="1" a="1"/>
  <c r="J263" i="1" s="1"/>
  <c r="I264" i="1" a="1"/>
  <c r="I264" i="1" s="1"/>
  <c r="J264" i="1" a="1"/>
  <c r="J264" i="1" s="1"/>
  <c r="I265" i="1" a="1"/>
  <c r="I265" i="1" s="1"/>
  <c r="J265" i="1" a="1"/>
  <c r="J265" i="1" s="1"/>
  <c r="I266" i="1" a="1"/>
  <c r="I266" i="1" s="1"/>
  <c r="J266" i="1" a="1"/>
  <c r="J266" i="1" s="1"/>
  <c r="I267" i="1" a="1"/>
  <c r="I267" i="1" s="1"/>
  <c r="J267" i="1" a="1"/>
  <c r="J267" i="1" s="1"/>
  <c r="I268" i="1" a="1"/>
  <c r="I268" i="1" s="1"/>
  <c r="J268" i="1" a="1"/>
  <c r="J268" i="1" s="1"/>
  <c r="I269" i="1" a="1"/>
  <c r="I269" i="1" s="1"/>
  <c r="J269" i="1" a="1"/>
  <c r="J269" i="1" s="1"/>
  <c r="I270" i="1" a="1"/>
  <c r="I270" i="1" s="1"/>
  <c r="J270" i="1" a="1"/>
  <c r="J270" i="1" s="1"/>
  <c r="I271" i="1" a="1"/>
  <c r="I271" i="1" s="1"/>
  <c r="J271" i="1" a="1"/>
  <c r="J271" i="1" s="1"/>
  <c r="I272" i="1" a="1"/>
  <c r="I272" i="1" s="1"/>
  <c r="J272" i="1" a="1"/>
  <c r="J272" i="1" s="1"/>
  <c r="I273" i="1" a="1"/>
  <c r="I273" i="1" s="1"/>
  <c r="J273" i="1" a="1"/>
  <c r="J273" i="1" s="1"/>
  <c r="I274" i="1" a="1"/>
  <c r="I274" i="1" s="1"/>
  <c r="J274" i="1" a="1"/>
  <c r="J274" i="1" s="1"/>
  <c r="I275" i="1" a="1"/>
  <c r="I275" i="1" s="1"/>
  <c r="J275" i="1" a="1"/>
  <c r="J275" i="1" s="1"/>
  <c r="I276" i="1" a="1"/>
  <c r="I276" i="1" s="1"/>
  <c r="J276" i="1" a="1"/>
  <c r="J276" i="1" s="1"/>
  <c r="I277" i="1" a="1"/>
  <c r="I277" i="1" s="1"/>
  <c r="J277" i="1" a="1"/>
  <c r="J277" i="1" s="1"/>
  <c r="I278" i="1" a="1"/>
  <c r="I278" i="1" s="1"/>
  <c r="J278" i="1" a="1"/>
  <c r="J278" i="1" s="1"/>
  <c r="I279" i="1" a="1"/>
  <c r="I279" i="1" s="1"/>
  <c r="J279" i="1" a="1"/>
  <c r="J279" i="1" s="1"/>
  <c r="I280" i="1" a="1"/>
  <c r="I280" i="1" s="1"/>
  <c r="J280" i="1" a="1"/>
  <c r="J280" i="1" s="1"/>
  <c r="I281" i="1" a="1"/>
  <c r="I281" i="1" s="1"/>
  <c r="J281" i="1" a="1"/>
  <c r="J281" i="1" s="1"/>
  <c r="I282" i="1" a="1"/>
  <c r="I282" i="1" s="1"/>
  <c r="J282" i="1" a="1"/>
  <c r="J282" i="1" s="1"/>
  <c r="I283" i="1" a="1"/>
  <c r="I283" i="1" s="1"/>
  <c r="J283" i="1" a="1"/>
  <c r="J283" i="1" s="1"/>
  <c r="I284" i="1" a="1"/>
  <c r="I284" i="1" s="1"/>
  <c r="J284" i="1" a="1"/>
  <c r="J284" i="1" s="1"/>
  <c r="I285" i="1" a="1"/>
  <c r="I285" i="1" s="1"/>
  <c r="J285" i="1" a="1"/>
  <c r="J285" i="1" s="1"/>
  <c r="I286" i="1" a="1"/>
  <c r="I286" i="1" s="1"/>
  <c r="J286" i="1" a="1"/>
  <c r="J286" i="1" s="1"/>
  <c r="I287" i="1" a="1"/>
  <c r="I287" i="1" s="1"/>
  <c r="J287" i="1" a="1"/>
  <c r="J287" i="1" s="1"/>
  <c r="I288" i="1" a="1"/>
  <c r="I288" i="1" s="1"/>
  <c r="J288" i="1" a="1"/>
  <c r="J288" i="1" s="1"/>
  <c r="I289" i="1" a="1"/>
  <c r="I289" i="1" s="1"/>
  <c r="J289" i="1" a="1"/>
  <c r="J289" i="1" s="1"/>
  <c r="I290" i="1" a="1"/>
  <c r="I290" i="1" s="1"/>
  <c r="J290" i="1" a="1"/>
  <c r="J290" i="1" s="1"/>
  <c r="I291" i="1" a="1"/>
  <c r="I291" i="1" s="1"/>
  <c r="J291" i="1" a="1"/>
  <c r="J291" i="1" s="1"/>
  <c r="I292" i="1" a="1"/>
  <c r="I292" i="1" s="1"/>
  <c r="J292" i="1" a="1"/>
  <c r="J292" i="1" s="1"/>
  <c r="I293" i="1" a="1"/>
  <c r="I293" i="1" s="1"/>
  <c r="J293" i="1" a="1"/>
  <c r="J293" i="1" s="1"/>
  <c r="I294" i="1" a="1"/>
  <c r="I294" i="1" s="1"/>
  <c r="J294" i="1" a="1"/>
  <c r="J294" i="1" s="1"/>
  <c r="I295" i="1" a="1"/>
  <c r="I295" i="1" s="1"/>
  <c r="J295" i="1" a="1"/>
  <c r="J295" i="1" s="1"/>
  <c r="I296" i="1" a="1"/>
  <c r="I296" i="1" s="1"/>
  <c r="J296" i="1" a="1"/>
  <c r="J296" i="1" s="1"/>
  <c r="I297" i="1" a="1"/>
  <c r="I297" i="1" s="1"/>
  <c r="J297" i="1" a="1"/>
  <c r="J297" i="1" s="1"/>
  <c r="I298" i="1" a="1"/>
  <c r="I298" i="1" s="1"/>
  <c r="J298" i="1" a="1"/>
  <c r="J298" i="1" s="1"/>
  <c r="I299" i="1" a="1"/>
  <c r="I299" i="1" s="1"/>
  <c r="J299" i="1" a="1"/>
  <c r="J299" i="1" s="1"/>
  <c r="I300" i="1" a="1"/>
  <c r="I300" i="1" s="1"/>
  <c r="J300" i="1" a="1"/>
  <c r="J300" i="1" s="1"/>
  <c r="I301" i="1" a="1"/>
  <c r="I301" i="1" s="1"/>
  <c r="J301" i="1" a="1"/>
  <c r="J301" i="1" s="1"/>
  <c r="I302" i="1" a="1"/>
  <c r="I302" i="1" s="1"/>
  <c r="J302" i="1" a="1"/>
  <c r="J302" i="1" s="1"/>
  <c r="I303" i="1" a="1"/>
  <c r="I303" i="1" s="1"/>
  <c r="J303" i="1" a="1"/>
  <c r="J303" i="1" s="1"/>
  <c r="I304" i="1" a="1"/>
  <c r="I304" i="1" s="1"/>
  <c r="J304" i="1" a="1"/>
  <c r="J304" i="1" s="1"/>
  <c r="I305" i="1" a="1"/>
  <c r="I305" i="1" s="1"/>
  <c r="J305" i="1" a="1"/>
  <c r="J305" i="1" s="1"/>
  <c r="I306" i="1" a="1"/>
  <c r="I306" i="1" s="1"/>
  <c r="J306" i="1" a="1"/>
  <c r="J306" i="1" s="1"/>
  <c r="I307" i="1" a="1"/>
  <c r="I307" i="1" s="1"/>
  <c r="J307" i="1" a="1"/>
  <c r="J307" i="1" s="1"/>
  <c r="I308" i="1" a="1"/>
  <c r="I308" i="1" s="1"/>
  <c r="J308" i="1" a="1"/>
  <c r="J308" i="1" s="1"/>
  <c r="I309" i="1" a="1"/>
  <c r="I309" i="1" s="1"/>
  <c r="J309" i="1" a="1"/>
  <c r="J309" i="1" s="1"/>
  <c r="I310" i="1" a="1"/>
  <c r="I310" i="1" s="1"/>
  <c r="J310" i="1" a="1"/>
  <c r="J310" i="1" s="1"/>
  <c r="I311" i="1" a="1"/>
  <c r="I311" i="1" s="1"/>
  <c r="J311" i="1" a="1"/>
  <c r="J311" i="1" s="1"/>
  <c r="I312" i="1" a="1"/>
  <c r="I312" i="1" s="1"/>
  <c r="J312" i="1" a="1"/>
  <c r="J312" i="1" s="1"/>
  <c r="I313" i="1" a="1"/>
  <c r="I313" i="1" s="1"/>
  <c r="J313" i="1" a="1"/>
  <c r="J313" i="1" s="1"/>
  <c r="I314" i="1" a="1"/>
  <c r="I314" i="1" s="1"/>
  <c r="J314" i="1" a="1"/>
  <c r="J314" i="1" s="1"/>
  <c r="I315" i="1" a="1"/>
  <c r="I315" i="1" s="1"/>
  <c r="J315" i="1" a="1"/>
  <c r="J315" i="1" s="1"/>
  <c r="I316" i="1" a="1"/>
  <c r="I316" i="1" s="1"/>
  <c r="J316" i="1" a="1"/>
  <c r="J316" i="1" s="1"/>
  <c r="I317" i="1" a="1"/>
  <c r="I317" i="1" s="1"/>
  <c r="J317" i="1" a="1"/>
  <c r="J317" i="1" s="1"/>
  <c r="I318" i="1" a="1"/>
  <c r="I318" i="1" s="1"/>
  <c r="J318" i="1" a="1"/>
  <c r="J318" i="1" s="1"/>
  <c r="I319" i="1" a="1"/>
  <c r="I319" i="1" s="1"/>
  <c r="J319" i="1" a="1"/>
  <c r="J319" i="1" s="1"/>
  <c r="I320" i="1" a="1"/>
  <c r="I320" i="1" s="1"/>
  <c r="J320" i="1" a="1"/>
  <c r="J320" i="1" s="1"/>
  <c r="I321" i="1" a="1"/>
  <c r="I321" i="1" s="1"/>
  <c r="J321" i="1" a="1"/>
  <c r="J321" i="1" s="1"/>
  <c r="I322" i="1" a="1"/>
  <c r="I322" i="1" s="1"/>
  <c r="J322" i="1" a="1"/>
  <c r="J322" i="1" s="1"/>
  <c r="I323" i="1" a="1"/>
  <c r="I323" i="1" s="1"/>
  <c r="J323" i="1" a="1"/>
  <c r="J323" i="1" s="1"/>
  <c r="I324" i="1" a="1"/>
  <c r="I324" i="1" s="1"/>
  <c r="J324" i="1" a="1"/>
  <c r="J324" i="1" s="1"/>
  <c r="I325" i="1" a="1"/>
  <c r="I325" i="1" s="1"/>
  <c r="J325" i="1" a="1"/>
  <c r="J325" i="1" s="1"/>
  <c r="I326" i="1" a="1"/>
  <c r="I326" i="1" s="1"/>
  <c r="J326" i="1" a="1"/>
  <c r="J326" i="1" s="1"/>
  <c r="I327" i="1" a="1"/>
  <c r="I327" i="1" s="1"/>
  <c r="J327" i="1" a="1"/>
  <c r="J327" i="1" s="1"/>
  <c r="I328" i="1" a="1"/>
  <c r="I328" i="1" s="1"/>
  <c r="J328" i="1" a="1"/>
  <c r="J328" i="1" s="1"/>
  <c r="I329" i="1" a="1"/>
  <c r="I329" i="1" s="1"/>
  <c r="J329" i="1" a="1"/>
  <c r="J329" i="1" s="1"/>
  <c r="I330" i="1" a="1"/>
  <c r="I330" i="1" s="1"/>
  <c r="J330" i="1" a="1"/>
  <c r="J330" i="1" s="1"/>
  <c r="I331" i="1" a="1"/>
  <c r="I331" i="1" s="1"/>
  <c r="J331" i="1" a="1"/>
  <c r="J331" i="1" s="1"/>
  <c r="I332" i="1" a="1"/>
  <c r="I332" i="1" s="1"/>
  <c r="J332" i="1" a="1"/>
  <c r="J332" i="1" s="1"/>
  <c r="I333" i="1" a="1"/>
  <c r="I333" i="1" s="1"/>
  <c r="J333" i="1" a="1"/>
  <c r="J333" i="1" s="1"/>
  <c r="I334" i="1" a="1"/>
  <c r="I334" i="1" s="1"/>
  <c r="J334" i="1" a="1"/>
  <c r="J334" i="1" s="1"/>
  <c r="I335" i="1" a="1"/>
  <c r="I335" i="1" s="1"/>
  <c r="J335" i="1" a="1"/>
  <c r="J335" i="1" s="1"/>
  <c r="I336" i="1" a="1"/>
  <c r="I336" i="1" s="1"/>
  <c r="J336" i="1" a="1"/>
  <c r="J336" i="1" s="1"/>
  <c r="I337" i="1" a="1"/>
  <c r="I337" i="1" s="1"/>
  <c r="J337" i="1" a="1"/>
  <c r="J337" i="1" s="1"/>
  <c r="I338" i="1" a="1"/>
  <c r="I338" i="1" s="1"/>
  <c r="J338" i="1" a="1"/>
  <c r="J338" i="1" s="1"/>
  <c r="I339" i="1" a="1"/>
  <c r="I339" i="1" s="1"/>
  <c r="J339" i="1" a="1"/>
  <c r="J339" i="1" s="1"/>
  <c r="I340" i="1" a="1"/>
  <c r="I340" i="1" s="1"/>
  <c r="J340" i="1" a="1"/>
  <c r="J340" i="1" s="1"/>
  <c r="I341" i="1" a="1"/>
  <c r="I341" i="1" s="1"/>
  <c r="J341" i="1" a="1"/>
  <c r="J341" i="1" s="1"/>
  <c r="I342" i="1" a="1"/>
  <c r="I342" i="1" s="1"/>
  <c r="J342" i="1" a="1"/>
  <c r="J342" i="1" s="1"/>
  <c r="I343" i="1" a="1"/>
  <c r="I343" i="1" s="1"/>
  <c r="J343" i="1" a="1"/>
  <c r="J343" i="1" s="1"/>
  <c r="I344" i="1" a="1"/>
  <c r="I344" i="1" s="1"/>
  <c r="J344" i="1" a="1"/>
  <c r="J344" i="1" s="1"/>
  <c r="I345" i="1" a="1"/>
  <c r="I345" i="1" s="1"/>
  <c r="J345" i="1" a="1"/>
  <c r="J345" i="1" s="1"/>
  <c r="I346" i="1" a="1"/>
  <c r="I346" i="1" s="1"/>
  <c r="J346" i="1" a="1"/>
  <c r="J346" i="1" s="1"/>
  <c r="I347" i="1" a="1"/>
  <c r="I347" i="1" s="1"/>
  <c r="J347" i="1" a="1"/>
  <c r="J347" i="1" s="1"/>
  <c r="I348" i="1" a="1"/>
  <c r="I348" i="1" s="1"/>
  <c r="J348" i="1" a="1"/>
  <c r="J348" i="1" s="1"/>
  <c r="I349" i="1" a="1"/>
  <c r="I349" i="1" s="1"/>
  <c r="J349" i="1" a="1"/>
  <c r="J349" i="1" s="1"/>
  <c r="I350" i="1" a="1"/>
  <c r="I350" i="1" s="1"/>
  <c r="J350" i="1" a="1"/>
  <c r="J350" i="1" s="1"/>
  <c r="I351" i="1" a="1"/>
  <c r="I351" i="1" s="1"/>
  <c r="J351" i="1" a="1"/>
  <c r="J351" i="1" s="1"/>
  <c r="I352" i="1" a="1"/>
  <c r="I352" i="1" s="1"/>
  <c r="J352" i="1" a="1"/>
  <c r="J352" i="1" s="1"/>
  <c r="I353" i="1" a="1"/>
  <c r="I353" i="1" s="1"/>
  <c r="J353" i="1" a="1"/>
  <c r="J353" i="1" s="1"/>
  <c r="I354" i="1" a="1"/>
  <c r="I354" i="1" s="1"/>
  <c r="J354" i="1" a="1"/>
  <c r="J354" i="1" s="1"/>
  <c r="I355" i="1" a="1"/>
  <c r="I355" i="1" s="1"/>
  <c r="J355" i="1" a="1"/>
  <c r="J355" i="1" s="1"/>
  <c r="I356" i="1" a="1"/>
  <c r="I356" i="1" s="1"/>
  <c r="J356" i="1" a="1"/>
  <c r="J356" i="1" s="1"/>
  <c r="I357" i="1" a="1"/>
  <c r="I357" i="1" s="1"/>
  <c r="J357" i="1" a="1"/>
  <c r="J357" i="1" s="1"/>
  <c r="I358" i="1" a="1"/>
  <c r="I358" i="1" s="1"/>
  <c r="J358" i="1" a="1"/>
  <c r="J358" i="1" s="1"/>
  <c r="I359" i="1" a="1"/>
  <c r="I359" i="1" s="1"/>
  <c r="J359" i="1" a="1"/>
  <c r="J359" i="1" s="1"/>
  <c r="I360" i="1" a="1"/>
  <c r="I360" i="1" s="1"/>
  <c r="J360" i="1" a="1"/>
  <c r="J360" i="1" s="1"/>
  <c r="I361" i="1" a="1"/>
  <c r="I361" i="1" s="1"/>
  <c r="J361" i="1" a="1"/>
  <c r="J361" i="1" s="1"/>
  <c r="I362" i="1" a="1"/>
  <c r="I362" i="1" s="1"/>
  <c r="J362" i="1" a="1"/>
  <c r="J362" i="1" s="1"/>
  <c r="I363" i="1" a="1"/>
  <c r="I363" i="1" s="1"/>
  <c r="J363" i="1" a="1"/>
  <c r="J363" i="1" s="1"/>
  <c r="I364" i="1" a="1"/>
  <c r="I364" i="1" s="1"/>
  <c r="J364" i="1" a="1"/>
  <c r="J364" i="1" s="1"/>
  <c r="I365" i="1" a="1"/>
  <c r="I365" i="1" s="1"/>
  <c r="J365" i="1" a="1"/>
  <c r="J365" i="1" s="1"/>
  <c r="I366" i="1" a="1"/>
  <c r="I366" i="1" s="1"/>
  <c r="J366" i="1" a="1"/>
  <c r="J366" i="1" s="1"/>
  <c r="I367" i="1" a="1"/>
  <c r="I367" i="1" s="1"/>
  <c r="J367" i="1" a="1"/>
  <c r="J367" i="1" s="1"/>
  <c r="I368" i="1" a="1"/>
  <c r="I368" i="1" s="1"/>
  <c r="J368" i="1" a="1"/>
  <c r="J368" i="1" s="1"/>
  <c r="I369" i="1" a="1"/>
  <c r="I369" i="1" s="1"/>
  <c r="J369" i="1" a="1"/>
  <c r="J369" i="1" s="1"/>
  <c r="I370" i="1" a="1"/>
  <c r="I370" i="1" s="1"/>
  <c r="J370" i="1" a="1"/>
  <c r="J370" i="1" s="1"/>
  <c r="I371" i="1" a="1"/>
  <c r="I371" i="1" s="1"/>
  <c r="J371" i="1" a="1"/>
  <c r="J371" i="1" s="1"/>
  <c r="I372" i="1" a="1"/>
  <c r="I372" i="1" s="1"/>
  <c r="J372" i="1" a="1"/>
  <c r="J372" i="1" s="1"/>
  <c r="I373" i="1" a="1"/>
  <c r="I373" i="1" s="1"/>
  <c r="J373" i="1" a="1"/>
  <c r="J373" i="1" s="1"/>
  <c r="I374" i="1" a="1"/>
  <c r="I374" i="1" s="1"/>
  <c r="J374" i="1" a="1"/>
  <c r="J374" i="1" s="1"/>
  <c r="I375" i="1" a="1"/>
  <c r="I375" i="1" s="1"/>
  <c r="J375" i="1" a="1"/>
  <c r="J375" i="1" s="1"/>
  <c r="I376" i="1" a="1"/>
  <c r="I376" i="1" s="1"/>
  <c r="J376" i="1" a="1"/>
  <c r="J376" i="1" s="1"/>
  <c r="I377" i="1" a="1"/>
  <c r="I377" i="1" s="1"/>
  <c r="J377" i="1" a="1"/>
  <c r="J377" i="1" s="1"/>
  <c r="I378" i="1" a="1"/>
  <c r="I378" i="1" s="1"/>
  <c r="J378" i="1" a="1"/>
  <c r="J378" i="1" s="1"/>
  <c r="I379" i="1" a="1"/>
  <c r="I379" i="1" s="1"/>
  <c r="J379" i="1" a="1"/>
  <c r="J379" i="1" s="1"/>
  <c r="I380" i="1" a="1"/>
  <c r="I380" i="1" s="1"/>
  <c r="J380" i="1" a="1"/>
  <c r="J380" i="1" s="1"/>
  <c r="I381" i="1" a="1"/>
  <c r="I381" i="1" s="1"/>
  <c r="J381" i="1" a="1"/>
  <c r="J381" i="1" s="1"/>
  <c r="I382" i="1" a="1"/>
  <c r="I382" i="1" s="1"/>
  <c r="J382" i="1" a="1"/>
  <c r="J382" i="1" s="1"/>
  <c r="I383" i="1" a="1"/>
  <c r="I383" i="1" s="1"/>
  <c r="J383" i="1" a="1"/>
  <c r="J383" i="1" s="1"/>
  <c r="I384" i="1" a="1"/>
  <c r="I384" i="1" s="1"/>
  <c r="J384" i="1" a="1"/>
  <c r="J384" i="1" s="1"/>
  <c r="I385" i="1" a="1"/>
  <c r="I385" i="1" s="1"/>
  <c r="J385" i="1" a="1"/>
  <c r="J385" i="1" s="1"/>
  <c r="I386" i="1" a="1"/>
  <c r="I386" i="1" s="1"/>
  <c r="J386" i="1" a="1"/>
  <c r="J386" i="1" s="1"/>
  <c r="I387" i="1" a="1"/>
  <c r="I387" i="1" s="1"/>
  <c r="J387" i="1" a="1"/>
  <c r="J387" i="1" s="1"/>
  <c r="I388" i="1" a="1"/>
  <c r="I388" i="1" s="1"/>
  <c r="J388" i="1" a="1"/>
  <c r="J388" i="1" s="1"/>
  <c r="I389" i="1" a="1"/>
  <c r="I389" i="1" s="1"/>
  <c r="J389" i="1" a="1"/>
  <c r="J389" i="1" s="1"/>
  <c r="I390" i="1" a="1"/>
  <c r="I390" i="1" s="1"/>
  <c r="J390" i="1" a="1"/>
  <c r="J390" i="1" s="1"/>
  <c r="I391" i="1" a="1"/>
  <c r="I391" i="1" s="1"/>
  <c r="J391" i="1" a="1"/>
  <c r="J391" i="1" s="1"/>
  <c r="I392" i="1" a="1"/>
  <c r="I392" i="1" s="1"/>
  <c r="J392" i="1" a="1"/>
  <c r="J392" i="1" s="1"/>
  <c r="I393" i="1" a="1"/>
  <c r="I393" i="1" s="1"/>
  <c r="J393" i="1" a="1"/>
  <c r="J393" i="1" s="1"/>
  <c r="I394" i="1" a="1"/>
  <c r="I394" i="1" s="1"/>
  <c r="J394" i="1" a="1"/>
  <c r="J394" i="1" s="1"/>
  <c r="I395" i="1" a="1"/>
  <c r="I395" i="1" s="1"/>
  <c r="J395" i="1" a="1"/>
  <c r="J395" i="1" s="1"/>
  <c r="I396" i="1" a="1"/>
  <c r="I396" i="1" s="1"/>
  <c r="J396" i="1" a="1"/>
  <c r="J396" i="1" s="1"/>
  <c r="I397" i="1" a="1"/>
  <c r="I397" i="1" s="1"/>
  <c r="J397" i="1" a="1"/>
  <c r="J397" i="1" s="1"/>
  <c r="I398" i="1" a="1"/>
  <c r="I398" i="1" s="1"/>
  <c r="J398" i="1" a="1"/>
  <c r="J398" i="1" s="1"/>
  <c r="I399" i="1" a="1"/>
  <c r="I399" i="1" s="1"/>
  <c r="J399" i="1" a="1"/>
  <c r="J399" i="1" s="1"/>
  <c r="I400" i="1" a="1"/>
  <c r="I400" i="1" s="1"/>
  <c r="J400" i="1" a="1"/>
  <c r="J400" i="1" s="1"/>
  <c r="I401" i="1" a="1"/>
  <c r="I401" i="1" s="1"/>
  <c r="J401" i="1" a="1"/>
  <c r="J401" i="1" s="1"/>
  <c r="I402" i="1" a="1"/>
  <c r="I402" i="1" s="1"/>
  <c r="J402" i="1" a="1"/>
  <c r="J402" i="1" s="1"/>
  <c r="I403" i="1" a="1"/>
  <c r="I403" i="1" s="1"/>
  <c r="J403" i="1" a="1"/>
  <c r="J403" i="1" s="1"/>
  <c r="I404" i="1" a="1"/>
  <c r="I404" i="1" s="1"/>
  <c r="J404" i="1" a="1"/>
  <c r="J404" i="1" s="1"/>
  <c r="I405" i="1" a="1"/>
  <c r="I405" i="1" s="1"/>
  <c r="J405" i="1" a="1"/>
  <c r="J405" i="1" s="1"/>
  <c r="I406" i="1" a="1"/>
  <c r="I406" i="1" s="1"/>
  <c r="J406" i="1" a="1"/>
  <c r="J406" i="1" s="1"/>
  <c r="I407" i="1" a="1"/>
  <c r="I407" i="1" s="1"/>
  <c r="J407" i="1" a="1"/>
  <c r="J407" i="1" s="1"/>
  <c r="I408" i="1" a="1"/>
  <c r="I408" i="1" s="1"/>
  <c r="J408" i="1" a="1"/>
  <c r="J408" i="1" s="1"/>
  <c r="I409" i="1" a="1"/>
  <c r="I409" i="1" s="1"/>
  <c r="J409" i="1" a="1"/>
  <c r="J409" i="1" s="1"/>
  <c r="I410" i="1" a="1"/>
  <c r="I410" i="1" s="1"/>
  <c r="J410" i="1" a="1"/>
  <c r="J410" i="1" s="1"/>
  <c r="I411" i="1" a="1"/>
  <c r="I411" i="1" s="1"/>
  <c r="J411" i="1" a="1"/>
  <c r="J411" i="1" s="1"/>
  <c r="I412" i="1" a="1"/>
  <c r="I412" i="1" s="1"/>
  <c r="J412" i="1" a="1"/>
  <c r="J412" i="1" s="1"/>
  <c r="I413" i="1" a="1"/>
  <c r="I413" i="1" s="1"/>
  <c r="J413" i="1" a="1"/>
  <c r="J413" i="1" s="1"/>
  <c r="I414" i="1" a="1"/>
  <c r="I414" i="1" s="1"/>
  <c r="J414" i="1" a="1"/>
  <c r="J414" i="1" s="1"/>
  <c r="I415" i="1" a="1"/>
  <c r="I415" i="1" s="1"/>
  <c r="J415" i="1" a="1"/>
  <c r="J415" i="1" s="1"/>
  <c r="I416" i="1" a="1"/>
  <c r="I416" i="1" s="1"/>
  <c r="J416" i="1" a="1"/>
  <c r="J416" i="1" s="1"/>
  <c r="I417" i="1" a="1"/>
  <c r="I417" i="1" s="1"/>
  <c r="J417" i="1" a="1"/>
  <c r="J417" i="1" s="1"/>
  <c r="I418" i="1" a="1"/>
  <c r="I418" i="1" s="1"/>
  <c r="J418" i="1" a="1"/>
  <c r="J418" i="1" s="1"/>
  <c r="I419" i="1" a="1"/>
  <c r="I419" i="1" s="1"/>
  <c r="J419" i="1" a="1"/>
  <c r="J419" i="1" s="1"/>
  <c r="I420" i="1" a="1"/>
  <c r="I420" i="1" s="1"/>
  <c r="J420" i="1" a="1"/>
  <c r="J420" i="1" s="1"/>
  <c r="I421" i="1" a="1"/>
  <c r="I421" i="1" s="1"/>
  <c r="J421" i="1" a="1"/>
  <c r="J421" i="1" s="1"/>
  <c r="I422" i="1" a="1"/>
  <c r="I422" i="1" s="1"/>
  <c r="J422" i="1" a="1"/>
  <c r="J422" i="1" s="1"/>
  <c r="I423" i="1" a="1"/>
  <c r="I423" i="1" s="1"/>
  <c r="J423" i="1" a="1"/>
  <c r="J423" i="1" s="1"/>
  <c r="I424" i="1" a="1"/>
  <c r="I424" i="1" s="1"/>
  <c r="J424" i="1" a="1"/>
  <c r="J424" i="1" s="1"/>
  <c r="I425" i="1" a="1"/>
  <c r="I425" i="1" s="1"/>
  <c r="J425" i="1" a="1"/>
  <c r="J425" i="1" s="1"/>
  <c r="I426" i="1" a="1"/>
  <c r="I426" i="1" s="1"/>
  <c r="J426" i="1" a="1"/>
  <c r="J426" i="1" s="1"/>
  <c r="I427" i="1" a="1"/>
  <c r="I427" i="1" s="1"/>
  <c r="J427" i="1" a="1"/>
  <c r="J427" i="1" s="1"/>
  <c r="I428" i="1" a="1"/>
  <c r="I428" i="1" s="1"/>
  <c r="J428" i="1" a="1"/>
  <c r="J428" i="1" s="1"/>
  <c r="I429" i="1" a="1"/>
  <c r="I429" i="1" s="1"/>
  <c r="J429" i="1" a="1"/>
  <c r="J429" i="1" s="1"/>
  <c r="I430" i="1" a="1"/>
  <c r="I430" i="1" s="1"/>
  <c r="J430" i="1" a="1"/>
  <c r="J430" i="1" s="1"/>
  <c r="I431" i="1" a="1"/>
  <c r="I431" i="1" s="1"/>
  <c r="J431" i="1" a="1"/>
  <c r="J431" i="1" s="1"/>
  <c r="I432" i="1" a="1"/>
  <c r="I432" i="1" s="1"/>
  <c r="J432" i="1" a="1"/>
  <c r="J432" i="1" s="1"/>
  <c r="I433" i="1" a="1"/>
  <c r="I433" i="1" s="1"/>
  <c r="J433" i="1" a="1"/>
  <c r="J433" i="1" s="1"/>
  <c r="I434" i="1" a="1"/>
  <c r="I434" i="1" s="1"/>
  <c r="J434" i="1" a="1"/>
  <c r="J434" i="1" s="1"/>
  <c r="I435" i="1" a="1"/>
  <c r="I435" i="1" s="1"/>
  <c r="J435" i="1" a="1"/>
  <c r="J435" i="1" s="1"/>
  <c r="I436" i="1" a="1"/>
  <c r="I436" i="1" s="1"/>
  <c r="J436" i="1" a="1"/>
  <c r="J436" i="1" s="1"/>
  <c r="I437" i="1" a="1"/>
  <c r="I437" i="1" s="1"/>
  <c r="J437" i="1" a="1"/>
  <c r="J437" i="1" s="1"/>
  <c r="I438" i="1" a="1"/>
  <c r="I438" i="1" s="1"/>
  <c r="J438" i="1" a="1"/>
  <c r="J438" i="1" s="1"/>
  <c r="I439" i="1" a="1"/>
  <c r="I439" i="1" s="1"/>
  <c r="J439" i="1" a="1"/>
  <c r="J439" i="1" s="1"/>
  <c r="I440" i="1" a="1"/>
  <c r="I440" i="1" s="1"/>
  <c r="J440" i="1" a="1"/>
  <c r="J440" i="1" s="1"/>
  <c r="I441" i="1" a="1"/>
  <c r="I441" i="1" s="1"/>
  <c r="J441" i="1" a="1"/>
  <c r="J441" i="1" s="1"/>
  <c r="I442" i="1" a="1"/>
  <c r="I442" i="1" s="1"/>
  <c r="J442" i="1" a="1"/>
  <c r="J442" i="1" s="1"/>
  <c r="I443" i="1" a="1"/>
  <c r="I443" i="1" s="1"/>
  <c r="J443" i="1" a="1"/>
  <c r="J443" i="1" s="1"/>
  <c r="I444" i="1" a="1"/>
  <c r="I444" i="1" s="1"/>
  <c r="J444" i="1" a="1"/>
  <c r="J444" i="1" s="1"/>
  <c r="I445" i="1" a="1"/>
  <c r="I445" i="1" s="1"/>
  <c r="J445" i="1" a="1"/>
  <c r="J445" i="1" s="1"/>
  <c r="I446" i="1" a="1"/>
  <c r="I446" i="1" s="1"/>
  <c r="J446" i="1" a="1"/>
  <c r="J446" i="1" s="1"/>
  <c r="I447" i="1" a="1"/>
  <c r="I447" i="1" s="1"/>
  <c r="J447" i="1" a="1"/>
  <c r="J447" i="1" s="1"/>
  <c r="I448" i="1" a="1"/>
  <c r="I448" i="1" s="1"/>
  <c r="J448" i="1" a="1"/>
  <c r="J448" i="1" s="1"/>
  <c r="I449" i="1" a="1"/>
  <c r="I449" i="1" s="1"/>
  <c r="J449" i="1" a="1"/>
  <c r="J449" i="1" s="1"/>
  <c r="I450" i="1" a="1"/>
  <c r="I450" i="1" s="1"/>
  <c r="J450" i="1" a="1"/>
  <c r="J450" i="1" s="1"/>
  <c r="I451" i="1" a="1"/>
  <c r="I451" i="1" s="1"/>
  <c r="J451" i="1" a="1"/>
  <c r="J451" i="1" s="1"/>
  <c r="I452" i="1" a="1"/>
  <c r="I452" i="1" s="1"/>
  <c r="J452" i="1" a="1"/>
  <c r="J452" i="1" s="1"/>
  <c r="I453" i="1" a="1"/>
  <c r="I453" i="1" s="1"/>
  <c r="J453" i="1" a="1"/>
  <c r="J453" i="1" s="1"/>
  <c r="I454" i="1" a="1"/>
  <c r="I454" i="1" s="1"/>
  <c r="J454" i="1" a="1"/>
  <c r="J454" i="1" s="1"/>
  <c r="I455" i="1" a="1"/>
  <c r="I455" i="1" s="1"/>
  <c r="J455" i="1" a="1"/>
  <c r="J455" i="1" s="1"/>
  <c r="I456" i="1" a="1"/>
  <c r="I456" i="1" s="1"/>
  <c r="J456" i="1" a="1"/>
  <c r="J456" i="1" s="1"/>
  <c r="I457" i="1" a="1"/>
  <c r="I457" i="1" s="1"/>
  <c r="J457" i="1" a="1"/>
  <c r="J457" i="1" s="1"/>
  <c r="I458" i="1" a="1"/>
  <c r="I458" i="1" s="1"/>
  <c r="J458" i="1" a="1"/>
  <c r="J458" i="1" s="1"/>
  <c r="I459" i="1" a="1"/>
  <c r="I459" i="1" s="1"/>
  <c r="J459" i="1" a="1"/>
  <c r="J459" i="1" s="1"/>
  <c r="I460" i="1" a="1"/>
  <c r="I460" i="1" s="1"/>
  <c r="J460" i="1" a="1"/>
  <c r="J460" i="1" s="1"/>
  <c r="I461" i="1" a="1"/>
  <c r="I461" i="1" s="1"/>
  <c r="J461" i="1" a="1"/>
  <c r="J461" i="1" s="1"/>
  <c r="I462" i="1" a="1"/>
  <c r="I462" i="1" s="1"/>
  <c r="J462" i="1" a="1"/>
  <c r="J462" i="1" s="1"/>
  <c r="I463" i="1" a="1"/>
  <c r="I463" i="1" s="1"/>
  <c r="J463" i="1" a="1"/>
  <c r="J463" i="1" s="1"/>
  <c r="I464" i="1" a="1"/>
  <c r="I464" i="1" s="1"/>
  <c r="J464" i="1" a="1"/>
  <c r="J464" i="1" s="1"/>
  <c r="I465" i="1" a="1"/>
  <c r="I465" i="1" s="1"/>
  <c r="J465" i="1" a="1"/>
  <c r="J465" i="1" s="1"/>
  <c r="I466" i="1" a="1"/>
  <c r="I466" i="1" s="1"/>
  <c r="J466" i="1" a="1"/>
  <c r="J466" i="1" s="1"/>
  <c r="I467" i="1" a="1"/>
  <c r="I467" i="1" s="1"/>
  <c r="J467" i="1" a="1"/>
  <c r="J467" i="1" s="1"/>
  <c r="I468" i="1" a="1"/>
  <c r="I468" i="1" s="1"/>
  <c r="J468" i="1" a="1"/>
  <c r="J468" i="1" s="1"/>
  <c r="I469" i="1" a="1"/>
  <c r="I469" i="1" s="1"/>
  <c r="J469" i="1" a="1"/>
  <c r="J469" i="1" s="1"/>
  <c r="I470" i="1" a="1"/>
  <c r="I470" i="1" s="1"/>
  <c r="J470" i="1" a="1"/>
  <c r="J470" i="1" s="1"/>
  <c r="I471" i="1" a="1"/>
  <c r="I471" i="1" s="1"/>
  <c r="J471" i="1" a="1"/>
  <c r="J471" i="1" s="1"/>
  <c r="I472" i="1" a="1"/>
  <c r="I472" i="1" s="1"/>
  <c r="J472" i="1" a="1"/>
  <c r="J472" i="1" s="1"/>
  <c r="I473" i="1" a="1"/>
  <c r="I473" i="1" s="1"/>
  <c r="J473" i="1" a="1"/>
  <c r="J473" i="1" s="1"/>
  <c r="I474" i="1" a="1"/>
  <c r="I474" i="1" s="1"/>
  <c r="J474" i="1" a="1"/>
  <c r="J474" i="1" s="1"/>
  <c r="I475" i="1" a="1"/>
  <c r="I475" i="1" s="1"/>
  <c r="J475" i="1" a="1"/>
  <c r="J475" i="1" s="1"/>
  <c r="I476" i="1" a="1"/>
  <c r="I476" i="1" s="1"/>
  <c r="J476" i="1" a="1"/>
  <c r="J476" i="1" s="1"/>
  <c r="I477" i="1" a="1"/>
  <c r="I477" i="1" s="1"/>
  <c r="J477" i="1" a="1"/>
  <c r="J477" i="1" s="1"/>
  <c r="I478" i="1" a="1"/>
  <c r="I478" i="1" s="1"/>
  <c r="J478" i="1" a="1"/>
  <c r="J478" i="1" s="1"/>
  <c r="I479" i="1" a="1"/>
  <c r="I479" i="1" s="1"/>
  <c r="J479" i="1" a="1"/>
  <c r="J479" i="1" s="1"/>
  <c r="I480" i="1" a="1"/>
  <c r="I480" i="1" s="1"/>
  <c r="J480" i="1" a="1"/>
  <c r="J480" i="1" s="1"/>
  <c r="I481" i="1" a="1"/>
  <c r="I481" i="1" s="1"/>
  <c r="J481" i="1" a="1"/>
  <c r="J481" i="1" s="1"/>
  <c r="I482" i="1" a="1"/>
  <c r="I482" i="1" s="1"/>
  <c r="J482" i="1" a="1"/>
  <c r="J482" i="1" s="1"/>
  <c r="I483" i="1" a="1"/>
  <c r="I483" i="1" s="1"/>
  <c r="J483" i="1" a="1"/>
  <c r="J483" i="1" s="1"/>
  <c r="I484" i="1" a="1"/>
  <c r="I484" i="1" s="1"/>
  <c r="J484" i="1" a="1"/>
  <c r="J484" i="1" s="1"/>
  <c r="I485" i="1" a="1"/>
  <c r="I485" i="1" s="1"/>
  <c r="J485" i="1" a="1"/>
  <c r="J485" i="1" s="1"/>
  <c r="I486" i="1" a="1"/>
  <c r="I486" i="1" s="1"/>
  <c r="J486" i="1" a="1"/>
  <c r="J486" i="1" s="1"/>
  <c r="I487" i="1" a="1"/>
  <c r="I487" i="1" s="1"/>
  <c r="J487" i="1" a="1"/>
  <c r="J487" i="1" s="1"/>
  <c r="I488" i="1" a="1"/>
  <c r="I488" i="1" s="1"/>
  <c r="J488" i="1" a="1"/>
  <c r="J488" i="1" s="1"/>
  <c r="I489" i="1" a="1"/>
  <c r="I489" i="1" s="1"/>
  <c r="J489" i="1" a="1"/>
  <c r="J489" i="1" s="1"/>
  <c r="I490" i="1" a="1"/>
  <c r="I490" i="1" s="1"/>
  <c r="J490" i="1" a="1"/>
  <c r="J490" i="1" s="1"/>
  <c r="I491" i="1" a="1"/>
  <c r="I491" i="1" s="1"/>
  <c r="J491" i="1" a="1"/>
  <c r="J491" i="1" s="1"/>
  <c r="I492" i="1" a="1"/>
  <c r="I492" i="1" s="1"/>
  <c r="J492" i="1" a="1"/>
  <c r="J492" i="1" s="1"/>
  <c r="I493" i="1" a="1"/>
  <c r="I493" i="1" s="1"/>
  <c r="J493" i="1" a="1"/>
  <c r="J493" i="1" s="1"/>
  <c r="I494" i="1" a="1"/>
  <c r="I494" i="1" s="1"/>
  <c r="J494" i="1" a="1"/>
  <c r="J494" i="1" s="1"/>
  <c r="I495" i="1" a="1"/>
  <c r="I495" i="1" s="1"/>
  <c r="J495" i="1" a="1"/>
  <c r="J495" i="1" s="1"/>
  <c r="I496" i="1" a="1"/>
  <c r="I496" i="1" s="1"/>
  <c r="J496" i="1" a="1"/>
  <c r="J496" i="1" s="1"/>
  <c r="I497" i="1" a="1"/>
  <c r="I497" i="1" s="1"/>
  <c r="J497" i="1" a="1"/>
  <c r="J497" i="1" s="1"/>
  <c r="I498" i="1" a="1"/>
  <c r="I498" i="1" s="1"/>
  <c r="J498" i="1" a="1"/>
  <c r="J498" i="1" s="1"/>
  <c r="I499" i="1" a="1"/>
  <c r="I499" i="1" s="1"/>
  <c r="J499" i="1" a="1"/>
  <c r="J499" i="1" s="1"/>
  <c r="I500" i="1" a="1"/>
  <c r="I500" i="1" s="1"/>
  <c r="J500" i="1" a="1"/>
  <c r="J500" i="1" s="1"/>
  <c r="I501" i="1" a="1"/>
  <c r="I501" i="1" s="1"/>
  <c r="J501" i="1" a="1"/>
  <c r="J501" i="1" s="1"/>
  <c r="I502" i="1" a="1"/>
  <c r="I502" i="1" s="1"/>
  <c r="J502" i="1" a="1"/>
  <c r="J502" i="1" s="1"/>
  <c r="I503" i="1" a="1"/>
  <c r="I503" i="1" s="1"/>
  <c r="J503" i="1" a="1"/>
  <c r="J503" i="1" s="1"/>
  <c r="I504" i="1" a="1"/>
  <c r="I504" i="1" s="1"/>
  <c r="J504" i="1" a="1"/>
  <c r="J504" i="1" s="1"/>
  <c r="I505" i="1" a="1"/>
  <c r="I505" i="1" s="1"/>
  <c r="J505" i="1" a="1"/>
  <c r="J505" i="1" s="1"/>
  <c r="I506" i="1" a="1"/>
  <c r="I506" i="1" s="1"/>
  <c r="J506" i="1" a="1"/>
  <c r="J506" i="1" s="1"/>
  <c r="I507" i="1" a="1"/>
  <c r="I507" i="1" s="1"/>
  <c r="J507" i="1" a="1"/>
  <c r="J507" i="1" s="1"/>
  <c r="I508" i="1" a="1"/>
  <c r="I508" i="1" s="1"/>
  <c r="J508" i="1" a="1"/>
  <c r="J508" i="1" s="1"/>
  <c r="I509" i="1" a="1"/>
  <c r="I509" i="1" s="1"/>
  <c r="J509" i="1" a="1"/>
  <c r="J509" i="1" s="1"/>
  <c r="I510" i="1" a="1"/>
  <c r="I510" i="1" s="1"/>
  <c r="J510" i="1" a="1"/>
  <c r="J510" i="1" s="1"/>
  <c r="I511" i="1" a="1"/>
  <c r="I511" i="1" s="1"/>
  <c r="J511" i="1" a="1"/>
  <c r="J511" i="1" s="1"/>
  <c r="I512" i="1" a="1"/>
  <c r="I512" i="1" s="1"/>
  <c r="J512" i="1" a="1"/>
  <c r="J512" i="1" s="1"/>
  <c r="I513" i="1" a="1"/>
  <c r="I513" i="1" s="1"/>
  <c r="J513" i="1" a="1"/>
  <c r="J513" i="1" s="1"/>
  <c r="I514" i="1" a="1"/>
  <c r="I514" i="1" s="1"/>
  <c r="J514" i="1" a="1"/>
  <c r="J514" i="1" s="1"/>
  <c r="I515" i="1" a="1"/>
  <c r="I515" i="1" s="1"/>
  <c r="J515" i="1" a="1"/>
  <c r="J515" i="1" s="1"/>
  <c r="I516" i="1" a="1"/>
  <c r="I516" i="1" s="1"/>
  <c r="J516" i="1" a="1"/>
  <c r="J516" i="1" s="1"/>
  <c r="I517" i="1" a="1"/>
  <c r="I517" i="1" s="1"/>
  <c r="J517" i="1" a="1"/>
  <c r="J517" i="1" s="1"/>
  <c r="I518" i="1" a="1"/>
  <c r="I518" i="1" s="1"/>
  <c r="J518" i="1" a="1"/>
  <c r="J518" i="1" s="1"/>
  <c r="I519" i="1" a="1"/>
  <c r="I519" i="1" s="1"/>
  <c r="J519" i="1" a="1"/>
  <c r="J519" i="1" s="1"/>
  <c r="I520" i="1" a="1"/>
  <c r="I520" i="1" s="1"/>
  <c r="J520" i="1" a="1"/>
  <c r="J520" i="1" s="1"/>
  <c r="I521" i="1" a="1"/>
  <c r="I521" i="1" s="1"/>
  <c r="J521" i="1" a="1"/>
  <c r="J521" i="1" s="1"/>
  <c r="I522" i="1" a="1"/>
  <c r="I522" i="1" s="1"/>
  <c r="J522" i="1" a="1"/>
  <c r="J522" i="1" s="1"/>
  <c r="I523" i="1" a="1"/>
  <c r="I523" i="1" s="1"/>
  <c r="J523" i="1" a="1"/>
  <c r="J523" i="1" s="1"/>
  <c r="I524" i="1" a="1"/>
  <c r="I524" i="1" s="1"/>
  <c r="J524" i="1" a="1"/>
  <c r="J524" i="1" s="1"/>
  <c r="I525" i="1" a="1"/>
  <c r="I525" i="1" s="1"/>
  <c r="J525" i="1" a="1"/>
  <c r="J525" i="1" s="1"/>
  <c r="I526" i="1" a="1"/>
  <c r="I526" i="1" s="1"/>
  <c r="J526" i="1" a="1"/>
  <c r="J526" i="1" s="1"/>
  <c r="I527" i="1" a="1"/>
  <c r="I527" i="1" s="1"/>
  <c r="J527" i="1" a="1"/>
  <c r="J527" i="1" s="1"/>
  <c r="I528" i="1" a="1"/>
  <c r="I528" i="1" s="1"/>
  <c r="J528" i="1" a="1"/>
  <c r="J528" i="1" s="1"/>
  <c r="I529" i="1" a="1"/>
  <c r="I529" i="1" s="1"/>
  <c r="J529" i="1" a="1"/>
  <c r="J529" i="1" s="1"/>
  <c r="I530" i="1" a="1"/>
  <c r="I530" i="1" s="1"/>
  <c r="J530" i="1" a="1"/>
  <c r="J530" i="1" s="1"/>
  <c r="I531" i="1" a="1"/>
  <c r="I531" i="1" s="1"/>
  <c r="J531" i="1" a="1"/>
  <c r="J531" i="1" s="1"/>
  <c r="I532" i="1" a="1"/>
  <c r="I532" i="1" s="1"/>
  <c r="J532" i="1" a="1"/>
  <c r="J532" i="1" s="1"/>
  <c r="I533" i="1" a="1"/>
  <c r="I533" i="1" s="1"/>
  <c r="J533" i="1" a="1"/>
  <c r="J533" i="1" s="1"/>
  <c r="I534" i="1" a="1"/>
  <c r="I534" i="1" s="1"/>
  <c r="J534" i="1" a="1"/>
  <c r="J534" i="1" s="1"/>
  <c r="I535" i="1" a="1"/>
  <c r="I535" i="1" s="1"/>
  <c r="J535" i="1" a="1"/>
  <c r="J535" i="1" s="1"/>
  <c r="I536" i="1" a="1"/>
  <c r="I536" i="1" s="1"/>
  <c r="J536" i="1" a="1"/>
  <c r="J536" i="1" s="1"/>
  <c r="I537" i="1" a="1"/>
  <c r="I537" i="1" s="1"/>
  <c r="J537" i="1" a="1"/>
  <c r="J537" i="1" s="1"/>
  <c r="I538" i="1" a="1"/>
  <c r="I538" i="1" s="1"/>
  <c r="J538" i="1" a="1"/>
  <c r="J538" i="1" s="1"/>
  <c r="I539" i="1" a="1"/>
  <c r="I539" i="1" s="1"/>
  <c r="J539" i="1" a="1"/>
  <c r="J539" i="1" s="1"/>
  <c r="I540" i="1" a="1"/>
  <c r="I540" i="1" s="1"/>
  <c r="J540" i="1" a="1"/>
  <c r="J540" i="1" s="1"/>
  <c r="I541" i="1" a="1"/>
  <c r="I541" i="1" s="1"/>
  <c r="J541" i="1" a="1"/>
  <c r="J541" i="1" s="1"/>
  <c r="I542" i="1" a="1"/>
  <c r="I542" i="1" s="1"/>
  <c r="J542" i="1" a="1"/>
  <c r="J542" i="1" s="1"/>
  <c r="I543" i="1" a="1"/>
  <c r="I543" i="1" s="1"/>
  <c r="J543" i="1" a="1"/>
  <c r="J543" i="1" s="1"/>
  <c r="I544" i="1" a="1"/>
  <c r="I544" i="1" s="1"/>
  <c r="J544" i="1" a="1"/>
  <c r="J544" i="1" s="1"/>
  <c r="I545" i="1" a="1"/>
  <c r="I545" i="1" s="1"/>
  <c r="J545" i="1" a="1"/>
  <c r="J545" i="1" s="1"/>
  <c r="I546" i="1" a="1"/>
  <c r="I546" i="1" s="1"/>
  <c r="J546" i="1" a="1"/>
  <c r="J546" i="1" s="1"/>
  <c r="I547" i="1" a="1"/>
  <c r="I547" i="1" s="1"/>
  <c r="J547" i="1" a="1"/>
  <c r="J547" i="1" s="1"/>
  <c r="I548" i="1" a="1"/>
  <c r="I548" i="1" s="1"/>
  <c r="J548" i="1" a="1"/>
  <c r="J548" i="1" s="1"/>
  <c r="I549" i="1" a="1"/>
  <c r="I549" i="1" s="1"/>
  <c r="J549" i="1" a="1"/>
  <c r="J549" i="1" s="1"/>
  <c r="I550" i="1" a="1"/>
  <c r="I550" i="1" s="1"/>
  <c r="J550" i="1" a="1"/>
  <c r="J550" i="1" s="1"/>
  <c r="I551" i="1" a="1"/>
  <c r="I551" i="1" s="1"/>
  <c r="J551" i="1" a="1"/>
  <c r="J551" i="1" s="1"/>
  <c r="I552" i="1" a="1"/>
  <c r="I552" i="1" s="1"/>
  <c r="J552" i="1" a="1"/>
  <c r="J552" i="1" s="1"/>
  <c r="I553" i="1" a="1"/>
  <c r="I553" i="1" s="1"/>
  <c r="J553" i="1" a="1"/>
  <c r="J553" i="1" s="1"/>
  <c r="I554" i="1" a="1"/>
  <c r="I554" i="1" s="1"/>
  <c r="J554" i="1" a="1"/>
  <c r="J554" i="1" s="1"/>
  <c r="I555" i="1" a="1"/>
  <c r="I555" i="1" s="1"/>
  <c r="J555" i="1" a="1"/>
  <c r="J555" i="1" s="1"/>
  <c r="I556" i="1" a="1"/>
  <c r="I556" i="1" s="1"/>
  <c r="J556" i="1" a="1"/>
  <c r="J556" i="1" s="1"/>
  <c r="I557" i="1" a="1"/>
  <c r="I557" i="1" s="1"/>
  <c r="J557" i="1" a="1"/>
  <c r="J557" i="1" s="1"/>
  <c r="I558" i="1" a="1"/>
  <c r="I558" i="1" s="1"/>
  <c r="J558" i="1" a="1"/>
  <c r="J558" i="1" s="1"/>
  <c r="I559" i="1" a="1"/>
  <c r="I559" i="1" s="1"/>
  <c r="J559" i="1" a="1"/>
  <c r="J559" i="1" s="1"/>
  <c r="I560" i="1" a="1"/>
  <c r="I560" i="1" s="1"/>
  <c r="J560" i="1" a="1"/>
  <c r="J560" i="1" s="1"/>
  <c r="I561" i="1" a="1"/>
  <c r="I561" i="1" s="1"/>
  <c r="J561" i="1" a="1"/>
  <c r="J561" i="1" s="1"/>
  <c r="I562" i="1" a="1"/>
  <c r="I562" i="1" s="1"/>
  <c r="J562" i="1" a="1"/>
  <c r="J562" i="1" s="1"/>
  <c r="I563" i="1" a="1"/>
  <c r="I563" i="1" s="1"/>
  <c r="J563" i="1" a="1"/>
  <c r="J563" i="1" s="1"/>
  <c r="I564" i="1" a="1"/>
  <c r="I564" i="1" s="1"/>
  <c r="J564" i="1" a="1"/>
  <c r="J564" i="1" s="1"/>
  <c r="I565" i="1" a="1"/>
  <c r="I565" i="1" s="1"/>
  <c r="J565" i="1" a="1"/>
  <c r="J565" i="1" s="1"/>
  <c r="I566" i="1" a="1"/>
  <c r="I566" i="1" s="1"/>
  <c r="J566" i="1" a="1"/>
  <c r="J566" i="1" s="1"/>
  <c r="I567" i="1" a="1"/>
  <c r="I567" i="1" s="1"/>
  <c r="J567" i="1" a="1"/>
  <c r="J567" i="1" s="1"/>
  <c r="I568" i="1" a="1"/>
  <c r="I568" i="1" s="1"/>
  <c r="J568" i="1" a="1"/>
  <c r="J568" i="1" s="1"/>
  <c r="I569" i="1" a="1"/>
  <c r="I569" i="1" s="1"/>
  <c r="J569" i="1" a="1"/>
  <c r="J569" i="1" s="1"/>
  <c r="I570" i="1" a="1"/>
  <c r="I570" i="1" s="1"/>
  <c r="J570" i="1" a="1"/>
  <c r="J570" i="1" s="1"/>
  <c r="I571" i="1" a="1"/>
  <c r="I571" i="1" s="1"/>
  <c r="J571" i="1" a="1"/>
  <c r="J571" i="1" s="1"/>
  <c r="I572" i="1" a="1"/>
  <c r="I572" i="1" s="1"/>
  <c r="J572" i="1" a="1"/>
  <c r="J572" i="1" s="1"/>
  <c r="I573" i="1" a="1"/>
  <c r="I573" i="1" s="1"/>
  <c r="J573" i="1" a="1"/>
  <c r="J573" i="1" s="1"/>
  <c r="I574" i="1" a="1"/>
  <c r="I574" i="1" s="1"/>
  <c r="J574" i="1" a="1"/>
  <c r="J574" i="1" s="1"/>
  <c r="I575" i="1" a="1"/>
  <c r="I575" i="1" s="1"/>
  <c r="J575" i="1" a="1"/>
  <c r="J575" i="1" s="1"/>
  <c r="I576" i="1" a="1"/>
  <c r="I576" i="1" s="1"/>
  <c r="J576" i="1" a="1"/>
  <c r="J576" i="1" s="1"/>
  <c r="I577" i="1" a="1"/>
  <c r="I577" i="1" s="1"/>
  <c r="J577" i="1" a="1"/>
  <c r="J577" i="1" s="1"/>
  <c r="I578" i="1" a="1"/>
  <c r="I578" i="1" s="1"/>
  <c r="J578" i="1" a="1"/>
  <c r="J578" i="1" s="1"/>
  <c r="I579" i="1" a="1"/>
  <c r="I579" i="1" s="1"/>
  <c r="J579" i="1" a="1"/>
  <c r="J579" i="1" s="1"/>
  <c r="I580" i="1" a="1"/>
  <c r="I580" i="1" s="1"/>
  <c r="J580" i="1" a="1"/>
  <c r="J580" i="1" s="1"/>
  <c r="I581" i="1" a="1"/>
  <c r="I581" i="1" s="1"/>
  <c r="J581" i="1" a="1"/>
  <c r="J581" i="1" s="1"/>
  <c r="I582" i="1" a="1"/>
  <c r="I582" i="1" s="1"/>
  <c r="J582" i="1" a="1"/>
  <c r="J582" i="1" s="1"/>
  <c r="I583" i="1" a="1"/>
  <c r="I583" i="1" s="1"/>
  <c r="J583" i="1" a="1"/>
  <c r="J583" i="1" s="1"/>
  <c r="I584" i="1" a="1"/>
  <c r="I584" i="1" s="1"/>
  <c r="J584" i="1" a="1"/>
  <c r="J584" i="1" s="1"/>
  <c r="I585" i="1" a="1"/>
  <c r="I585" i="1" s="1"/>
  <c r="J585" i="1" a="1"/>
  <c r="J585" i="1" s="1"/>
  <c r="I586" i="1" a="1"/>
  <c r="I586" i="1" s="1"/>
  <c r="J586" i="1" a="1"/>
  <c r="J586" i="1" s="1"/>
  <c r="I587" i="1" a="1"/>
  <c r="I587" i="1" s="1"/>
  <c r="J587" i="1" a="1"/>
  <c r="J587" i="1" s="1"/>
  <c r="I588" i="1" a="1"/>
  <c r="I588" i="1" s="1"/>
  <c r="J588" i="1" a="1"/>
  <c r="J588" i="1" s="1"/>
  <c r="I589" i="1" a="1"/>
  <c r="I589" i="1" s="1"/>
  <c r="J589" i="1" a="1"/>
  <c r="J589" i="1" s="1"/>
  <c r="I590" i="1" a="1"/>
  <c r="I590" i="1" s="1"/>
  <c r="J590" i="1" a="1"/>
  <c r="J590" i="1" s="1"/>
  <c r="I591" i="1" a="1"/>
  <c r="I591" i="1" s="1"/>
  <c r="J591" i="1" a="1"/>
  <c r="J591" i="1" s="1"/>
  <c r="I592" i="1" a="1"/>
  <c r="I592" i="1" s="1"/>
  <c r="J592" i="1" a="1"/>
  <c r="J592" i="1" s="1"/>
  <c r="I593" i="1" a="1"/>
  <c r="I593" i="1" s="1"/>
  <c r="J593" i="1" a="1"/>
  <c r="J593" i="1" s="1"/>
  <c r="I594" i="1" a="1"/>
  <c r="I594" i="1" s="1"/>
  <c r="J594" i="1" a="1"/>
  <c r="J594" i="1" s="1"/>
  <c r="I595" i="1" a="1"/>
  <c r="I595" i="1" s="1"/>
  <c r="J595" i="1" a="1"/>
  <c r="J595" i="1" s="1"/>
  <c r="I596" i="1" a="1"/>
  <c r="I596" i="1" s="1"/>
  <c r="J596" i="1" a="1"/>
  <c r="J596" i="1" s="1"/>
  <c r="I597" i="1" a="1"/>
  <c r="I597" i="1" s="1"/>
  <c r="J597" i="1" a="1"/>
  <c r="J597" i="1" s="1"/>
  <c r="I598" i="1" a="1"/>
  <c r="I598" i="1" s="1"/>
  <c r="J598" i="1" a="1"/>
  <c r="J598" i="1" s="1"/>
  <c r="I599" i="1" a="1"/>
  <c r="I599" i="1" s="1"/>
  <c r="J599" i="1" a="1"/>
  <c r="J599" i="1" s="1"/>
  <c r="I600" i="1" a="1"/>
  <c r="I600" i="1" s="1"/>
  <c r="J600" i="1" a="1"/>
  <c r="J600" i="1" s="1"/>
  <c r="I601" i="1" a="1"/>
  <c r="I601" i="1" s="1"/>
  <c r="J601" i="1" a="1"/>
  <c r="J601" i="1" s="1"/>
  <c r="I602" i="1" a="1"/>
  <c r="I602" i="1" s="1"/>
  <c r="J602" i="1" a="1"/>
  <c r="J602" i="1" s="1"/>
  <c r="I603" i="1" a="1"/>
  <c r="I603" i="1" s="1"/>
  <c r="J603" i="1" a="1"/>
  <c r="J603" i="1" s="1"/>
  <c r="I604" i="1" a="1"/>
  <c r="I604" i="1" s="1"/>
  <c r="J604" i="1" a="1"/>
  <c r="J604" i="1" s="1"/>
  <c r="I605" i="1" a="1"/>
  <c r="I605" i="1" s="1"/>
  <c r="J605" i="1" a="1"/>
  <c r="J605" i="1" s="1"/>
  <c r="I606" i="1" a="1"/>
  <c r="I606" i="1" s="1"/>
  <c r="J606" i="1" a="1"/>
  <c r="J606" i="1" s="1"/>
  <c r="I607" i="1" a="1"/>
  <c r="I607" i="1" s="1"/>
  <c r="J607" i="1" a="1"/>
  <c r="J607" i="1" s="1"/>
  <c r="I608" i="1" a="1"/>
  <c r="I608" i="1" s="1"/>
  <c r="J608" i="1" a="1"/>
  <c r="J608" i="1" s="1"/>
  <c r="I609" i="1" a="1"/>
  <c r="I609" i="1" s="1"/>
  <c r="J609" i="1" a="1"/>
  <c r="J609" i="1" s="1"/>
  <c r="I610" i="1" a="1"/>
  <c r="I610" i="1" s="1"/>
  <c r="J610" i="1" a="1"/>
  <c r="J610" i="1" s="1"/>
  <c r="I611" i="1" a="1"/>
  <c r="I611" i="1" s="1"/>
  <c r="J611" i="1" a="1"/>
  <c r="J611" i="1" s="1"/>
  <c r="I612" i="1" a="1"/>
  <c r="I612" i="1" s="1"/>
  <c r="J612" i="1" a="1"/>
  <c r="J612" i="1" s="1"/>
  <c r="I613" i="1" a="1"/>
  <c r="I613" i="1" s="1"/>
  <c r="J613" i="1" a="1"/>
  <c r="J613" i="1" s="1"/>
  <c r="I614" i="1" a="1"/>
  <c r="I614" i="1" s="1"/>
  <c r="J614" i="1" a="1"/>
  <c r="J614" i="1" s="1"/>
  <c r="I615" i="1" a="1"/>
  <c r="I615" i="1" s="1"/>
  <c r="J615" i="1" a="1"/>
  <c r="J615" i="1" s="1"/>
  <c r="I616" i="1" a="1"/>
  <c r="I616" i="1" s="1"/>
  <c r="J616" i="1" a="1"/>
  <c r="J616" i="1" s="1"/>
  <c r="I617" i="1" a="1"/>
  <c r="I617" i="1" s="1"/>
  <c r="J617" i="1" a="1"/>
  <c r="J617" i="1" s="1"/>
  <c r="I618" i="1" a="1"/>
  <c r="I618" i="1" s="1"/>
  <c r="J618" i="1" a="1"/>
  <c r="J618" i="1" s="1"/>
  <c r="I619" i="1" a="1"/>
  <c r="I619" i="1" s="1"/>
  <c r="J619" i="1" a="1"/>
  <c r="J619" i="1" s="1"/>
  <c r="I620" i="1" a="1"/>
  <c r="I620" i="1" s="1"/>
  <c r="J620" i="1" a="1"/>
  <c r="J620" i="1" s="1"/>
  <c r="I621" i="1" a="1"/>
  <c r="I621" i="1" s="1"/>
  <c r="J621" i="1" a="1"/>
  <c r="J621" i="1" s="1"/>
  <c r="I622" i="1" a="1"/>
  <c r="I622" i="1" s="1"/>
  <c r="J622" i="1" a="1"/>
  <c r="J622" i="1" s="1"/>
  <c r="I623" i="1" a="1"/>
  <c r="I623" i="1" s="1"/>
  <c r="J623" i="1" a="1"/>
  <c r="J623" i="1" s="1"/>
  <c r="I624" i="1" a="1"/>
  <c r="I624" i="1" s="1"/>
  <c r="J624" i="1" a="1"/>
  <c r="J624" i="1" s="1"/>
  <c r="I625" i="1" a="1"/>
  <c r="I625" i="1" s="1"/>
  <c r="J625" i="1" a="1"/>
  <c r="J625" i="1" s="1"/>
  <c r="I626" i="1" a="1"/>
  <c r="I626" i="1" s="1"/>
  <c r="J626" i="1" a="1"/>
  <c r="J626" i="1" s="1"/>
  <c r="I627" i="1" a="1"/>
  <c r="I627" i="1" s="1"/>
  <c r="J627" i="1" a="1"/>
  <c r="J627" i="1" s="1"/>
  <c r="I628" i="1" a="1"/>
  <c r="I628" i="1" s="1"/>
  <c r="J628" i="1" a="1"/>
  <c r="J628" i="1" s="1"/>
  <c r="I629" i="1" a="1"/>
  <c r="I629" i="1" s="1"/>
  <c r="J629" i="1" a="1"/>
  <c r="J629" i="1" s="1"/>
  <c r="I630" i="1" a="1"/>
  <c r="I630" i="1" s="1"/>
  <c r="J630" i="1" a="1"/>
  <c r="J630" i="1" s="1"/>
  <c r="I631" i="1" a="1"/>
  <c r="I631" i="1" s="1"/>
  <c r="J631" i="1" a="1"/>
  <c r="J631" i="1" s="1"/>
  <c r="I632" i="1" a="1"/>
  <c r="I632" i="1" s="1"/>
  <c r="J632" i="1" a="1"/>
  <c r="J632" i="1" s="1"/>
  <c r="I633" i="1" a="1"/>
  <c r="I633" i="1" s="1"/>
  <c r="J633" i="1" a="1"/>
  <c r="J633" i="1" s="1"/>
  <c r="I634" i="1" a="1"/>
  <c r="I634" i="1" s="1"/>
  <c r="J634" i="1" a="1"/>
  <c r="J634" i="1" s="1"/>
  <c r="I635" i="1" a="1"/>
  <c r="I635" i="1" s="1"/>
  <c r="J635" i="1" a="1"/>
  <c r="J635" i="1" s="1"/>
  <c r="I636" i="1" a="1"/>
  <c r="I636" i="1" s="1"/>
  <c r="J636" i="1" a="1"/>
  <c r="J636" i="1" s="1"/>
  <c r="I637" i="1" a="1"/>
  <c r="I637" i="1" s="1"/>
  <c r="J637" i="1" a="1"/>
  <c r="J637" i="1" s="1"/>
  <c r="I638" i="1" a="1"/>
  <c r="I638" i="1" s="1"/>
  <c r="J638" i="1" a="1"/>
  <c r="J638" i="1" s="1"/>
  <c r="I639" i="1" a="1"/>
  <c r="I639" i="1" s="1"/>
  <c r="J639" i="1" a="1"/>
  <c r="J639" i="1" s="1"/>
  <c r="I640" i="1" a="1"/>
  <c r="I640" i="1" s="1"/>
  <c r="J640" i="1" a="1"/>
  <c r="J640" i="1" s="1"/>
  <c r="I641" i="1" a="1"/>
  <c r="I641" i="1" s="1"/>
  <c r="J641" i="1" a="1"/>
  <c r="J641" i="1" s="1"/>
  <c r="I642" i="1" a="1"/>
  <c r="I642" i="1" s="1"/>
  <c r="J642" i="1" a="1"/>
  <c r="J642" i="1" s="1"/>
  <c r="I643" i="1" a="1"/>
  <c r="I643" i="1" s="1"/>
  <c r="J643" i="1" a="1"/>
  <c r="J643" i="1" s="1"/>
  <c r="I644" i="1" a="1"/>
  <c r="I644" i="1" s="1"/>
  <c r="J644" i="1" a="1"/>
  <c r="J644" i="1" s="1"/>
  <c r="I645" i="1" a="1"/>
  <c r="I645" i="1" s="1"/>
  <c r="J645" i="1" a="1"/>
  <c r="J645" i="1" s="1"/>
  <c r="I646" i="1" a="1"/>
  <c r="I646" i="1" s="1"/>
  <c r="J646" i="1" a="1"/>
  <c r="J646" i="1" s="1"/>
  <c r="I647" i="1" a="1"/>
  <c r="I647" i="1" s="1"/>
  <c r="J647" i="1" a="1"/>
  <c r="J647" i="1" s="1"/>
  <c r="I648" i="1" a="1"/>
  <c r="I648" i="1" s="1"/>
  <c r="J648" i="1" a="1"/>
  <c r="J648" i="1" s="1"/>
  <c r="I649" i="1" a="1"/>
  <c r="I649" i="1" s="1"/>
  <c r="J649" i="1" a="1"/>
  <c r="J649" i="1" s="1"/>
  <c r="I650" i="1" a="1"/>
  <c r="I650" i="1" s="1"/>
  <c r="J650" i="1" a="1"/>
  <c r="J650" i="1" s="1"/>
  <c r="I651" i="1" a="1"/>
  <c r="I651" i="1" s="1"/>
  <c r="J651" i="1" a="1"/>
  <c r="J651" i="1" s="1"/>
  <c r="I652" i="1" a="1"/>
  <c r="I652" i="1" s="1"/>
  <c r="J652" i="1" a="1"/>
  <c r="J652" i="1" s="1"/>
  <c r="I653" i="1" a="1"/>
  <c r="I653" i="1" s="1"/>
  <c r="J653" i="1" a="1"/>
  <c r="J653" i="1" s="1"/>
  <c r="I654" i="1" a="1"/>
  <c r="I654" i="1" s="1"/>
  <c r="J654" i="1" a="1"/>
  <c r="J654" i="1" s="1"/>
  <c r="I655" i="1" a="1"/>
  <c r="I655" i="1" s="1"/>
  <c r="J655" i="1" a="1"/>
  <c r="J655" i="1" s="1"/>
  <c r="I656" i="1" a="1"/>
  <c r="I656" i="1" s="1"/>
  <c r="J656" i="1" a="1"/>
  <c r="J656" i="1" s="1"/>
  <c r="I657" i="1" a="1"/>
  <c r="I657" i="1" s="1"/>
  <c r="J657" i="1" a="1"/>
  <c r="J657" i="1" s="1"/>
  <c r="I658" i="1" a="1"/>
  <c r="I658" i="1" s="1"/>
  <c r="J658" i="1" a="1"/>
  <c r="J658" i="1" s="1"/>
  <c r="I659" i="1" a="1"/>
  <c r="I659" i="1" s="1"/>
  <c r="J659" i="1" a="1"/>
  <c r="J659" i="1" s="1"/>
  <c r="I660" i="1" a="1"/>
  <c r="I660" i="1" s="1"/>
  <c r="J660" i="1" a="1"/>
  <c r="J660" i="1" s="1"/>
  <c r="I661" i="1" a="1"/>
  <c r="I661" i="1" s="1"/>
  <c r="J661" i="1" a="1"/>
  <c r="J661" i="1" s="1"/>
  <c r="I662" i="1" a="1"/>
  <c r="I662" i="1" s="1"/>
  <c r="J662" i="1" a="1"/>
  <c r="J662" i="1" s="1"/>
  <c r="I663" i="1" a="1"/>
  <c r="I663" i="1" s="1"/>
  <c r="J663" i="1" a="1"/>
  <c r="J663" i="1" s="1"/>
  <c r="I664" i="1" a="1"/>
  <c r="I664" i="1"/>
  <c r="J664" i="1" a="1"/>
  <c r="J664" i="1" s="1"/>
  <c r="I665" i="1" a="1"/>
  <c r="I665" i="1" s="1"/>
  <c r="J665" i="1" a="1"/>
  <c r="J665" i="1" s="1"/>
  <c r="I666" i="1" a="1"/>
  <c r="I666" i="1" s="1"/>
  <c r="J666" i="1" a="1"/>
  <c r="J666" i="1" s="1"/>
  <c r="I667" i="1" a="1"/>
  <c r="I667" i="1" s="1"/>
  <c r="J667" i="1" a="1"/>
  <c r="J667" i="1" s="1"/>
  <c r="I668" i="1" a="1"/>
  <c r="I668" i="1" s="1"/>
  <c r="J668" i="1" a="1"/>
  <c r="J668" i="1" s="1"/>
  <c r="I669" i="1" a="1"/>
  <c r="I669" i="1" s="1"/>
  <c r="J669" i="1" a="1"/>
  <c r="J669" i="1" s="1"/>
  <c r="I670" i="1" a="1"/>
  <c r="I670" i="1" s="1"/>
  <c r="J670" i="1" a="1"/>
  <c r="J670" i="1" s="1"/>
  <c r="I671" i="1" a="1"/>
  <c r="I671" i="1" s="1"/>
  <c r="J671" i="1" a="1"/>
  <c r="J671" i="1" s="1"/>
  <c r="I672" i="1" a="1"/>
  <c r="I672" i="1" s="1"/>
  <c r="J672" i="1" a="1"/>
  <c r="J672" i="1" s="1"/>
  <c r="I673" i="1" a="1"/>
  <c r="I673" i="1" s="1"/>
  <c r="J673" i="1" a="1"/>
  <c r="J673" i="1" s="1"/>
  <c r="I674" i="1" a="1"/>
  <c r="I674" i="1" s="1"/>
  <c r="J674" i="1" a="1"/>
  <c r="J674" i="1" s="1"/>
  <c r="I675" i="1" a="1"/>
  <c r="I675" i="1" s="1"/>
  <c r="J675" i="1" a="1"/>
  <c r="J675" i="1" s="1"/>
  <c r="I676" i="1" a="1"/>
  <c r="I676" i="1" s="1"/>
  <c r="J676" i="1" a="1"/>
  <c r="J676" i="1" s="1"/>
  <c r="I677" i="1" a="1"/>
  <c r="I677" i="1" s="1"/>
  <c r="J677" i="1" a="1"/>
  <c r="J677" i="1" s="1"/>
  <c r="I678" i="1" a="1"/>
  <c r="I678" i="1" s="1"/>
  <c r="J678" i="1" a="1"/>
  <c r="J678" i="1" s="1"/>
  <c r="I679" i="1" a="1"/>
  <c r="I679" i="1" s="1"/>
  <c r="J679" i="1" a="1"/>
  <c r="J679" i="1" s="1"/>
  <c r="I680" i="1" a="1"/>
  <c r="I680" i="1" s="1"/>
  <c r="J680" i="1" a="1"/>
  <c r="J680" i="1" s="1"/>
  <c r="I681" i="1" a="1"/>
  <c r="I681" i="1" s="1"/>
  <c r="J681" i="1" a="1"/>
  <c r="J681" i="1" s="1"/>
  <c r="I682" i="1" a="1"/>
  <c r="I682" i="1" s="1"/>
  <c r="J682" i="1" a="1"/>
  <c r="J682" i="1" s="1"/>
  <c r="I683" i="1" a="1"/>
  <c r="I683" i="1" s="1"/>
  <c r="J683" i="1" a="1"/>
  <c r="J683" i="1" s="1"/>
  <c r="I684" i="1" a="1"/>
  <c r="I684" i="1" s="1"/>
  <c r="J684" i="1" a="1"/>
  <c r="J684" i="1" s="1"/>
  <c r="I685" i="1" a="1"/>
  <c r="I685" i="1" s="1"/>
  <c r="J685" i="1" a="1"/>
  <c r="J685" i="1" s="1"/>
  <c r="I686" i="1" a="1"/>
  <c r="I686" i="1" s="1"/>
  <c r="J686" i="1" a="1"/>
  <c r="J686" i="1" s="1"/>
  <c r="I687" i="1" a="1"/>
  <c r="I687" i="1" s="1"/>
  <c r="J687" i="1" a="1"/>
  <c r="J687" i="1" s="1"/>
  <c r="I688" i="1" a="1"/>
  <c r="I688" i="1" s="1"/>
  <c r="J688" i="1" a="1"/>
  <c r="J688" i="1" s="1"/>
  <c r="I689" i="1" a="1"/>
  <c r="I689" i="1" s="1"/>
  <c r="J689" i="1" a="1"/>
  <c r="J689" i="1" s="1"/>
  <c r="I690" i="1" a="1"/>
  <c r="I690" i="1" s="1"/>
  <c r="J690" i="1" a="1"/>
  <c r="J690" i="1" s="1"/>
  <c r="I691" i="1" a="1"/>
  <c r="I691" i="1" s="1"/>
  <c r="J691" i="1" a="1"/>
  <c r="J691" i="1" s="1"/>
  <c r="I692" i="1" a="1"/>
  <c r="I692" i="1" s="1"/>
  <c r="J692" i="1" a="1"/>
  <c r="J692" i="1" s="1"/>
  <c r="I693" i="1" a="1"/>
  <c r="I693" i="1" s="1"/>
  <c r="J693" i="1" a="1"/>
  <c r="J693" i="1" s="1"/>
  <c r="I694" i="1" a="1"/>
  <c r="I694" i="1" s="1"/>
  <c r="J694" i="1" a="1"/>
  <c r="J694" i="1" s="1"/>
  <c r="I695" i="1" a="1"/>
  <c r="I695" i="1" s="1"/>
  <c r="J695" i="1" a="1"/>
  <c r="J695" i="1" s="1"/>
  <c r="I696" i="1" a="1"/>
  <c r="I696" i="1" s="1"/>
  <c r="J696" i="1" a="1"/>
  <c r="J696" i="1" s="1"/>
  <c r="I697" i="1" a="1"/>
  <c r="I697" i="1" s="1"/>
  <c r="J697" i="1" a="1"/>
  <c r="J697" i="1" s="1"/>
  <c r="I698" i="1" a="1"/>
  <c r="I698" i="1" s="1"/>
  <c r="J698" i="1" a="1"/>
  <c r="J698" i="1" s="1"/>
  <c r="I699" i="1" a="1"/>
  <c r="I699" i="1" s="1"/>
  <c r="J699" i="1" a="1"/>
  <c r="J699" i="1" s="1"/>
  <c r="I700" i="1" a="1"/>
  <c r="I700" i="1" s="1"/>
  <c r="J700" i="1" a="1"/>
  <c r="J700" i="1" s="1"/>
  <c r="I701" i="1" a="1"/>
  <c r="I701" i="1" s="1"/>
  <c r="J701" i="1" a="1"/>
  <c r="J701" i="1" s="1"/>
  <c r="I702" i="1" a="1"/>
  <c r="I702" i="1" s="1"/>
  <c r="J702" i="1" a="1"/>
  <c r="J702" i="1" s="1"/>
  <c r="I703" i="1" a="1"/>
  <c r="I703" i="1" s="1"/>
  <c r="J703" i="1" a="1"/>
  <c r="J703" i="1" s="1"/>
  <c r="I704" i="1" a="1"/>
  <c r="I704" i="1" s="1"/>
  <c r="J704" i="1" a="1"/>
  <c r="J704" i="1" s="1"/>
  <c r="I705" i="1" a="1"/>
  <c r="I705" i="1" s="1"/>
  <c r="J705" i="1" a="1"/>
  <c r="J705" i="1" s="1"/>
  <c r="I706" i="1" a="1"/>
  <c r="I706" i="1" s="1"/>
  <c r="J706" i="1" a="1"/>
  <c r="J706" i="1" s="1"/>
  <c r="I707" i="1" a="1"/>
  <c r="I707" i="1" s="1"/>
  <c r="J707" i="1" a="1"/>
  <c r="J707" i="1" s="1"/>
  <c r="I708" i="1" a="1"/>
  <c r="I708" i="1" s="1"/>
  <c r="J708" i="1" a="1"/>
  <c r="J708" i="1" s="1"/>
  <c r="I709" i="1" a="1"/>
  <c r="I709" i="1" s="1"/>
  <c r="J709" i="1" a="1"/>
  <c r="J709" i="1" s="1"/>
  <c r="I710" i="1" a="1"/>
  <c r="I710" i="1" s="1"/>
  <c r="J710" i="1" a="1"/>
  <c r="J710" i="1" s="1"/>
  <c r="I711" i="1" a="1"/>
  <c r="I711" i="1" s="1"/>
  <c r="J711" i="1" a="1"/>
  <c r="J711" i="1" s="1"/>
  <c r="I712" i="1" a="1"/>
  <c r="I712" i="1" s="1"/>
  <c r="J712" i="1" a="1"/>
  <c r="J712" i="1" s="1"/>
  <c r="I713" i="1" a="1"/>
  <c r="I713" i="1" s="1"/>
  <c r="J713" i="1" a="1"/>
  <c r="J713" i="1"/>
  <c r="I714" i="1" a="1"/>
  <c r="I714" i="1" s="1"/>
  <c r="J714" i="1" a="1"/>
  <c r="J714" i="1" s="1"/>
  <c r="I715" i="1" a="1"/>
  <c r="I715" i="1" s="1"/>
  <c r="J715" i="1" a="1"/>
  <c r="J715" i="1" s="1"/>
  <c r="I716" i="1" a="1"/>
  <c r="I716" i="1" s="1"/>
  <c r="J716" i="1" a="1"/>
  <c r="J716" i="1" s="1"/>
  <c r="I717" i="1" a="1"/>
  <c r="I717" i="1" s="1"/>
  <c r="J717" i="1" a="1"/>
  <c r="J717" i="1" s="1"/>
  <c r="I718" i="1" a="1"/>
  <c r="I718" i="1" s="1"/>
  <c r="J718" i="1" a="1"/>
  <c r="J718" i="1" s="1"/>
  <c r="I719" i="1" a="1"/>
  <c r="I719" i="1" s="1"/>
  <c r="J719" i="1" a="1"/>
  <c r="J719" i="1" s="1"/>
  <c r="I720" i="1" a="1"/>
  <c r="I720" i="1" s="1"/>
  <c r="J720" i="1" a="1"/>
  <c r="J720" i="1" s="1"/>
  <c r="I721" i="1" a="1"/>
  <c r="I721" i="1" s="1"/>
  <c r="J721" i="1" a="1"/>
  <c r="J721" i="1" s="1"/>
  <c r="I722" i="1" a="1"/>
  <c r="I722" i="1" s="1"/>
  <c r="J722" i="1" a="1"/>
  <c r="J722" i="1" s="1"/>
  <c r="I723" i="1" a="1"/>
  <c r="I723" i="1" s="1"/>
  <c r="J723" i="1" a="1"/>
  <c r="J723" i="1" s="1"/>
  <c r="I724" i="1" a="1"/>
  <c r="I724" i="1" s="1"/>
  <c r="J724" i="1" a="1"/>
  <c r="J724" i="1" s="1"/>
  <c r="I725" i="1" a="1"/>
  <c r="I725" i="1" s="1"/>
  <c r="J725" i="1" a="1"/>
  <c r="J725" i="1" s="1"/>
  <c r="I726" i="1" a="1"/>
  <c r="I726" i="1" s="1"/>
  <c r="J726" i="1" a="1"/>
  <c r="J726" i="1" s="1"/>
  <c r="I727" i="1" a="1"/>
  <c r="I727" i="1" s="1"/>
  <c r="J727" i="1" a="1"/>
  <c r="J727" i="1" s="1"/>
  <c r="I728" i="1" a="1"/>
  <c r="I728" i="1" s="1"/>
  <c r="J728" i="1" a="1"/>
  <c r="J728" i="1" s="1"/>
  <c r="I729" i="1" a="1"/>
  <c r="I729" i="1" s="1"/>
  <c r="J729" i="1" a="1"/>
  <c r="J729" i="1" s="1"/>
  <c r="I730" i="1" a="1"/>
  <c r="I730" i="1" s="1"/>
  <c r="J730" i="1" a="1"/>
  <c r="J730" i="1" s="1"/>
  <c r="I731" i="1" a="1"/>
  <c r="I731" i="1" s="1"/>
  <c r="J731" i="1" a="1"/>
  <c r="J731" i="1" s="1"/>
  <c r="I732" i="1" a="1"/>
  <c r="I732" i="1" s="1"/>
  <c r="J732" i="1" a="1"/>
  <c r="J732" i="1" s="1"/>
  <c r="I733" i="1" a="1"/>
  <c r="I733" i="1" s="1"/>
  <c r="J733" i="1" a="1"/>
  <c r="J733" i="1" s="1"/>
  <c r="I734" i="1" a="1"/>
  <c r="I734" i="1" s="1"/>
  <c r="J734" i="1" a="1"/>
  <c r="J734" i="1" s="1"/>
  <c r="I735" i="1" a="1"/>
  <c r="I735" i="1" s="1"/>
  <c r="J735" i="1" a="1"/>
  <c r="J735" i="1" s="1"/>
  <c r="I736" i="1" a="1"/>
  <c r="I736" i="1" s="1"/>
  <c r="J736" i="1" a="1"/>
  <c r="J736" i="1" s="1"/>
  <c r="I737" i="1" a="1"/>
  <c r="I737" i="1" s="1"/>
  <c r="J737" i="1" a="1"/>
  <c r="J737" i="1" s="1"/>
  <c r="I738" i="1" a="1"/>
  <c r="I738" i="1" s="1"/>
  <c r="J738" i="1" a="1"/>
  <c r="J738" i="1" s="1"/>
  <c r="I739" i="1" a="1"/>
  <c r="I739" i="1" s="1"/>
  <c r="J739" i="1" a="1"/>
  <c r="J739" i="1" s="1"/>
  <c r="I740" i="1" a="1"/>
  <c r="I740" i="1" s="1"/>
  <c r="J740" i="1" a="1"/>
  <c r="J740" i="1" s="1"/>
  <c r="I741" i="1" a="1"/>
  <c r="I741" i="1" s="1"/>
  <c r="J741" i="1" a="1"/>
  <c r="J741" i="1" s="1"/>
  <c r="I742" i="1" a="1"/>
  <c r="I742" i="1" s="1"/>
  <c r="J742" i="1" a="1"/>
  <c r="J742" i="1" s="1"/>
  <c r="I743" i="1" a="1"/>
  <c r="I743" i="1" s="1"/>
  <c r="J743" i="1" a="1"/>
  <c r="J743" i="1" s="1"/>
  <c r="I744" i="1" a="1"/>
  <c r="I744" i="1" s="1"/>
  <c r="J744" i="1" a="1"/>
  <c r="J744" i="1" s="1"/>
  <c r="I745" i="1" a="1"/>
  <c r="I745" i="1" s="1"/>
  <c r="J745" i="1" a="1"/>
  <c r="J745" i="1" s="1"/>
  <c r="I746" i="1" a="1"/>
  <c r="I746" i="1" s="1"/>
  <c r="J746" i="1" a="1"/>
  <c r="J746" i="1" s="1"/>
  <c r="I747" i="1" a="1"/>
  <c r="I747" i="1" s="1"/>
  <c r="J747" i="1" a="1"/>
  <c r="J747" i="1" s="1"/>
  <c r="I748" i="1" a="1"/>
  <c r="I748" i="1" s="1"/>
  <c r="J748" i="1" a="1"/>
  <c r="J748" i="1" s="1"/>
  <c r="I749" i="1" a="1"/>
  <c r="I749" i="1" s="1"/>
  <c r="J749" i="1" a="1"/>
  <c r="J749" i="1" s="1"/>
  <c r="I750" i="1" a="1"/>
  <c r="I750" i="1" s="1"/>
  <c r="J750" i="1" a="1"/>
  <c r="J750" i="1" s="1"/>
  <c r="I751" i="1" a="1"/>
  <c r="I751" i="1" s="1"/>
  <c r="J751" i="1" a="1"/>
  <c r="J751" i="1" s="1"/>
  <c r="I752" i="1" a="1"/>
  <c r="I752" i="1" s="1"/>
  <c r="J752" i="1" a="1"/>
  <c r="J752" i="1" s="1"/>
  <c r="I753" i="1" a="1"/>
  <c r="I753" i="1" s="1"/>
  <c r="J753" i="1" a="1"/>
  <c r="J753" i="1" s="1"/>
  <c r="I754" i="1" a="1"/>
  <c r="I754" i="1" s="1"/>
  <c r="J754" i="1" a="1"/>
  <c r="J754" i="1" s="1"/>
  <c r="I755" i="1" a="1"/>
  <c r="I755" i="1" s="1"/>
  <c r="J755" i="1" a="1"/>
  <c r="J755" i="1" s="1"/>
  <c r="I756" i="1" a="1"/>
  <c r="I756" i="1" s="1"/>
  <c r="J756" i="1" a="1"/>
  <c r="J756" i="1" s="1"/>
  <c r="I757" i="1" a="1"/>
  <c r="I757" i="1" s="1"/>
  <c r="J757" i="1" a="1"/>
  <c r="J757" i="1" s="1"/>
  <c r="I758" i="1" a="1"/>
  <c r="I758" i="1" s="1"/>
  <c r="J758" i="1" a="1"/>
  <c r="J758" i="1" s="1"/>
  <c r="I759" i="1" a="1"/>
  <c r="I759" i="1" s="1"/>
  <c r="J759" i="1" a="1"/>
  <c r="J759" i="1" s="1"/>
  <c r="I760" i="1" a="1"/>
  <c r="I760" i="1" s="1"/>
  <c r="J760" i="1" a="1"/>
  <c r="J760" i="1" s="1"/>
  <c r="I761" i="1" a="1"/>
  <c r="I761" i="1" s="1"/>
  <c r="J761" i="1" a="1"/>
  <c r="J761" i="1" s="1"/>
  <c r="I762" i="1" a="1"/>
  <c r="I762" i="1" s="1"/>
  <c r="J762" i="1" a="1"/>
  <c r="J762" i="1" s="1"/>
  <c r="I763" i="1" a="1"/>
  <c r="I763" i="1" s="1"/>
  <c r="J763" i="1" a="1"/>
  <c r="J763" i="1" s="1"/>
  <c r="I764" i="1" a="1"/>
  <c r="I764" i="1" s="1"/>
  <c r="J764" i="1" a="1"/>
  <c r="J764" i="1" s="1"/>
  <c r="I765" i="1" a="1"/>
  <c r="I765" i="1" s="1"/>
  <c r="J765" i="1" a="1"/>
  <c r="J765" i="1" s="1"/>
  <c r="I766" i="1" a="1"/>
  <c r="I766" i="1" s="1"/>
  <c r="J766" i="1" a="1"/>
  <c r="J766" i="1" s="1"/>
  <c r="I767" i="1" a="1"/>
  <c r="I767" i="1" s="1"/>
  <c r="J767" i="1" a="1"/>
  <c r="J767" i="1" s="1"/>
  <c r="I768" i="1" a="1"/>
  <c r="I768" i="1" s="1"/>
  <c r="J768" i="1" a="1"/>
  <c r="J768" i="1" s="1"/>
  <c r="I769" i="1" a="1"/>
  <c r="I769" i="1" s="1"/>
  <c r="J769" i="1" a="1"/>
  <c r="J769" i="1" s="1"/>
  <c r="I770" i="1" a="1"/>
  <c r="I770" i="1" s="1"/>
  <c r="J770" i="1" a="1"/>
  <c r="J770" i="1" s="1"/>
  <c r="I771" i="1" a="1"/>
  <c r="I771" i="1" s="1"/>
  <c r="J771" i="1" a="1"/>
  <c r="J771" i="1" s="1"/>
  <c r="I772" i="1" a="1"/>
  <c r="I772" i="1" s="1"/>
  <c r="J772" i="1" a="1"/>
  <c r="J772" i="1" s="1"/>
  <c r="I773" i="1" a="1"/>
  <c r="I773" i="1" s="1"/>
  <c r="J773" i="1" a="1"/>
  <c r="J773" i="1" s="1"/>
  <c r="I774" i="1" a="1"/>
  <c r="I774" i="1" s="1"/>
  <c r="J774" i="1" a="1"/>
  <c r="J774" i="1" s="1"/>
  <c r="I775" i="1" a="1"/>
  <c r="I775" i="1" s="1"/>
  <c r="J775" i="1" a="1"/>
  <c r="J775" i="1" s="1"/>
  <c r="I776" i="1" a="1"/>
  <c r="I776" i="1" s="1"/>
  <c r="J776" i="1" a="1"/>
  <c r="J776" i="1" s="1"/>
  <c r="I777" i="1" a="1"/>
  <c r="I777" i="1" s="1"/>
  <c r="J777" i="1" a="1"/>
  <c r="J777" i="1" s="1"/>
  <c r="I778" i="1" a="1"/>
  <c r="I778" i="1" s="1"/>
  <c r="J778" i="1" a="1"/>
  <c r="J778" i="1" s="1"/>
  <c r="I779" i="1" a="1"/>
  <c r="I779" i="1" s="1"/>
  <c r="J779" i="1" a="1"/>
  <c r="J779" i="1" s="1"/>
  <c r="I780" i="1" a="1"/>
  <c r="I780" i="1" s="1"/>
  <c r="J780" i="1" a="1"/>
  <c r="J780" i="1" s="1"/>
  <c r="I781" i="1" a="1"/>
  <c r="I781" i="1" s="1"/>
  <c r="J781" i="1" a="1"/>
  <c r="J781" i="1" s="1"/>
  <c r="I782" i="1" a="1"/>
  <c r="I782" i="1" s="1"/>
  <c r="J782" i="1" a="1"/>
  <c r="J782" i="1" s="1"/>
  <c r="I783" i="1" a="1"/>
  <c r="I783" i="1" s="1"/>
  <c r="J783" i="1" a="1"/>
  <c r="J783" i="1" s="1"/>
  <c r="I784" i="1" a="1"/>
  <c r="I784" i="1" s="1"/>
  <c r="J784" i="1" a="1"/>
  <c r="J784" i="1" s="1"/>
  <c r="I785" i="1" a="1"/>
  <c r="I785" i="1" s="1"/>
  <c r="J785" i="1" a="1"/>
  <c r="J785" i="1" s="1"/>
  <c r="I786" i="1" a="1"/>
  <c r="I786" i="1" s="1"/>
  <c r="J786" i="1" a="1"/>
  <c r="J786" i="1" s="1"/>
  <c r="I787" i="1" a="1"/>
  <c r="I787" i="1" s="1"/>
  <c r="J787" i="1" a="1"/>
  <c r="J787" i="1" s="1"/>
  <c r="I788" i="1" a="1"/>
  <c r="I788" i="1" s="1"/>
  <c r="J788" i="1" a="1"/>
  <c r="J788" i="1" s="1"/>
  <c r="I789" i="1" a="1"/>
  <c r="I789" i="1" s="1"/>
  <c r="J789" i="1" a="1"/>
  <c r="J789" i="1" s="1"/>
  <c r="I790" i="1" a="1"/>
  <c r="I790" i="1" s="1"/>
  <c r="J790" i="1" a="1"/>
  <c r="J790" i="1" s="1"/>
  <c r="I791" i="1" a="1"/>
  <c r="I791" i="1" s="1"/>
  <c r="J791" i="1" a="1"/>
  <c r="J791" i="1" s="1"/>
  <c r="I792" i="1" a="1"/>
  <c r="I792" i="1" s="1"/>
  <c r="J792" i="1" a="1"/>
  <c r="J792" i="1" s="1"/>
  <c r="I793" i="1" a="1"/>
  <c r="I793" i="1" s="1"/>
  <c r="J793" i="1" a="1"/>
  <c r="J793" i="1" s="1"/>
  <c r="I794" i="1" a="1"/>
  <c r="I794" i="1" s="1"/>
  <c r="J794" i="1" a="1"/>
  <c r="J794" i="1" s="1"/>
  <c r="I795" i="1" a="1"/>
  <c r="I795" i="1" s="1"/>
  <c r="J795" i="1" a="1"/>
  <c r="J795" i="1" s="1"/>
  <c r="I796" i="1" a="1"/>
  <c r="I796" i="1" s="1"/>
  <c r="J796" i="1" a="1"/>
  <c r="J796" i="1" s="1"/>
  <c r="I797" i="1" a="1"/>
  <c r="I797" i="1" s="1"/>
  <c r="J797" i="1" a="1"/>
  <c r="J797" i="1" s="1"/>
  <c r="I798" i="1" a="1"/>
  <c r="I798" i="1" s="1"/>
  <c r="J798" i="1" a="1"/>
  <c r="J798" i="1" s="1"/>
  <c r="I799" i="1" a="1"/>
  <c r="I799" i="1" s="1"/>
  <c r="J799" i="1" a="1"/>
  <c r="J799" i="1" s="1"/>
  <c r="I800" i="1" a="1"/>
  <c r="I800" i="1" s="1"/>
  <c r="J800" i="1" a="1"/>
  <c r="J800" i="1" s="1"/>
  <c r="I801" i="1" a="1"/>
  <c r="I801" i="1" s="1"/>
  <c r="J801" i="1" a="1"/>
  <c r="J801" i="1" s="1"/>
  <c r="I802" i="1" a="1"/>
  <c r="I802" i="1" s="1"/>
  <c r="J802" i="1" a="1"/>
  <c r="J802" i="1" s="1"/>
  <c r="I803" i="1" a="1"/>
  <c r="I803" i="1" s="1"/>
  <c r="J803" i="1" a="1"/>
  <c r="J803" i="1" s="1"/>
  <c r="I804" i="1" a="1"/>
  <c r="I804" i="1" s="1"/>
  <c r="J804" i="1" a="1"/>
  <c r="J804" i="1" s="1"/>
  <c r="I805" i="1" a="1"/>
  <c r="I805" i="1" s="1"/>
  <c r="J805" i="1" a="1"/>
  <c r="J805" i="1" s="1"/>
  <c r="I806" i="1" a="1"/>
  <c r="I806" i="1" s="1"/>
  <c r="J806" i="1" a="1"/>
  <c r="J806" i="1" s="1"/>
  <c r="I807" i="1" a="1"/>
  <c r="I807" i="1" s="1"/>
  <c r="J807" i="1" a="1"/>
  <c r="J807" i="1" s="1"/>
  <c r="I808" i="1" a="1"/>
  <c r="I808" i="1" s="1"/>
  <c r="J808" i="1" a="1"/>
  <c r="J808" i="1" s="1"/>
  <c r="I809" i="1" a="1"/>
  <c r="I809" i="1" s="1"/>
  <c r="J809" i="1" a="1"/>
  <c r="J809" i="1" s="1"/>
  <c r="I810" i="1" a="1"/>
  <c r="I810" i="1" s="1"/>
  <c r="J810" i="1" a="1"/>
  <c r="J810" i="1" s="1"/>
  <c r="I811" i="1" a="1"/>
  <c r="I811" i="1" s="1"/>
  <c r="J811" i="1" a="1"/>
  <c r="J811" i="1" s="1"/>
  <c r="I812" i="1" a="1"/>
  <c r="I812" i="1" s="1"/>
  <c r="J812" i="1" a="1"/>
  <c r="J812" i="1" s="1"/>
  <c r="I813" i="1" a="1"/>
  <c r="I813" i="1" s="1"/>
  <c r="J813" i="1" a="1"/>
  <c r="J813" i="1" s="1"/>
  <c r="I814" i="1" a="1"/>
  <c r="I814" i="1" s="1"/>
  <c r="J814" i="1" a="1"/>
  <c r="J814" i="1" s="1"/>
  <c r="I815" i="1" a="1"/>
  <c r="I815" i="1" s="1"/>
  <c r="J815" i="1" a="1"/>
  <c r="J815" i="1" s="1"/>
  <c r="I816" i="1" a="1"/>
  <c r="I816" i="1" s="1"/>
  <c r="J816" i="1" a="1"/>
  <c r="J816" i="1" s="1"/>
  <c r="I817" i="1" a="1"/>
  <c r="I817" i="1" s="1"/>
  <c r="J817" i="1" a="1"/>
  <c r="J817" i="1" s="1"/>
  <c r="I818" i="1" a="1"/>
  <c r="I818" i="1" s="1"/>
  <c r="J818" i="1" a="1"/>
  <c r="J818" i="1" s="1"/>
  <c r="I819" i="1" a="1"/>
  <c r="I819" i="1" s="1"/>
  <c r="J819" i="1" a="1"/>
  <c r="J819" i="1" s="1"/>
  <c r="I820" i="1" a="1"/>
  <c r="I820" i="1" s="1"/>
  <c r="J820" i="1" a="1"/>
  <c r="J820" i="1" s="1"/>
  <c r="I821" i="1" a="1"/>
  <c r="I821" i="1" s="1"/>
  <c r="J821" i="1" a="1"/>
  <c r="J821" i="1" s="1"/>
  <c r="I822" i="1" a="1"/>
  <c r="I822" i="1" s="1"/>
  <c r="J822" i="1" a="1"/>
  <c r="J822" i="1" s="1"/>
  <c r="I823" i="1" a="1"/>
  <c r="I823" i="1" s="1"/>
  <c r="J823" i="1" a="1"/>
  <c r="J823" i="1" s="1"/>
  <c r="I824" i="1" a="1"/>
  <c r="I824" i="1" s="1"/>
  <c r="J824" i="1" a="1"/>
  <c r="J824" i="1" s="1"/>
  <c r="I825" i="1" a="1"/>
  <c r="I825" i="1" s="1"/>
  <c r="J825" i="1" a="1"/>
  <c r="J825" i="1" s="1"/>
  <c r="I826" i="1" a="1"/>
  <c r="I826" i="1" s="1"/>
  <c r="J826" i="1" a="1"/>
  <c r="J826" i="1" s="1"/>
  <c r="I827" i="1" a="1"/>
  <c r="I827" i="1" s="1"/>
  <c r="J827" i="1" a="1"/>
  <c r="J827" i="1" s="1"/>
  <c r="I828" i="1" a="1"/>
  <c r="I828" i="1" s="1"/>
  <c r="J828" i="1" a="1"/>
  <c r="J828" i="1" s="1"/>
  <c r="I829" i="1" a="1"/>
  <c r="I829" i="1" s="1"/>
  <c r="J829" i="1" a="1"/>
  <c r="J829" i="1" s="1"/>
  <c r="I830" i="1" a="1"/>
  <c r="I830" i="1" s="1"/>
  <c r="J830" i="1" a="1"/>
  <c r="J830" i="1" s="1"/>
  <c r="I831" i="1" a="1"/>
  <c r="I831" i="1" s="1"/>
  <c r="J831" i="1" a="1"/>
  <c r="J831" i="1" s="1"/>
  <c r="I832" i="1" a="1"/>
  <c r="I832" i="1" s="1"/>
  <c r="J832" i="1" a="1"/>
  <c r="J832" i="1" s="1"/>
  <c r="I833" i="1" a="1"/>
  <c r="I833" i="1" s="1"/>
  <c r="J833" i="1" a="1"/>
  <c r="J833" i="1" s="1"/>
  <c r="I834" i="1" a="1"/>
  <c r="I834" i="1" s="1"/>
  <c r="J834" i="1" a="1"/>
  <c r="J834" i="1" s="1"/>
  <c r="I835" i="1" a="1"/>
  <c r="I835" i="1" s="1"/>
  <c r="J835" i="1" a="1"/>
  <c r="J835" i="1" s="1"/>
  <c r="I836" i="1" a="1"/>
  <c r="I836" i="1" s="1"/>
  <c r="J836" i="1" a="1"/>
  <c r="J836" i="1" s="1"/>
  <c r="I837" i="1" a="1"/>
  <c r="I837" i="1" s="1"/>
  <c r="J837" i="1" a="1"/>
  <c r="J837" i="1" s="1"/>
  <c r="I838" i="1" a="1"/>
  <c r="I838" i="1" s="1"/>
  <c r="J838" i="1" a="1"/>
  <c r="J838" i="1" s="1"/>
  <c r="I839" i="1" a="1"/>
  <c r="I839" i="1" s="1"/>
  <c r="J839" i="1" a="1"/>
  <c r="J839" i="1" s="1"/>
  <c r="I840" i="1" a="1"/>
  <c r="I840" i="1" s="1"/>
  <c r="J840" i="1" a="1"/>
  <c r="J840" i="1" s="1"/>
  <c r="I841" i="1" a="1"/>
  <c r="I841" i="1" s="1"/>
  <c r="J841" i="1" a="1"/>
  <c r="J841" i="1" s="1"/>
  <c r="I842" i="1" a="1"/>
  <c r="I842" i="1" s="1"/>
  <c r="J842" i="1" a="1"/>
  <c r="J842" i="1" s="1"/>
  <c r="I843" i="1" a="1"/>
  <c r="I843" i="1" s="1"/>
  <c r="J843" i="1" a="1"/>
  <c r="J843" i="1" s="1"/>
  <c r="I844" i="1" a="1"/>
  <c r="I844" i="1" s="1"/>
  <c r="J844" i="1" a="1"/>
  <c r="J844" i="1" s="1"/>
  <c r="I845" i="1" a="1"/>
  <c r="I845" i="1" s="1"/>
  <c r="J845" i="1" a="1"/>
  <c r="J845" i="1" s="1"/>
  <c r="I846" i="1" a="1"/>
  <c r="I846" i="1" s="1"/>
  <c r="J846" i="1" a="1"/>
  <c r="J846" i="1" s="1"/>
  <c r="I847" i="1" a="1"/>
  <c r="I847" i="1" s="1"/>
  <c r="J847" i="1" a="1"/>
  <c r="J847" i="1" s="1"/>
  <c r="I848" i="1" a="1"/>
  <c r="I848" i="1" s="1"/>
  <c r="J848" i="1" a="1"/>
  <c r="J848" i="1" s="1"/>
  <c r="I849" i="1" a="1"/>
  <c r="I849" i="1" s="1"/>
  <c r="J849" i="1" a="1"/>
  <c r="J849" i="1" s="1"/>
  <c r="I850" i="1" a="1"/>
  <c r="I850" i="1" s="1"/>
  <c r="J850" i="1" a="1"/>
  <c r="J850" i="1" s="1"/>
  <c r="I851" i="1" a="1"/>
  <c r="I851" i="1" s="1"/>
  <c r="J851" i="1" a="1"/>
  <c r="J851" i="1" s="1"/>
  <c r="I852" i="1" a="1"/>
  <c r="I852" i="1" s="1"/>
  <c r="J852" i="1" a="1"/>
  <c r="J852" i="1" s="1"/>
  <c r="I853" i="1" a="1"/>
  <c r="I853" i="1" s="1"/>
  <c r="J853" i="1" a="1"/>
  <c r="J853" i="1" s="1"/>
  <c r="I854" i="1" a="1"/>
  <c r="I854" i="1" s="1"/>
  <c r="J854" i="1" a="1"/>
  <c r="J854" i="1" s="1"/>
  <c r="I855" i="1" a="1"/>
  <c r="I855" i="1" s="1"/>
  <c r="J855" i="1" a="1"/>
  <c r="J855" i="1" s="1"/>
  <c r="I856" i="1" a="1"/>
  <c r="I856" i="1" s="1"/>
  <c r="J856" i="1" a="1"/>
  <c r="J856" i="1" s="1"/>
  <c r="I857" i="1" a="1"/>
  <c r="I857" i="1" s="1"/>
  <c r="J857" i="1" a="1"/>
  <c r="J857" i="1" s="1"/>
  <c r="I858" i="1" a="1"/>
  <c r="I858" i="1" s="1"/>
  <c r="J858" i="1" a="1"/>
  <c r="J858" i="1" s="1"/>
  <c r="I859" i="1" a="1"/>
  <c r="I859" i="1" s="1"/>
  <c r="J859" i="1" a="1"/>
  <c r="J859" i="1" s="1"/>
  <c r="I860" i="1" a="1"/>
  <c r="I860" i="1"/>
  <c r="J860" i="1" a="1"/>
  <c r="J860" i="1" s="1"/>
  <c r="I861" i="1" a="1"/>
  <c r="I861" i="1" s="1"/>
  <c r="J861" i="1" a="1"/>
  <c r="J861" i="1" s="1"/>
  <c r="I862" i="1" a="1"/>
  <c r="I862" i="1" s="1"/>
  <c r="J862" i="1" a="1"/>
  <c r="J862" i="1" s="1"/>
  <c r="I863" i="1" a="1"/>
  <c r="I863" i="1" s="1"/>
  <c r="J863" i="1" a="1"/>
  <c r="J863" i="1" s="1"/>
  <c r="I864" i="1" a="1"/>
  <c r="I864" i="1" s="1"/>
  <c r="J864" i="1" a="1"/>
  <c r="J864" i="1" s="1"/>
  <c r="I865" i="1" a="1"/>
  <c r="I865" i="1" s="1"/>
  <c r="J865" i="1" a="1"/>
  <c r="J865" i="1" s="1"/>
  <c r="I866" i="1" a="1"/>
  <c r="I866" i="1" s="1"/>
  <c r="J866" i="1" a="1"/>
  <c r="J866" i="1" s="1"/>
  <c r="I867" i="1" a="1"/>
  <c r="I867" i="1" s="1"/>
  <c r="J867" i="1" a="1"/>
  <c r="J867" i="1" s="1"/>
  <c r="I868" i="1" a="1"/>
  <c r="I868" i="1" s="1"/>
  <c r="J868" i="1" a="1"/>
  <c r="J868" i="1" s="1"/>
  <c r="I869" i="1" a="1"/>
  <c r="I869" i="1" s="1"/>
  <c r="J869" i="1" a="1"/>
  <c r="J869" i="1" s="1"/>
  <c r="I870" i="1" a="1"/>
  <c r="I870" i="1" s="1"/>
  <c r="J870" i="1" a="1"/>
  <c r="J870" i="1" s="1"/>
  <c r="I871" i="1" a="1"/>
  <c r="I871" i="1" s="1"/>
  <c r="J871" i="1" a="1"/>
  <c r="J871" i="1" s="1"/>
  <c r="I872" i="1" a="1"/>
  <c r="I872" i="1" s="1"/>
  <c r="J872" i="1" a="1"/>
  <c r="J872" i="1" s="1"/>
  <c r="I873" i="1" a="1"/>
  <c r="I873" i="1" s="1"/>
  <c r="J873" i="1" a="1"/>
  <c r="J873" i="1" s="1"/>
  <c r="I874" i="1" a="1"/>
  <c r="I874" i="1" s="1"/>
  <c r="J874" i="1" a="1"/>
  <c r="J874" i="1" s="1"/>
  <c r="I875" i="1" a="1"/>
  <c r="I875" i="1" s="1"/>
  <c r="J875" i="1" a="1"/>
  <c r="J875" i="1" s="1"/>
  <c r="I876" i="1" a="1"/>
  <c r="I876" i="1" s="1"/>
  <c r="J876" i="1" a="1"/>
  <c r="J876" i="1" s="1"/>
  <c r="I877" i="1" a="1"/>
  <c r="I877" i="1" s="1"/>
  <c r="J877" i="1" a="1"/>
  <c r="J877" i="1" s="1"/>
  <c r="I878" i="1" a="1"/>
  <c r="I878" i="1" s="1"/>
  <c r="J878" i="1" a="1"/>
  <c r="J878" i="1" s="1"/>
  <c r="I879" i="1" a="1"/>
  <c r="I879" i="1" s="1"/>
  <c r="J879" i="1" a="1"/>
  <c r="J879" i="1" s="1"/>
  <c r="I880" i="1" a="1"/>
  <c r="I880" i="1" s="1"/>
  <c r="J880" i="1" a="1"/>
  <c r="J880" i="1" s="1"/>
  <c r="I881" i="1" a="1"/>
  <c r="I881" i="1" s="1"/>
  <c r="J881" i="1" a="1"/>
  <c r="J881" i="1" s="1"/>
  <c r="I882" i="1" a="1"/>
  <c r="I882" i="1" s="1"/>
  <c r="J882" i="1" a="1"/>
  <c r="J882" i="1" s="1"/>
  <c r="I883" i="1" a="1"/>
  <c r="I883" i="1" s="1"/>
  <c r="J883" i="1" a="1"/>
  <c r="J883" i="1" s="1"/>
  <c r="I884" i="1" a="1"/>
  <c r="I884" i="1" s="1"/>
  <c r="J884" i="1" a="1"/>
  <c r="J884" i="1" s="1"/>
  <c r="I885" i="1" a="1"/>
  <c r="I885" i="1" s="1"/>
  <c r="J885" i="1" a="1"/>
  <c r="J885" i="1" s="1"/>
  <c r="I886" i="1" a="1"/>
  <c r="I886" i="1" s="1"/>
  <c r="J886" i="1" a="1"/>
  <c r="J886" i="1" s="1"/>
  <c r="I887" i="1" a="1"/>
  <c r="I887" i="1" s="1"/>
  <c r="J887" i="1" a="1"/>
  <c r="J887" i="1" s="1"/>
  <c r="I888" i="1" a="1"/>
  <c r="I888" i="1" s="1"/>
  <c r="J888" i="1" a="1"/>
  <c r="J888" i="1" s="1"/>
  <c r="I889" i="1" a="1"/>
  <c r="I889" i="1" s="1"/>
  <c r="J889" i="1" a="1"/>
  <c r="J889" i="1" s="1"/>
  <c r="I890" i="1" a="1"/>
  <c r="I890" i="1" s="1"/>
  <c r="J890" i="1" a="1"/>
  <c r="J890" i="1" s="1"/>
  <c r="I891" i="1" a="1"/>
  <c r="I891" i="1" s="1"/>
  <c r="J891" i="1" a="1"/>
  <c r="J891" i="1" s="1"/>
  <c r="I892" i="1" a="1"/>
  <c r="I892" i="1" s="1"/>
  <c r="J892" i="1" a="1"/>
  <c r="J892" i="1" s="1"/>
  <c r="I893" i="1" a="1"/>
  <c r="I893" i="1" s="1"/>
  <c r="J893" i="1" a="1"/>
  <c r="J893" i="1" s="1"/>
  <c r="I894" i="1" a="1"/>
  <c r="I894" i="1" s="1"/>
  <c r="J894" i="1" a="1"/>
  <c r="J894" i="1" s="1"/>
  <c r="I895" i="1" a="1"/>
  <c r="I895" i="1" s="1"/>
  <c r="J895" i="1" a="1"/>
  <c r="J895" i="1" s="1"/>
  <c r="I896" i="1" a="1"/>
  <c r="I896" i="1" s="1"/>
  <c r="J896" i="1" a="1"/>
  <c r="J896" i="1" s="1"/>
  <c r="I897" i="1" a="1"/>
  <c r="I897" i="1" s="1"/>
  <c r="J897" i="1" a="1"/>
  <c r="J897" i="1" s="1"/>
  <c r="I898" i="1" a="1"/>
  <c r="I898" i="1" s="1"/>
  <c r="J898" i="1" a="1"/>
  <c r="J898" i="1" s="1"/>
  <c r="I899" i="1" a="1"/>
  <c r="I899" i="1" s="1"/>
  <c r="J899" i="1" a="1"/>
  <c r="J899" i="1" s="1"/>
  <c r="I900" i="1" a="1"/>
  <c r="I900" i="1" s="1"/>
  <c r="J900" i="1" a="1"/>
  <c r="J900" i="1" s="1"/>
  <c r="I901" i="1" a="1"/>
  <c r="I901" i="1" s="1"/>
  <c r="J901" i="1" a="1"/>
  <c r="J901" i="1" s="1"/>
  <c r="I902" i="1" a="1"/>
  <c r="I902" i="1" s="1"/>
  <c r="J902" i="1" a="1"/>
  <c r="J902" i="1" s="1"/>
  <c r="I903" i="1" a="1"/>
  <c r="I903" i="1" s="1"/>
  <c r="J903" i="1" a="1"/>
  <c r="J903" i="1" s="1"/>
  <c r="I904" i="1" a="1"/>
  <c r="I904" i="1" s="1"/>
  <c r="J904" i="1" a="1"/>
  <c r="J904" i="1" s="1"/>
  <c r="I905" i="1" a="1"/>
  <c r="I905" i="1" s="1"/>
  <c r="J905" i="1" a="1"/>
  <c r="J905" i="1" s="1"/>
  <c r="I906" i="1" a="1"/>
  <c r="I906" i="1" s="1"/>
  <c r="J906" i="1" a="1"/>
  <c r="J906" i="1" s="1"/>
  <c r="I907" i="1" a="1"/>
  <c r="I907" i="1" s="1"/>
  <c r="J907" i="1" a="1"/>
  <c r="J907" i="1" s="1"/>
  <c r="I908" i="1" a="1"/>
  <c r="I908" i="1" s="1"/>
  <c r="J908" i="1" a="1"/>
  <c r="J908" i="1" s="1"/>
  <c r="I909" i="1" a="1"/>
  <c r="I909" i="1" s="1"/>
  <c r="J909" i="1" a="1"/>
  <c r="J909" i="1" s="1"/>
  <c r="I910" i="1" a="1"/>
  <c r="I910" i="1" s="1"/>
  <c r="J910" i="1" a="1"/>
  <c r="J910" i="1" s="1"/>
  <c r="I911" i="1" a="1"/>
  <c r="I911" i="1" s="1"/>
  <c r="J911" i="1" a="1"/>
  <c r="J911" i="1" s="1"/>
  <c r="I912" i="1" a="1"/>
  <c r="I912" i="1" s="1"/>
  <c r="J912" i="1" a="1"/>
  <c r="J912" i="1" s="1"/>
  <c r="I913" i="1" a="1"/>
  <c r="I913" i="1" s="1"/>
  <c r="J913" i="1" a="1"/>
  <c r="J913" i="1" s="1"/>
  <c r="I914" i="1" a="1"/>
  <c r="I914" i="1" s="1"/>
  <c r="J914" i="1" a="1"/>
  <c r="J914" i="1" s="1"/>
  <c r="I915" i="1" a="1"/>
  <c r="I915" i="1" s="1"/>
  <c r="J915" i="1" a="1"/>
  <c r="J915" i="1" s="1"/>
  <c r="I916" i="1" a="1"/>
  <c r="I916" i="1" s="1"/>
  <c r="J916" i="1" a="1"/>
  <c r="J916" i="1" s="1"/>
  <c r="I917" i="1" a="1"/>
  <c r="I917" i="1" s="1"/>
  <c r="J917" i="1" a="1"/>
  <c r="J917" i="1" s="1"/>
  <c r="I918" i="1" a="1"/>
  <c r="I918" i="1" s="1"/>
  <c r="J918" i="1" a="1"/>
  <c r="J918" i="1" s="1"/>
  <c r="I919" i="1" a="1"/>
  <c r="I919" i="1" s="1"/>
  <c r="J919" i="1" a="1"/>
  <c r="J919" i="1" s="1"/>
  <c r="I920" i="1" a="1"/>
  <c r="I920" i="1" s="1"/>
  <c r="J920" i="1" a="1"/>
  <c r="J920" i="1" s="1"/>
  <c r="I921" i="1" a="1"/>
  <c r="I921" i="1" s="1"/>
  <c r="J921" i="1" a="1"/>
  <c r="J921" i="1" s="1"/>
  <c r="I922" i="1" a="1"/>
  <c r="I922" i="1" s="1"/>
  <c r="J922" i="1" a="1"/>
  <c r="J922" i="1" s="1"/>
  <c r="I923" i="1" a="1"/>
  <c r="I923" i="1" s="1"/>
  <c r="J923" i="1" a="1"/>
  <c r="J923" i="1" s="1"/>
  <c r="I924" i="1" a="1"/>
  <c r="I924" i="1" s="1"/>
  <c r="J924" i="1" a="1"/>
  <c r="J924" i="1" s="1"/>
  <c r="I925" i="1" a="1"/>
  <c r="I925" i="1" s="1"/>
  <c r="J925" i="1" a="1"/>
  <c r="J925" i="1" s="1"/>
  <c r="I926" i="1" a="1"/>
  <c r="I926" i="1" s="1"/>
  <c r="J926" i="1" a="1"/>
  <c r="J926" i="1" s="1"/>
  <c r="I927" i="1" a="1"/>
  <c r="I927" i="1" s="1"/>
  <c r="J927" i="1" a="1"/>
  <c r="J927" i="1" s="1"/>
  <c r="I928" i="1" a="1"/>
  <c r="I928" i="1" s="1"/>
  <c r="J928" i="1" a="1"/>
  <c r="J928" i="1" s="1"/>
  <c r="I929" i="1" a="1"/>
  <c r="I929" i="1" s="1"/>
  <c r="J929" i="1" a="1"/>
  <c r="J929" i="1" s="1"/>
  <c r="I930" i="1" a="1"/>
  <c r="I930" i="1" s="1"/>
  <c r="J930" i="1" a="1"/>
  <c r="J930" i="1" s="1"/>
  <c r="I931" i="1" a="1"/>
  <c r="I931" i="1" s="1"/>
  <c r="J931" i="1" a="1"/>
  <c r="J931" i="1" s="1"/>
  <c r="I932" i="1" a="1"/>
  <c r="I932" i="1" s="1"/>
  <c r="J932" i="1" a="1"/>
  <c r="J932" i="1" s="1"/>
  <c r="I933" i="1" a="1"/>
  <c r="I933" i="1" s="1"/>
  <c r="J933" i="1" a="1"/>
  <c r="J933" i="1" s="1"/>
  <c r="I934" i="1" a="1"/>
  <c r="I934" i="1" s="1"/>
  <c r="J934" i="1" a="1"/>
  <c r="J934" i="1" s="1"/>
  <c r="I935" i="1" a="1"/>
  <c r="I935" i="1" s="1"/>
  <c r="J935" i="1" a="1"/>
  <c r="J935" i="1" s="1"/>
  <c r="I936" i="1" a="1"/>
  <c r="I936" i="1" s="1"/>
  <c r="J936" i="1" a="1"/>
  <c r="J936" i="1" s="1"/>
  <c r="I937" i="1" a="1"/>
  <c r="I937" i="1" s="1"/>
  <c r="J937" i="1" a="1"/>
  <c r="J937" i="1" s="1"/>
  <c r="I938" i="1" a="1"/>
  <c r="I938" i="1" s="1"/>
  <c r="J938" i="1" a="1"/>
  <c r="J938" i="1" s="1"/>
  <c r="I939" i="1" a="1"/>
  <c r="I939" i="1" s="1"/>
  <c r="J939" i="1" a="1"/>
  <c r="J939" i="1" s="1"/>
  <c r="I940" i="1" a="1"/>
  <c r="I940" i="1" s="1"/>
  <c r="J940" i="1" a="1"/>
  <c r="J940" i="1" s="1"/>
  <c r="I941" i="1" a="1"/>
  <c r="I941" i="1" s="1"/>
  <c r="J941" i="1" a="1"/>
  <c r="J941" i="1" s="1"/>
  <c r="I942" i="1" a="1"/>
  <c r="I942" i="1" s="1"/>
  <c r="J942" i="1" a="1"/>
  <c r="J942" i="1" s="1"/>
  <c r="I943" i="1" a="1"/>
  <c r="I943" i="1" s="1"/>
  <c r="J943" i="1" a="1"/>
  <c r="J943" i="1" s="1"/>
  <c r="I944" i="1" a="1"/>
  <c r="I944" i="1" s="1"/>
  <c r="J944" i="1" a="1"/>
  <c r="J944" i="1" s="1"/>
  <c r="I945" i="1" a="1"/>
  <c r="I945" i="1" s="1"/>
  <c r="J945" i="1" a="1"/>
  <c r="J945" i="1" s="1"/>
  <c r="I946" i="1" a="1"/>
  <c r="I946" i="1" s="1"/>
  <c r="J946" i="1" a="1"/>
  <c r="J946" i="1" s="1"/>
  <c r="I947" i="1" a="1"/>
  <c r="I947" i="1" s="1"/>
  <c r="J947" i="1" a="1"/>
  <c r="J947" i="1" s="1"/>
  <c r="I948" i="1" a="1"/>
  <c r="I948" i="1" s="1"/>
  <c r="J948" i="1" a="1"/>
  <c r="J948" i="1" s="1"/>
  <c r="I949" i="1" a="1"/>
  <c r="I949" i="1" s="1"/>
  <c r="J949" i="1" a="1"/>
  <c r="J949" i="1" s="1"/>
  <c r="I950" i="1" a="1"/>
  <c r="I950" i="1" s="1"/>
  <c r="J950" i="1" a="1"/>
  <c r="J950" i="1" s="1"/>
  <c r="I951" i="1" a="1"/>
  <c r="I951" i="1" s="1"/>
  <c r="J951" i="1" a="1"/>
  <c r="J951" i="1" s="1"/>
  <c r="I952" i="1" a="1"/>
  <c r="I952" i="1" s="1"/>
  <c r="J952" i="1" a="1"/>
  <c r="J952" i="1" s="1"/>
  <c r="I953" i="1" a="1"/>
  <c r="I953" i="1" s="1"/>
  <c r="J953" i="1" a="1"/>
  <c r="J953" i="1" s="1"/>
  <c r="I954" i="1" a="1"/>
  <c r="I954" i="1" s="1"/>
  <c r="J954" i="1" a="1"/>
  <c r="J954" i="1" s="1"/>
  <c r="I955" i="1" a="1"/>
  <c r="I955" i="1" s="1"/>
  <c r="J955" i="1" a="1"/>
  <c r="J955" i="1" s="1"/>
  <c r="I956" i="1" a="1"/>
  <c r="I956" i="1" s="1"/>
  <c r="J956" i="1" a="1"/>
  <c r="J956" i="1" s="1"/>
  <c r="I957" i="1" a="1"/>
  <c r="I957" i="1" s="1"/>
  <c r="J957" i="1" a="1"/>
  <c r="J957" i="1" s="1"/>
  <c r="I958" i="1" a="1"/>
  <c r="I958" i="1" s="1"/>
  <c r="J958" i="1" a="1"/>
  <c r="J958" i="1" s="1"/>
  <c r="I959" i="1" a="1"/>
  <c r="I959" i="1" s="1"/>
  <c r="J959" i="1" a="1"/>
  <c r="J959" i="1" s="1"/>
  <c r="I960" i="1" a="1"/>
  <c r="I960" i="1" s="1"/>
  <c r="J960" i="1" a="1"/>
  <c r="J960" i="1" s="1"/>
  <c r="I961" i="1" a="1"/>
  <c r="I961" i="1" s="1"/>
  <c r="J961" i="1" a="1"/>
  <c r="J961" i="1" s="1"/>
  <c r="I962" i="1" a="1"/>
  <c r="I962" i="1" s="1"/>
  <c r="J962" i="1" a="1"/>
  <c r="J962" i="1" s="1"/>
  <c r="I963" i="1" a="1"/>
  <c r="I963" i="1" s="1"/>
  <c r="J963" i="1" a="1"/>
  <c r="J963" i="1" s="1"/>
  <c r="I964" i="1" a="1"/>
  <c r="I964" i="1" s="1"/>
  <c r="J964" i="1" a="1"/>
  <c r="J964" i="1" s="1"/>
  <c r="I965" i="1" a="1"/>
  <c r="I965" i="1" s="1"/>
  <c r="J965" i="1" a="1"/>
  <c r="J965" i="1" s="1"/>
  <c r="I966" i="1" a="1"/>
  <c r="I966" i="1" s="1"/>
  <c r="J966" i="1" a="1"/>
  <c r="J966" i="1" s="1"/>
  <c r="I967" i="1" a="1"/>
  <c r="I967" i="1" s="1"/>
  <c r="J967" i="1" a="1"/>
  <c r="J967" i="1" s="1"/>
  <c r="I968" i="1" a="1"/>
  <c r="I968" i="1" s="1"/>
  <c r="J968" i="1" a="1"/>
  <c r="J968" i="1" s="1"/>
  <c r="I969" i="1" a="1"/>
  <c r="I969" i="1" s="1"/>
  <c r="J969" i="1" a="1"/>
  <c r="J969" i="1" s="1"/>
  <c r="I970" i="1" a="1"/>
  <c r="I970" i="1" s="1"/>
  <c r="J970" i="1" a="1"/>
  <c r="J970" i="1" s="1"/>
  <c r="I971" i="1" a="1"/>
  <c r="I971" i="1" s="1"/>
  <c r="J971" i="1" a="1"/>
  <c r="J971" i="1" s="1"/>
  <c r="I972" i="1" a="1"/>
  <c r="I972" i="1" s="1"/>
  <c r="J972" i="1" a="1"/>
  <c r="J972" i="1" s="1"/>
  <c r="I973" i="1" a="1"/>
  <c r="I973" i="1" s="1"/>
  <c r="J973" i="1" a="1"/>
  <c r="J973" i="1" s="1"/>
  <c r="I974" i="1" a="1"/>
  <c r="I974" i="1" s="1"/>
  <c r="J974" i="1" a="1"/>
  <c r="J974" i="1" s="1"/>
  <c r="I975" i="1" a="1"/>
  <c r="I975" i="1" s="1"/>
  <c r="J975" i="1" a="1"/>
  <c r="J975" i="1" s="1"/>
  <c r="I976" i="1" a="1"/>
  <c r="I976" i="1" s="1"/>
  <c r="J976" i="1" a="1"/>
  <c r="J976" i="1" s="1"/>
  <c r="I977" i="1" a="1"/>
  <c r="I977" i="1" s="1"/>
  <c r="J977" i="1" a="1"/>
  <c r="J977" i="1" s="1"/>
  <c r="I978" i="1" a="1"/>
  <c r="I978" i="1" s="1"/>
  <c r="J978" i="1" a="1"/>
  <c r="J978" i="1" s="1"/>
  <c r="I979" i="1" a="1"/>
  <c r="I979" i="1" s="1"/>
  <c r="J979" i="1" a="1"/>
  <c r="J979" i="1" s="1"/>
  <c r="I980" i="1" a="1"/>
  <c r="I980" i="1" s="1"/>
  <c r="J980" i="1" a="1"/>
  <c r="J980" i="1" s="1"/>
  <c r="I981" i="1" a="1"/>
  <c r="I981" i="1" s="1"/>
  <c r="J981" i="1" a="1"/>
  <c r="J981" i="1" s="1"/>
  <c r="I982" i="1" a="1"/>
  <c r="I982" i="1" s="1"/>
  <c r="J982" i="1" a="1"/>
  <c r="J982" i="1" s="1"/>
  <c r="I983" i="1" a="1"/>
  <c r="I983" i="1" s="1"/>
  <c r="J983" i="1" a="1"/>
  <c r="J983" i="1" s="1"/>
  <c r="I984" i="1" a="1"/>
  <c r="I984" i="1" s="1"/>
  <c r="J984" i="1" a="1"/>
  <c r="J984" i="1" s="1"/>
  <c r="I985" i="1" a="1"/>
  <c r="I985" i="1" s="1"/>
  <c r="J985" i="1" a="1"/>
  <c r="J985" i="1" s="1"/>
  <c r="I986" i="1" a="1"/>
  <c r="I986" i="1" s="1"/>
  <c r="J986" i="1" a="1"/>
  <c r="J986" i="1" s="1"/>
  <c r="I987" i="1" a="1"/>
  <c r="I987" i="1" s="1"/>
  <c r="J987" i="1" a="1"/>
  <c r="J987" i="1" s="1"/>
  <c r="I988" i="1" a="1"/>
  <c r="I988" i="1" s="1"/>
  <c r="J988" i="1" a="1"/>
  <c r="J988" i="1" s="1"/>
  <c r="I989" i="1" a="1"/>
  <c r="I989" i="1" s="1"/>
  <c r="J989" i="1" a="1"/>
  <c r="J989" i="1" s="1"/>
  <c r="I990" i="1" a="1"/>
  <c r="I990" i="1" s="1"/>
  <c r="J990" i="1" a="1"/>
  <c r="J990" i="1" s="1"/>
  <c r="I991" i="1" a="1"/>
  <c r="I991" i="1" s="1"/>
  <c r="J991" i="1" a="1"/>
  <c r="J991" i="1" s="1"/>
  <c r="I992" i="1" a="1"/>
  <c r="I992" i="1" s="1"/>
  <c r="J992" i="1" a="1"/>
  <c r="J992" i="1" s="1"/>
  <c r="I993" i="1" a="1"/>
  <c r="I993" i="1" s="1"/>
  <c r="J993" i="1" a="1"/>
  <c r="J993" i="1" s="1"/>
  <c r="I994" i="1" a="1"/>
  <c r="I994" i="1" s="1"/>
  <c r="J994" i="1" a="1"/>
  <c r="J994" i="1" s="1"/>
  <c r="I995" i="1" a="1"/>
  <c r="I995" i="1" s="1"/>
  <c r="J995" i="1" a="1"/>
  <c r="J995" i="1" s="1"/>
  <c r="I996" i="1" a="1"/>
  <c r="I996" i="1" s="1"/>
  <c r="J996" i="1" a="1"/>
  <c r="J996" i="1" s="1"/>
  <c r="I997" i="1" a="1"/>
  <c r="I997" i="1" s="1"/>
  <c r="J997" i="1" a="1"/>
  <c r="J997" i="1" s="1"/>
  <c r="I998" i="1" a="1"/>
  <c r="I998" i="1" s="1"/>
  <c r="J998" i="1" a="1"/>
  <c r="J998" i="1" s="1"/>
  <c r="I999" i="1" a="1"/>
  <c r="I999" i="1" s="1"/>
  <c r="J999" i="1" a="1"/>
  <c r="J999" i="1" s="1"/>
  <c r="I1000" i="1" a="1"/>
  <c r="I1000" i="1" s="1"/>
  <c r="J1000" i="1" a="1"/>
  <c r="J1000" i="1" s="1"/>
  <c r="I1001" i="1" a="1"/>
  <c r="I1001" i="1" s="1"/>
  <c r="J1001" i="1" a="1"/>
  <c r="J1001" i="1" s="1"/>
  <c r="I1002" i="1" a="1"/>
  <c r="I1002" i="1" s="1"/>
  <c r="J1002" i="1" a="1"/>
  <c r="J1002" i="1" s="1"/>
  <c r="I1003" i="1" a="1"/>
  <c r="I1003" i="1" s="1"/>
  <c r="J1003" i="1" a="1"/>
  <c r="J1003" i="1" s="1"/>
  <c r="I1004" i="1" a="1"/>
  <c r="I1004" i="1" s="1"/>
  <c r="J1004" i="1" a="1"/>
  <c r="J1004" i="1" s="1"/>
  <c r="I1005" i="1" a="1"/>
  <c r="I1005" i="1" s="1"/>
  <c r="J1005" i="1" a="1"/>
  <c r="J1005" i="1" s="1"/>
  <c r="I1006" i="1" a="1"/>
  <c r="I1006" i="1" s="1"/>
  <c r="J1006" i="1" a="1"/>
  <c r="J1006" i="1" s="1"/>
  <c r="I1007" i="1" a="1"/>
  <c r="I1007" i="1" s="1"/>
  <c r="J1007" i="1" a="1"/>
  <c r="J1007" i="1" s="1"/>
  <c r="I1008" i="1" a="1"/>
  <c r="I1008" i="1" s="1"/>
  <c r="J1008" i="1" a="1"/>
  <c r="J1008" i="1" s="1"/>
  <c r="I1009" i="1" a="1"/>
  <c r="I1009" i="1" s="1"/>
  <c r="J1009" i="1" a="1"/>
  <c r="J1009" i="1" s="1"/>
  <c r="I1010" i="1" a="1"/>
  <c r="I1010" i="1" s="1"/>
  <c r="J1010" i="1" a="1"/>
  <c r="J1010" i="1" s="1"/>
  <c r="I1011" i="1" a="1"/>
  <c r="I1011" i="1" s="1"/>
  <c r="J1011" i="1" a="1"/>
  <c r="J1011" i="1" s="1"/>
  <c r="I1012" i="1" a="1"/>
  <c r="I1012" i="1" s="1"/>
  <c r="J1012" i="1" a="1"/>
  <c r="J1012" i="1" s="1"/>
  <c r="I1013" i="1" a="1"/>
  <c r="I1013" i="1" s="1"/>
  <c r="J1013" i="1" a="1"/>
  <c r="J1013" i="1" s="1"/>
  <c r="I1014" i="1" a="1"/>
  <c r="I1014" i="1" s="1"/>
  <c r="J1014" i="1" a="1"/>
  <c r="J1014" i="1" s="1"/>
  <c r="I1015" i="1" a="1"/>
  <c r="I1015" i="1" s="1"/>
  <c r="J1015" i="1" a="1"/>
  <c r="J1015" i="1" s="1"/>
  <c r="I1016" i="1" a="1"/>
  <c r="I1016" i="1" s="1"/>
  <c r="J1016" i="1" a="1"/>
  <c r="J1016" i="1" s="1"/>
  <c r="I1017" i="1" a="1"/>
  <c r="I1017" i="1" s="1"/>
  <c r="J1017" i="1" a="1"/>
  <c r="J1017" i="1" s="1"/>
  <c r="I1018" i="1" a="1"/>
  <c r="I1018" i="1" s="1"/>
  <c r="J1018" i="1" a="1"/>
  <c r="J1018" i="1" s="1"/>
  <c r="I1019" i="1" a="1"/>
  <c r="I1019" i="1" s="1"/>
  <c r="J1019" i="1" a="1"/>
  <c r="J1019" i="1" s="1"/>
  <c r="I1020" i="1" a="1"/>
  <c r="I1020" i="1" s="1"/>
  <c r="J1020" i="1" a="1"/>
  <c r="J1020" i="1" s="1"/>
  <c r="I1021" i="1" a="1"/>
  <c r="I1021" i="1" s="1"/>
  <c r="J1021" i="1" a="1"/>
  <c r="J1021" i="1" s="1"/>
  <c r="I1022" i="1" a="1"/>
  <c r="I1022" i="1" s="1"/>
  <c r="J1022" i="1" a="1"/>
  <c r="J1022" i="1" s="1"/>
  <c r="I1023" i="1" a="1"/>
  <c r="I1023" i="1" s="1"/>
  <c r="J1023" i="1" a="1"/>
  <c r="J1023" i="1" s="1"/>
  <c r="I1024" i="1" a="1"/>
  <c r="I1024" i="1" s="1"/>
  <c r="J1024" i="1" a="1"/>
  <c r="J1024" i="1" s="1"/>
  <c r="I1025" i="1" a="1"/>
  <c r="I1025" i="1" s="1"/>
  <c r="J1025" i="1" a="1"/>
  <c r="J1025" i="1" s="1"/>
  <c r="I1026" i="1" a="1"/>
  <c r="I1026" i="1" s="1"/>
  <c r="J1026" i="1" a="1"/>
  <c r="J1026" i="1" s="1"/>
  <c r="I1027" i="1" a="1"/>
  <c r="I1027" i="1" s="1"/>
  <c r="J1027" i="1" a="1"/>
  <c r="J1027" i="1" s="1"/>
  <c r="I1028" i="1" a="1"/>
  <c r="I1028" i="1" s="1"/>
  <c r="J1028" i="1" a="1"/>
  <c r="J1028" i="1" s="1"/>
  <c r="I1029" i="1" a="1"/>
  <c r="I1029" i="1" s="1"/>
  <c r="J1029" i="1" a="1"/>
  <c r="J1029" i="1" s="1"/>
  <c r="I1030" i="1" a="1"/>
  <c r="I1030" i="1" s="1"/>
  <c r="J1030" i="1" a="1"/>
  <c r="J1030" i="1" s="1"/>
  <c r="I1031" i="1" a="1"/>
  <c r="I1031" i="1" s="1"/>
  <c r="J1031" i="1" a="1"/>
  <c r="J1031" i="1" s="1"/>
  <c r="I1032" i="1" a="1"/>
  <c r="I1032" i="1" s="1"/>
  <c r="J1032" i="1" a="1"/>
  <c r="J1032" i="1" s="1"/>
  <c r="I1033" i="1" a="1"/>
  <c r="I1033" i="1" s="1"/>
  <c r="J1033" i="1" a="1"/>
  <c r="J1033" i="1" s="1"/>
  <c r="I1034" i="1" a="1"/>
  <c r="I1034" i="1" s="1"/>
  <c r="J1034" i="1" a="1"/>
  <c r="J1034" i="1" s="1"/>
  <c r="I1035" i="1" a="1"/>
  <c r="I1035" i="1" s="1"/>
  <c r="J1035" i="1" a="1"/>
  <c r="J1035" i="1" s="1"/>
  <c r="I1036" i="1" a="1"/>
  <c r="I1036" i="1" s="1"/>
  <c r="J1036" i="1" a="1"/>
  <c r="J1036" i="1" s="1"/>
  <c r="I1037" i="1" a="1"/>
  <c r="I1037" i="1" s="1"/>
  <c r="J1037" i="1" a="1"/>
  <c r="J1037" i="1" s="1"/>
  <c r="I1038" i="1" a="1"/>
  <c r="I1038" i="1" s="1"/>
  <c r="J1038" i="1" a="1"/>
  <c r="J1038" i="1" s="1"/>
  <c r="I1039" i="1" a="1"/>
  <c r="I1039" i="1" s="1"/>
  <c r="J1039" i="1" a="1"/>
  <c r="J1039" i="1" s="1"/>
  <c r="I1040" i="1" a="1"/>
  <c r="I1040" i="1" s="1"/>
  <c r="J1040" i="1" a="1"/>
  <c r="J1040" i="1" s="1"/>
  <c r="I1041" i="1" a="1"/>
  <c r="I1041" i="1"/>
  <c r="J1041" i="1" a="1"/>
  <c r="J1041" i="1" s="1"/>
  <c r="I1042" i="1" a="1"/>
  <c r="I1042" i="1" s="1"/>
  <c r="J1042" i="1" a="1"/>
  <c r="J1042" i="1" s="1"/>
  <c r="I1043" i="1" a="1"/>
  <c r="I1043" i="1" s="1"/>
  <c r="J1043" i="1" a="1"/>
  <c r="J1043" i="1" s="1"/>
  <c r="I1044" i="1" a="1"/>
  <c r="I1044" i="1" s="1"/>
  <c r="J1044" i="1" a="1"/>
  <c r="J1044" i="1" s="1"/>
  <c r="I1045" i="1" a="1"/>
  <c r="I1045" i="1" s="1"/>
  <c r="J1045" i="1" a="1"/>
  <c r="J1045" i="1" s="1"/>
  <c r="I1046" i="1" a="1"/>
  <c r="I1046" i="1" s="1"/>
  <c r="J1046" i="1" a="1"/>
  <c r="J1046" i="1" s="1"/>
  <c r="I1047" i="1" a="1"/>
  <c r="I1047" i="1" s="1"/>
  <c r="J1047" i="1" a="1"/>
  <c r="J1047" i="1" s="1"/>
  <c r="I1048" i="1" a="1"/>
  <c r="I1048" i="1" s="1"/>
  <c r="J1048" i="1" a="1"/>
  <c r="J1048" i="1" s="1"/>
  <c r="I1049" i="1" a="1"/>
  <c r="I1049" i="1" s="1"/>
  <c r="J1049" i="1" a="1"/>
  <c r="J1049" i="1" s="1"/>
  <c r="I1050" i="1" a="1"/>
  <c r="I1050" i="1" s="1"/>
  <c r="J1050" i="1" a="1"/>
  <c r="J1050" i="1" s="1"/>
  <c r="I1051" i="1" a="1"/>
  <c r="I1051" i="1" s="1"/>
  <c r="J1051" i="1" a="1"/>
  <c r="J1051" i="1" s="1"/>
  <c r="I1052" i="1" a="1"/>
  <c r="I1052" i="1" s="1"/>
  <c r="J1052" i="1" a="1"/>
  <c r="J1052" i="1" s="1"/>
  <c r="I1053" i="1" a="1"/>
  <c r="I1053" i="1" s="1"/>
  <c r="J1053" i="1" a="1"/>
  <c r="J1053" i="1" s="1"/>
  <c r="I1054" i="1" a="1"/>
  <c r="I1054" i="1" s="1"/>
  <c r="J1054" i="1" a="1"/>
  <c r="J1054" i="1" s="1"/>
  <c r="I1055" i="1" a="1"/>
  <c r="I1055" i="1" s="1"/>
  <c r="J1055" i="1" a="1"/>
  <c r="J1055" i="1" s="1"/>
  <c r="I1056" i="1" a="1"/>
  <c r="I1056" i="1" s="1"/>
  <c r="J1056" i="1" a="1"/>
  <c r="J1056" i="1" s="1"/>
  <c r="I1057" i="1" a="1"/>
  <c r="I1057" i="1" s="1"/>
  <c r="J1057" i="1" a="1"/>
  <c r="J1057" i="1" s="1"/>
  <c r="I1058" i="1" a="1"/>
  <c r="I1058" i="1" s="1"/>
  <c r="J1058" i="1" a="1"/>
  <c r="J1058" i="1" s="1"/>
  <c r="I1059" i="1" a="1"/>
  <c r="I1059" i="1" s="1"/>
  <c r="J1059" i="1" a="1"/>
  <c r="J1059" i="1" s="1"/>
  <c r="I1060" i="1" a="1"/>
  <c r="I1060" i="1" s="1"/>
  <c r="J1060" i="1" a="1"/>
  <c r="J1060" i="1" s="1"/>
  <c r="I1061" i="1" a="1"/>
  <c r="I1061" i="1" s="1"/>
  <c r="J1061" i="1" a="1"/>
  <c r="J1061" i="1" s="1"/>
  <c r="I1062" i="1" a="1"/>
  <c r="I1062" i="1" s="1"/>
  <c r="J1062" i="1" a="1"/>
  <c r="J1062" i="1" s="1"/>
  <c r="I1063" i="1" a="1"/>
  <c r="I1063" i="1" s="1"/>
  <c r="J1063" i="1" a="1"/>
  <c r="J1063" i="1" s="1"/>
  <c r="I1064" i="1" a="1"/>
  <c r="I1064" i="1" s="1"/>
  <c r="J1064" i="1" a="1"/>
  <c r="J1064" i="1" s="1"/>
  <c r="I1065" i="1" a="1"/>
  <c r="I1065" i="1" s="1"/>
  <c r="J1065" i="1" a="1"/>
  <c r="J1065" i="1" s="1"/>
  <c r="I1066" i="1" a="1"/>
  <c r="I1066" i="1" s="1"/>
  <c r="J1066" i="1" a="1"/>
  <c r="J1066" i="1" s="1"/>
  <c r="I1067" i="1" a="1"/>
  <c r="I1067" i="1" s="1"/>
  <c r="J1067" i="1" a="1"/>
  <c r="J1067" i="1" s="1"/>
  <c r="I1068" i="1" a="1"/>
  <c r="I1068" i="1" s="1"/>
  <c r="J1068" i="1" a="1"/>
  <c r="J1068" i="1" s="1"/>
  <c r="I1069" i="1" a="1"/>
  <c r="I1069" i="1" s="1"/>
  <c r="J1069" i="1" a="1"/>
  <c r="J1069" i="1" s="1"/>
  <c r="I1070" i="1" a="1"/>
  <c r="I1070" i="1" s="1"/>
  <c r="J1070" i="1" a="1"/>
  <c r="J1070" i="1" s="1"/>
  <c r="I1071" i="1" a="1"/>
  <c r="I1071" i="1" s="1"/>
  <c r="J1071" i="1" a="1"/>
  <c r="J1071" i="1" s="1"/>
  <c r="I1072" i="1" a="1"/>
  <c r="I1072" i="1" s="1"/>
  <c r="J1072" i="1" a="1"/>
  <c r="J1072" i="1" s="1"/>
  <c r="I1073" i="1" a="1"/>
  <c r="I1073" i="1" s="1"/>
  <c r="J1073" i="1" a="1"/>
  <c r="J1073" i="1" s="1"/>
  <c r="I1074" i="1" a="1"/>
  <c r="I1074" i="1" s="1"/>
  <c r="J1074" i="1" a="1"/>
  <c r="J1074" i="1" s="1"/>
  <c r="I1075" i="1" a="1"/>
  <c r="I1075" i="1" s="1"/>
  <c r="J1075" i="1" a="1"/>
  <c r="J1075" i="1" s="1"/>
  <c r="I1076" i="1" a="1"/>
  <c r="I1076" i="1" s="1"/>
  <c r="J1076" i="1" a="1"/>
  <c r="J1076" i="1" s="1"/>
  <c r="I1077" i="1" a="1"/>
  <c r="I1077" i="1" s="1"/>
  <c r="J1077" i="1" a="1"/>
  <c r="J1077" i="1" s="1"/>
  <c r="I1078" i="1" a="1"/>
  <c r="I1078" i="1" s="1"/>
  <c r="J1078" i="1" a="1"/>
  <c r="J1078" i="1" s="1"/>
  <c r="I1079" i="1" a="1"/>
  <c r="I1079" i="1" s="1"/>
  <c r="J1079" i="1" a="1"/>
  <c r="J1079" i="1" s="1"/>
  <c r="I1080" i="1" a="1"/>
  <c r="I1080" i="1" s="1"/>
  <c r="J1080" i="1" a="1"/>
  <c r="J1080" i="1" s="1"/>
  <c r="I1081" i="1" a="1"/>
  <c r="I1081" i="1" s="1"/>
  <c r="J1081" i="1" a="1"/>
  <c r="J1081" i="1" s="1"/>
  <c r="I1082" i="1" a="1"/>
  <c r="I1082" i="1" s="1"/>
  <c r="J1082" i="1" a="1"/>
  <c r="J1082" i="1" s="1"/>
  <c r="I1083" i="1" a="1"/>
  <c r="I1083" i="1" s="1"/>
  <c r="J1083" i="1" a="1"/>
  <c r="J1083" i="1" s="1"/>
  <c r="I1084" i="1" a="1"/>
  <c r="I1084" i="1" s="1"/>
  <c r="J1084" i="1" a="1"/>
  <c r="J1084" i="1" s="1"/>
  <c r="I1085" i="1" a="1"/>
  <c r="I1085" i="1" s="1"/>
  <c r="J1085" i="1" a="1"/>
  <c r="J1085" i="1" s="1"/>
  <c r="I1086" i="1" a="1"/>
  <c r="I1086" i="1" s="1"/>
  <c r="J1086" i="1" a="1"/>
  <c r="J1086" i="1" s="1"/>
  <c r="I1087" i="1" a="1"/>
  <c r="I1087" i="1" s="1"/>
  <c r="J1087" i="1" a="1"/>
  <c r="J1087" i="1" s="1"/>
  <c r="I1088" i="1" a="1"/>
  <c r="I1088" i="1" s="1"/>
  <c r="J1088" i="1" a="1"/>
  <c r="J1088" i="1" s="1"/>
  <c r="I1089" i="1" a="1"/>
  <c r="I1089" i="1" s="1"/>
  <c r="J1089" i="1" a="1"/>
  <c r="J1089" i="1" s="1"/>
  <c r="I1090" i="1" a="1"/>
  <c r="I1090" i="1" s="1"/>
  <c r="J1090" i="1" a="1"/>
  <c r="J1090" i="1" s="1"/>
  <c r="I1091" i="1" a="1"/>
  <c r="I1091" i="1" s="1"/>
  <c r="J1091" i="1" a="1"/>
  <c r="J1091" i="1" s="1"/>
  <c r="I1092" i="1" a="1"/>
  <c r="I1092" i="1" s="1"/>
  <c r="J1092" i="1" a="1"/>
  <c r="J1092" i="1" s="1"/>
  <c r="I1093" i="1" a="1"/>
  <c r="I1093" i="1" s="1"/>
  <c r="J1093" i="1" a="1"/>
  <c r="J1093" i="1" s="1"/>
  <c r="I1094" i="1" a="1"/>
  <c r="I1094" i="1" s="1"/>
  <c r="J1094" i="1" a="1"/>
  <c r="J1094" i="1" s="1"/>
  <c r="I1095" i="1" a="1"/>
  <c r="I1095" i="1" s="1"/>
  <c r="J1095" i="1" a="1"/>
  <c r="J1095" i="1" s="1"/>
  <c r="I1096" i="1" a="1"/>
  <c r="I1096" i="1" s="1"/>
  <c r="J1096" i="1" a="1"/>
  <c r="J1096" i="1" s="1"/>
  <c r="I1097" i="1" a="1"/>
  <c r="I1097" i="1" s="1"/>
  <c r="J1097" i="1" a="1"/>
  <c r="J1097" i="1" s="1"/>
  <c r="I1098" i="1" a="1"/>
  <c r="I1098" i="1" s="1"/>
  <c r="J1098" i="1" a="1"/>
  <c r="J1098" i="1" s="1"/>
  <c r="I1099" i="1" a="1"/>
  <c r="I1099" i="1" s="1"/>
  <c r="J1099" i="1" a="1"/>
  <c r="J1099" i="1" s="1"/>
  <c r="I1100" i="1" a="1"/>
  <c r="I1100" i="1" s="1"/>
  <c r="J1100" i="1" a="1"/>
  <c r="J1100" i="1" s="1"/>
  <c r="I1101" i="1" a="1"/>
  <c r="I1101" i="1" s="1"/>
  <c r="J1101" i="1" a="1"/>
  <c r="J1101" i="1" s="1"/>
  <c r="I1102" i="1" a="1"/>
  <c r="I1102" i="1" s="1"/>
  <c r="J1102" i="1" a="1"/>
  <c r="J1102" i="1" s="1"/>
  <c r="I1103" i="1" a="1"/>
  <c r="I1103" i="1" s="1"/>
  <c r="J1103" i="1" a="1"/>
  <c r="J1103" i="1" s="1"/>
  <c r="I1104" i="1" a="1"/>
  <c r="I1104" i="1" s="1"/>
  <c r="J1104" i="1" a="1"/>
  <c r="J1104" i="1" s="1"/>
  <c r="I1105" i="1" a="1"/>
  <c r="I1105" i="1" s="1"/>
  <c r="J1105" i="1" a="1"/>
  <c r="J1105" i="1" s="1"/>
  <c r="I1106" i="1" a="1"/>
  <c r="I1106" i="1" s="1"/>
  <c r="J1106" i="1" a="1"/>
  <c r="J1106" i="1" s="1"/>
  <c r="I1107" i="1" a="1"/>
  <c r="I1107" i="1" s="1"/>
  <c r="J1107" i="1" a="1"/>
  <c r="J1107" i="1" s="1"/>
  <c r="I1108" i="1" a="1"/>
  <c r="I1108" i="1" s="1"/>
  <c r="J1108" i="1" a="1"/>
  <c r="J1108" i="1" s="1"/>
  <c r="I1109" i="1" a="1"/>
  <c r="I1109" i="1" s="1"/>
  <c r="J1109" i="1" a="1"/>
  <c r="J1109" i="1" s="1"/>
  <c r="I1110" i="1" a="1"/>
  <c r="I1110" i="1" s="1"/>
  <c r="J1110" i="1" a="1"/>
  <c r="J1110" i="1" s="1"/>
  <c r="I1111" i="1" a="1"/>
  <c r="I1111" i="1" s="1"/>
  <c r="J1111" i="1" a="1"/>
  <c r="J1111" i="1" s="1"/>
  <c r="I1112" i="1" a="1"/>
  <c r="I1112" i="1" s="1"/>
  <c r="J1112" i="1" a="1"/>
  <c r="J1112" i="1" s="1"/>
  <c r="I1113" i="1" a="1"/>
  <c r="I1113" i="1" s="1"/>
  <c r="J1113" i="1" a="1"/>
  <c r="J1113" i="1" s="1"/>
  <c r="I1114" i="1" a="1"/>
  <c r="I1114" i="1" s="1"/>
  <c r="J1114" i="1" a="1"/>
  <c r="J1114" i="1" s="1"/>
  <c r="I1115" i="1" a="1"/>
  <c r="I1115" i="1" s="1"/>
  <c r="J1115" i="1" a="1"/>
  <c r="J1115" i="1" s="1"/>
  <c r="I1116" i="1" a="1"/>
  <c r="I1116" i="1" s="1"/>
  <c r="J1116" i="1" a="1"/>
  <c r="J1116" i="1" s="1"/>
  <c r="I1117" i="1" a="1"/>
  <c r="I1117" i="1" s="1"/>
  <c r="J1117" i="1" a="1"/>
  <c r="J1117" i="1" s="1"/>
  <c r="I1118" i="1" a="1"/>
  <c r="I1118" i="1" s="1"/>
  <c r="J1118" i="1" a="1"/>
  <c r="J1118" i="1" s="1"/>
  <c r="I1119" i="1" a="1"/>
  <c r="I1119" i="1" s="1"/>
  <c r="J1119" i="1" a="1"/>
  <c r="J1119" i="1" s="1"/>
  <c r="I1120" i="1" a="1"/>
  <c r="I1120" i="1" s="1"/>
  <c r="J1120" i="1" a="1"/>
  <c r="J1120" i="1" s="1"/>
  <c r="I1121" i="1" a="1"/>
  <c r="I1121" i="1" s="1"/>
  <c r="J1121" i="1" a="1"/>
  <c r="J1121" i="1" s="1"/>
  <c r="I1122" i="1" a="1"/>
  <c r="I1122" i="1" s="1"/>
  <c r="J1122" i="1" a="1"/>
  <c r="J1122" i="1" s="1"/>
  <c r="I1123" i="1" a="1"/>
  <c r="I1123" i="1" s="1"/>
  <c r="J1123" i="1" a="1"/>
  <c r="J1123" i="1" s="1"/>
  <c r="I1124" i="1" a="1"/>
  <c r="I1124" i="1" s="1"/>
  <c r="J1124" i="1" a="1"/>
  <c r="J1124" i="1" s="1"/>
  <c r="I1125" i="1" a="1"/>
  <c r="I1125" i="1" s="1"/>
  <c r="J1125" i="1" a="1"/>
  <c r="J1125" i="1" s="1"/>
  <c r="I1126" i="1" a="1"/>
  <c r="I1126" i="1" s="1"/>
  <c r="J1126" i="1" a="1"/>
  <c r="J1126" i="1" s="1"/>
  <c r="I1127" i="1" a="1"/>
  <c r="I1127" i="1" s="1"/>
  <c r="J1127" i="1" a="1"/>
  <c r="J1127" i="1" s="1"/>
  <c r="I1128" i="1" a="1"/>
  <c r="I1128" i="1" s="1"/>
  <c r="J1128" i="1" a="1"/>
  <c r="J1128" i="1" s="1"/>
  <c r="I1129" i="1" a="1"/>
  <c r="I1129" i="1" s="1"/>
  <c r="J1129" i="1" a="1"/>
  <c r="J1129" i="1" s="1"/>
  <c r="I1130" i="1" a="1"/>
  <c r="I1130" i="1" s="1"/>
  <c r="J1130" i="1" a="1"/>
  <c r="J1130" i="1" s="1"/>
  <c r="I1131" i="1" a="1"/>
  <c r="I1131" i="1" s="1"/>
  <c r="J1131" i="1" a="1"/>
  <c r="J1131" i="1" s="1"/>
  <c r="I1132" i="1" a="1"/>
  <c r="I1132" i="1" s="1"/>
  <c r="J1132" i="1" a="1"/>
  <c r="J1132" i="1" s="1"/>
  <c r="I1133" i="1" a="1"/>
  <c r="I1133" i="1" s="1"/>
  <c r="J1133" i="1" a="1"/>
  <c r="J1133" i="1" s="1"/>
  <c r="I1134" i="1" a="1"/>
  <c r="I1134" i="1" s="1"/>
  <c r="J1134" i="1" a="1"/>
  <c r="J1134" i="1" s="1"/>
  <c r="I1135" i="1" a="1"/>
  <c r="I1135" i="1" s="1"/>
  <c r="J1135" i="1" a="1"/>
  <c r="J1135" i="1" s="1"/>
  <c r="I1136" i="1" a="1"/>
  <c r="I1136" i="1" s="1"/>
  <c r="J1136" i="1" a="1"/>
  <c r="J1136" i="1" s="1"/>
  <c r="I1137" i="1" a="1"/>
  <c r="I1137" i="1" s="1"/>
  <c r="J1137" i="1" a="1"/>
  <c r="J1137" i="1" s="1"/>
  <c r="I1138" i="1" a="1"/>
  <c r="I1138" i="1" s="1"/>
  <c r="J1138" i="1" a="1"/>
  <c r="J1138" i="1" s="1"/>
  <c r="I1139" i="1" a="1"/>
  <c r="I1139" i="1" s="1"/>
  <c r="J1139" i="1" a="1"/>
  <c r="J1139" i="1" s="1"/>
  <c r="I1140" i="1" a="1"/>
  <c r="I1140" i="1" s="1"/>
  <c r="J1140" i="1" a="1"/>
  <c r="J1140" i="1" s="1"/>
  <c r="I1141" i="1" a="1"/>
  <c r="I1141" i="1" s="1"/>
  <c r="J1141" i="1" a="1"/>
  <c r="J1141" i="1" s="1"/>
  <c r="I1142" i="1" a="1"/>
  <c r="I1142" i="1" s="1"/>
  <c r="J1142" i="1" a="1"/>
  <c r="J1142" i="1" s="1"/>
  <c r="I1143" i="1" a="1"/>
  <c r="I1143" i="1" s="1"/>
  <c r="J1143" i="1" a="1"/>
  <c r="J1143" i="1" s="1"/>
  <c r="I1144" i="1" a="1"/>
  <c r="I1144" i="1" s="1"/>
  <c r="J1144" i="1" a="1"/>
  <c r="J1144" i="1" s="1"/>
  <c r="I1145" i="1" a="1"/>
  <c r="I1145" i="1" s="1"/>
  <c r="J1145" i="1" a="1"/>
  <c r="J1145" i="1" s="1"/>
  <c r="I1146" i="1" a="1"/>
  <c r="I1146" i="1" s="1"/>
  <c r="J1146" i="1" a="1"/>
  <c r="J1146" i="1" s="1"/>
  <c r="I1147" i="1" a="1"/>
  <c r="I1147" i="1" s="1"/>
  <c r="J1147" i="1" a="1"/>
  <c r="J1147" i="1" s="1"/>
  <c r="I1148" i="1" a="1"/>
  <c r="I1148" i="1" s="1"/>
  <c r="J1148" i="1" a="1"/>
  <c r="J1148" i="1" s="1"/>
  <c r="I1149" i="1" a="1"/>
  <c r="I1149" i="1" s="1"/>
  <c r="J1149" i="1" a="1"/>
  <c r="J1149" i="1" s="1"/>
  <c r="I1150" i="1" a="1"/>
  <c r="I1150" i="1" s="1"/>
  <c r="J1150" i="1" a="1"/>
  <c r="J1150" i="1" s="1"/>
  <c r="I1151" i="1" a="1"/>
  <c r="I1151" i="1" s="1"/>
  <c r="J1151" i="1" a="1"/>
  <c r="J1151" i="1" s="1"/>
  <c r="I1152" i="1" a="1"/>
  <c r="I1152" i="1" s="1"/>
  <c r="J1152" i="1" a="1"/>
  <c r="J1152" i="1" s="1"/>
  <c r="I1153" i="1" a="1"/>
  <c r="I1153" i="1" s="1"/>
  <c r="J1153" i="1" a="1"/>
  <c r="J1153" i="1" s="1"/>
  <c r="I1154" i="1" a="1"/>
  <c r="I1154" i="1" s="1"/>
  <c r="J1154" i="1" a="1"/>
  <c r="J1154" i="1" s="1"/>
  <c r="I1155" i="1" a="1"/>
  <c r="I1155" i="1" s="1"/>
  <c r="J1155" i="1" a="1"/>
  <c r="J1155" i="1" s="1"/>
  <c r="I1156" i="1" a="1"/>
  <c r="I1156" i="1" s="1"/>
  <c r="J1156" i="1" a="1"/>
  <c r="J1156" i="1" s="1"/>
  <c r="I1157" i="1" a="1"/>
  <c r="I1157" i="1" s="1"/>
  <c r="J1157" i="1" a="1"/>
  <c r="J1157" i="1" s="1"/>
  <c r="I1158" i="1" a="1"/>
  <c r="I1158" i="1" s="1"/>
  <c r="J1158" i="1" a="1"/>
  <c r="J1158" i="1" s="1"/>
  <c r="I1159" i="1" a="1"/>
  <c r="I1159" i="1" s="1"/>
  <c r="J1159" i="1" a="1"/>
  <c r="J1159" i="1" s="1"/>
  <c r="I1160" i="1" a="1"/>
  <c r="I1160" i="1" s="1"/>
  <c r="J1160" i="1" a="1"/>
  <c r="J1160" i="1" s="1"/>
  <c r="I1161" i="1" a="1"/>
  <c r="I1161" i="1" s="1"/>
  <c r="J1161" i="1" a="1"/>
  <c r="J1161" i="1" s="1"/>
  <c r="I1162" i="1" a="1"/>
  <c r="I1162" i="1" s="1"/>
  <c r="J1162" i="1" a="1"/>
  <c r="J1162" i="1" s="1"/>
  <c r="I1163" i="1" a="1"/>
  <c r="I1163" i="1" s="1"/>
  <c r="J1163" i="1" a="1"/>
  <c r="J1163" i="1" s="1"/>
  <c r="I1164" i="1" a="1"/>
  <c r="I1164" i="1" s="1"/>
  <c r="J1164" i="1" a="1"/>
  <c r="J1164" i="1" s="1"/>
  <c r="I1165" i="1" a="1"/>
  <c r="I1165" i="1" s="1"/>
  <c r="J1165" i="1" a="1"/>
  <c r="J1165" i="1" s="1"/>
  <c r="I1166" i="1" a="1"/>
  <c r="I1166" i="1" s="1"/>
  <c r="J1166" i="1" a="1"/>
  <c r="J1166" i="1" s="1"/>
  <c r="I1167" i="1" a="1"/>
  <c r="I1167" i="1" s="1"/>
  <c r="J1167" i="1" a="1"/>
  <c r="J1167" i="1" s="1"/>
  <c r="I1168" i="1" a="1"/>
  <c r="I1168" i="1" s="1"/>
  <c r="J1168" i="1" a="1"/>
  <c r="J1168" i="1" s="1"/>
  <c r="I1169" i="1" a="1"/>
  <c r="I1169" i="1" s="1"/>
  <c r="J1169" i="1" a="1"/>
  <c r="J1169" i="1" s="1"/>
  <c r="I1170" i="1" a="1"/>
  <c r="I1170" i="1" s="1"/>
  <c r="J1170" i="1" a="1"/>
  <c r="J1170" i="1" s="1"/>
  <c r="I1171" i="1" a="1"/>
  <c r="I1171" i="1" s="1"/>
  <c r="J1171" i="1" a="1"/>
  <c r="J1171" i="1" s="1"/>
  <c r="I1172" i="1" a="1"/>
  <c r="I1172" i="1" s="1"/>
  <c r="J1172" i="1" a="1"/>
  <c r="J1172" i="1" s="1"/>
  <c r="I1173" i="1" a="1"/>
  <c r="I1173" i="1" s="1"/>
  <c r="J1173" i="1" a="1"/>
  <c r="J1173" i="1" s="1"/>
  <c r="I1174" i="1" a="1"/>
  <c r="I1174" i="1" s="1"/>
  <c r="J1174" i="1" a="1"/>
  <c r="J1174" i="1" s="1"/>
  <c r="I1175" i="1" a="1"/>
  <c r="I1175" i="1" s="1"/>
  <c r="J1175" i="1" a="1"/>
  <c r="J1175" i="1" s="1"/>
  <c r="I1176" i="1" a="1"/>
  <c r="I1176" i="1" s="1"/>
  <c r="J1176" i="1" a="1"/>
  <c r="J1176" i="1" s="1"/>
  <c r="I1177" i="1" a="1"/>
  <c r="I1177" i="1" s="1"/>
  <c r="J1177" i="1" a="1"/>
  <c r="J1177" i="1" s="1"/>
  <c r="I1178" i="1" a="1"/>
  <c r="I1178" i="1" s="1"/>
  <c r="J1178" i="1" a="1"/>
  <c r="J1178" i="1" s="1"/>
  <c r="I1179" i="1" a="1"/>
  <c r="I1179" i="1" s="1"/>
  <c r="J1179" i="1" a="1"/>
  <c r="J1179" i="1" s="1"/>
  <c r="I1180" i="1" a="1"/>
  <c r="I1180" i="1" s="1"/>
  <c r="J1180" i="1" a="1"/>
  <c r="J1180" i="1" s="1"/>
  <c r="I1181" i="1" a="1"/>
  <c r="I1181" i="1" s="1"/>
  <c r="J1181" i="1" a="1"/>
  <c r="J1181" i="1" s="1"/>
  <c r="I1182" i="1" a="1"/>
  <c r="I1182" i="1" s="1"/>
  <c r="J1182" i="1" a="1"/>
  <c r="J1182" i="1" s="1"/>
  <c r="I1183" i="1" a="1"/>
  <c r="I1183" i="1" s="1"/>
  <c r="J1183" i="1" a="1"/>
  <c r="J1183" i="1" s="1"/>
  <c r="I1184" i="1" a="1"/>
  <c r="I1184" i="1" s="1"/>
  <c r="J1184" i="1" a="1"/>
  <c r="J1184" i="1" s="1"/>
  <c r="I1185" i="1" a="1"/>
  <c r="I1185" i="1" s="1"/>
  <c r="J1185" i="1" a="1"/>
  <c r="J1185" i="1" s="1"/>
  <c r="I1186" i="1" a="1"/>
  <c r="I1186" i="1" s="1"/>
  <c r="J1186" i="1" a="1"/>
  <c r="J1186" i="1" s="1"/>
  <c r="I1187" i="1" a="1"/>
  <c r="I1187" i="1" s="1"/>
  <c r="J1187" i="1" a="1"/>
  <c r="J1187" i="1" s="1"/>
  <c r="I1188" i="1" a="1"/>
  <c r="I1188" i="1" s="1"/>
  <c r="J1188" i="1" a="1"/>
  <c r="J1188" i="1" s="1"/>
  <c r="I1189" i="1" a="1"/>
  <c r="I1189" i="1" s="1"/>
  <c r="J1189" i="1" a="1"/>
  <c r="J1189" i="1" s="1"/>
  <c r="I1190" i="1" a="1"/>
  <c r="I1190" i="1" s="1"/>
  <c r="J1190" i="1" a="1"/>
  <c r="J1190" i="1" s="1"/>
  <c r="I1191" i="1" a="1"/>
  <c r="I1191" i="1" s="1"/>
  <c r="J1191" i="1" a="1"/>
  <c r="J1191" i="1" s="1"/>
  <c r="I1192" i="1" a="1"/>
  <c r="I1192" i="1" s="1"/>
  <c r="J1192" i="1" a="1"/>
  <c r="J1192" i="1" s="1"/>
  <c r="I1193" i="1" a="1"/>
  <c r="I1193" i="1" s="1"/>
  <c r="J1193" i="1" a="1"/>
  <c r="J1193" i="1" s="1"/>
  <c r="I1194" i="1" a="1"/>
  <c r="I1194" i="1" s="1"/>
  <c r="J1194" i="1" a="1"/>
  <c r="J1194" i="1" s="1"/>
  <c r="I1195" i="1" a="1"/>
  <c r="I1195" i="1" s="1"/>
  <c r="J1195" i="1" a="1"/>
  <c r="J1195" i="1" s="1"/>
  <c r="I1196" i="1" a="1"/>
  <c r="I1196" i="1" s="1"/>
  <c r="J1196" i="1" a="1"/>
  <c r="J1196" i="1" s="1"/>
  <c r="I1197" i="1" a="1"/>
  <c r="I1197" i="1" s="1"/>
  <c r="J1197" i="1" a="1"/>
  <c r="J1197" i="1" s="1"/>
  <c r="I1198" i="1" a="1"/>
  <c r="I1198" i="1" s="1"/>
  <c r="J1198" i="1" a="1"/>
  <c r="J1198" i="1" s="1"/>
  <c r="I1199" i="1" a="1"/>
  <c r="I1199" i="1" s="1"/>
  <c r="J1199" i="1" a="1"/>
  <c r="J1199" i="1" s="1"/>
  <c r="I1200" i="1" a="1"/>
  <c r="I1200" i="1" s="1"/>
  <c r="J1200" i="1" a="1"/>
  <c r="J1200" i="1" s="1"/>
  <c r="I1201" i="1" a="1"/>
  <c r="I1201" i="1" s="1"/>
  <c r="J1201" i="1" a="1"/>
  <c r="J1201" i="1" s="1"/>
  <c r="I1202" i="1" a="1"/>
  <c r="I1202" i="1" s="1"/>
  <c r="J1202" i="1" a="1"/>
  <c r="J1202" i="1" s="1"/>
  <c r="I1203" i="1" a="1"/>
  <c r="I1203" i="1" s="1"/>
  <c r="J1203" i="1" a="1"/>
  <c r="J1203" i="1" s="1"/>
  <c r="I1204" i="1" a="1"/>
  <c r="I1204" i="1" s="1"/>
  <c r="J1204" i="1" a="1"/>
  <c r="J1204" i="1" s="1"/>
  <c r="I1205" i="1" a="1"/>
  <c r="I1205" i="1" s="1"/>
  <c r="J1205" i="1" a="1"/>
  <c r="J1205" i="1" s="1"/>
  <c r="I1206" i="1" a="1"/>
  <c r="I1206" i="1" s="1"/>
  <c r="J1206" i="1" a="1"/>
  <c r="J1206" i="1" s="1"/>
  <c r="I1207" i="1" a="1"/>
  <c r="I1207" i="1" s="1"/>
  <c r="J1207" i="1" a="1"/>
  <c r="J1207" i="1" s="1"/>
  <c r="I1208" i="1" a="1"/>
  <c r="I1208" i="1" s="1"/>
  <c r="J1208" i="1" a="1"/>
  <c r="J1208" i="1" s="1"/>
  <c r="I1209" i="1" a="1"/>
  <c r="I1209" i="1" s="1"/>
  <c r="J1209" i="1" a="1"/>
  <c r="J1209" i="1" s="1"/>
  <c r="I1210" i="1" a="1"/>
  <c r="I1210" i="1" s="1"/>
  <c r="J1210" i="1" a="1"/>
  <c r="J1210" i="1" s="1"/>
  <c r="I1211" i="1" a="1"/>
  <c r="I1211" i="1" s="1"/>
  <c r="J1211" i="1" a="1"/>
  <c r="J1211" i="1" s="1"/>
  <c r="I1212" i="1" a="1"/>
  <c r="I1212" i="1" s="1"/>
  <c r="J1212" i="1" a="1"/>
  <c r="J1212" i="1" s="1"/>
  <c r="I1213" i="1" a="1"/>
  <c r="I1213" i="1" s="1"/>
  <c r="J1213" i="1" a="1"/>
  <c r="J1213" i="1" s="1"/>
  <c r="I1214" i="1" a="1"/>
  <c r="I1214" i="1" s="1"/>
  <c r="J1214" i="1" a="1"/>
  <c r="J1214" i="1" s="1"/>
  <c r="I1215" i="1" a="1"/>
  <c r="I1215" i="1" s="1"/>
  <c r="J1215" i="1" a="1"/>
  <c r="J1215" i="1" s="1"/>
  <c r="I1216" i="1" a="1"/>
  <c r="I1216" i="1" s="1"/>
  <c r="J1216" i="1" a="1"/>
  <c r="J1216" i="1" s="1"/>
  <c r="I1217" i="1" a="1"/>
  <c r="I1217" i="1" s="1"/>
  <c r="J1217" i="1" a="1"/>
  <c r="J1217" i="1" s="1"/>
  <c r="I1218" i="1" a="1"/>
  <c r="I1218" i="1" s="1"/>
  <c r="J1218" i="1" a="1"/>
  <c r="J1218" i="1" s="1"/>
  <c r="I1219" i="1" a="1"/>
  <c r="I1219" i="1" s="1"/>
  <c r="J1219" i="1" a="1"/>
  <c r="J1219" i="1" s="1"/>
  <c r="I1220" i="1" a="1"/>
  <c r="I1220" i="1" s="1"/>
  <c r="J1220" i="1" a="1"/>
  <c r="J1220" i="1" s="1"/>
  <c r="I1221" i="1" a="1"/>
  <c r="I1221" i="1" s="1"/>
  <c r="J1221" i="1" a="1"/>
  <c r="J1221" i="1" s="1"/>
  <c r="I1222" i="1" a="1"/>
  <c r="I1222" i="1" s="1"/>
  <c r="J1222" i="1" a="1"/>
  <c r="J1222" i="1" s="1"/>
  <c r="I1223" i="1" a="1"/>
  <c r="I1223" i="1" s="1"/>
  <c r="J1223" i="1" a="1"/>
  <c r="J1223" i="1" s="1"/>
  <c r="I1224" i="1" a="1"/>
  <c r="I1224" i="1" s="1"/>
  <c r="J1224" i="1" a="1"/>
  <c r="J1224" i="1" s="1"/>
  <c r="I1225" i="1" a="1"/>
  <c r="I1225" i="1" s="1"/>
  <c r="J1225" i="1" a="1"/>
  <c r="J1225" i="1" s="1"/>
  <c r="I1226" i="1" a="1"/>
  <c r="I1226" i="1" s="1"/>
  <c r="J1226" i="1" a="1"/>
  <c r="J1226" i="1" s="1"/>
  <c r="I1227" i="1" a="1"/>
  <c r="I1227" i="1" s="1"/>
  <c r="J1227" i="1" a="1"/>
  <c r="J1227" i="1" s="1"/>
  <c r="I1228" i="1" a="1"/>
  <c r="I1228" i="1" s="1"/>
  <c r="J1228" i="1" a="1"/>
  <c r="J1228" i="1" s="1"/>
  <c r="I1229" i="1" a="1"/>
  <c r="I1229" i="1" s="1"/>
  <c r="J1229" i="1" a="1"/>
  <c r="J1229" i="1" s="1"/>
  <c r="I1230" i="1" a="1"/>
  <c r="I1230" i="1" s="1"/>
  <c r="J1230" i="1" a="1"/>
  <c r="J1230" i="1" s="1"/>
  <c r="I1231" i="1" a="1"/>
  <c r="I1231" i="1" s="1"/>
  <c r="J1231" i="1" a="1"/>
  <c r="J1231" i="1" s="1"/>
  <c r="I1232" i="1" a="1"/>
  <c r="I1232" i="1" s="1"/>
  <c r="J1232" i="1" a="1"/>
  <c r="J1232" i="1" s="1"/>
  <c r="I1233" i="1" a="1"/>
  <c r="I1233" i="1" s="1"/>
  <c r="J1233" i="1" a="1"/>
  <c r="J1233" i="1" s="1"/>
  <c r="I1234" i="1" a="1"/>
  <c r="I1234" i="1" s="1"/>
  <c r="J1234" i="1" a="1"/>
  <c r="J1234" i="1" s="1"/>
  <c r="I1235" i="1" a="1"/>
  <c r="I1235" i="1" s="1"/>
  <c r="J1235" i="1" a="1"/>
  <c r="J1235" i="1" s="1"/>
  <c r="I1236" i="1" a="1"/>
  <c r="I1236" i="1" s="1"/>
  <c r="J1236" i="1" a="1"/>
  <c r="J1236" i="1" s="1"/>
  <c r="I1237" i="1" a="1"/>
  <c r="I1237" i="1" s="1"/>
  <c r="J1237" i="1" a="1"/>
  <c r="J1237" i="1" s="1"/>
  <c r="I1238" i="1" a="1"/>
  <c r="I1238" i="1" s="1"/>
  <c r="J1238" i="1" a="1"/>
  <c r="J1238" i="1" s="1"/>
  <c r="I1239" i="1" a="1"/>
  <c r="I1239" i="1" s="1"/>
  <c r="J1239" i="1" a="1"/>
  <c r="J1239" i="1" s="1"/>
  <c r="I1240" i="1" a="1"/>
  <c r="I1240" i="1" s="1"/>
  <c r="J1240" i="1" a="1"/>
  <c r="J1240" i="1" s="1"/>
  <c r="I1241" i="1" a="1"/>
  <c r="I1241" i="1" s="1"/>
  <c r="J1241" i="1" a="1"/>
  <c r="J1241" i="1" s="1"/>
  <c r="I1242" i="1" a="1"/>
  <c r="I1242" i="1" s="1"/>
  <c r="J1242" i="1" a="1"/>
  <c r="J1242" i="1" s="1"/>
  <c r="I1243" i="1" a="1"/>
  <c r="I1243" i="1" s="1"/>
  <c r="J1243" i="1" a="1"/>
  <c r="J1243" i="1" s="1"/>
  <c r="I1244" i="1" a="1"/>
  <c r="I1244" i="1" s="1"/>
  <c r="J1244" i="1" a="1"/>
  <c r="J1244" i="1" s="1"/>
  <c r="I1245" i="1" a="1"/>
  <c r="I1245" i="1" s="1"/>
  <c r="J1245" i="1" a="1"/>
  <c r="J1245" i="1" s="1"/>
  <c r="I1246" i="1" a="1"/>
  <c r="I1246" i="1" s="1"/>
  <c r="J1246" i="1" a="1"/>
  <c r="J1246" i="1" s="1"/>
  <c r="I1247" i="1" a="1"/>
  <c r="I1247" i="1" s="1"/>
  <c r="J1247" i="1" a="1"/>
  <c r="J1247" i="1" s="1"/>
  <c r="I1248" i="1" a="1"/>
  <c r="I1248" i="1" s="1"/>
  <c r="J1248" i="1" a="1"/>
  <c r="J1248" i="1" s="1"/>
  <c r="I1249" i="1" a="1"/>
  <c r="I1249" i="1" s="1"/>
  <c r="J1249" i="1" a="1"/>
  <c r="J1249" i="1" s="1"/>
  <c r="I1250" i="1" a="1"/>
  <c r="I1250" i="1" s="1"/>
  <c r="J1250" i="1" a="1"/>
  <c r="J1250" i="1" s="1"/>
  <c r="I1251" i="1" a="1"/>
  <c r="I1251" i="1" s="1"/>
  <c r="J1251" i="1" a="1"/>
  <c r="J1251" i="1" s="1"/>
  <c r="I1252" i="1" a="1"/>
  <c r="I1252" i="1" s="1"/>
  <c r="J1252" i="1" a="1"/>
  <c r="J1252" i="1" s="1"/>
  <c r="I1253" i="1" a="1"/>
  <c r="I1253" i="1" s="1"/>
  <c r="J1253" i="1" a="1"/>
  <c r="J1253" i="1" s="1"/>
  <c r="I1254" i="1" a="1"/>
  <c r="I1254" i="1" s="1"/>
  <c r="J1254" i="1" a="1"/>
  <c r="J1254" i="1" s="1"/>
  <c r="I1255" i="1" a="1"/>
  <c r="I1255" i="1" s="1"/>
  <c r="J1255" i="1" a="1"/>
  <c r="J1255" i="1" s="1"/>
  <c r="I1256" i="1" a="1"/>
  <c r="I1256" i="1" s="1"/>
  <c r="J1256" i="1" a="1"/>
  <c r="J1256" i="1" s="1"/>
  <c r="I1257" i="1" a="1"/>
  <c r="I1257" i="1" s="1"/>
  <c r="J1257" i="1" a="1"/>
  <c r="J1257" i="1" s="1"/>
  <c r="I1258" i="1" a="1"/>
  <c r="I1258" i="1" s="1"/>
  <c r="J1258" i="1" a="1"/>
  <c r="J1258" i="1" s="1"/>
  <c r="I1259" i="1" a="1"/>
  <c r="I1259" i="1" s="1"/>
  <c r="J1259" i="1" a="1"/>
  <c r="J1259" i="1" s="1"/>
  <c r="I1260" i="1" a="1"/>
  <c r="I1260" i="1" s="1"/>
  <c r="J1260" i="1" a="1"/>
  <c r="J1260" i="1" s="1"/>
  <c r="I1261" i="1" a="1"/>
  <c r="I1261" i="1" s="1"/>
  <c r="J1261" i="1" a="1"/>
  <c r="J1261" i="1" s="1"/>
  <c r="I1262" i="1" a="1"/>
  <c r="I1262" i="1" s="1"/>
  <c r="J1262" i="1" a="1"/>
  <c r="J1262" i="1" s="1"/>
  <c r="I1263" i="1" a="1"/>
  <c r="I1263" i="1" s="1"/>
  <c r="J1263" i="1" a="1"/>
  <c r="J1263" i="1" s="1"/>
  <c r="I1264" i="1" a="1"/>
  <c r="I1264" i="1" s="1"/>
  <c r="J1264" i="1" a="1"/>
  <c r="J1264" i="1" s="1"/>
  <c r="I1265" i="1" a="1"/>
  <c r="I1265" i="1" s="1"/>
  <c r="J1265" i="1" a="1"/>
  <c r="J1265" i="1" s="1"/>
  <c r="I1266" i="1" a="1"/>
  <c r="I1266" i="1" s="1"/>
  <c r="J1266" i="1" a="1"/>
  <c r="J1266" i="1" s="1"/>
  <c r="I1267" i="1" a="1"/>
  <c r="I1267" i="1" s="1"/>
  <c r="J1267" i="1" a="1"/>
  <c r="J1267" i="1" s="1"/>
  <c r="I1268" i="1" a="1"/>
  <c r="I1268" i="1" s="1"/>
  <c r="J1268" i="1" a="1"/>
  <c r="J1268" i="1" s="1"/>
  <c r="I1269" i="1" a="1"/>
  <c r="I1269" i="1" s="1"/>
  <c r="J1269" i="1" a="1"/>
  <c r="J1269" i="1" s="1"/>
  <c r="I1270" i="1" a="1"/>
  <c r="I1270" i="1" s="1"/>
  <c r="J1270" i="1" a="1"/>
  <c r="J1270" i="1" s="1"/>
  <c r="I1271" i="1" a="1"/>
  <c r="I1271" i="1" s="1"/>
  <c r="J1271" i="1" a="1"/>
  <c r="J1271" i="1" s="1"/>
  <c r="I1272" i="1" a="1"/>
  <c r="I1272" i="1" s="1"/>
  <c r="J1272" i="1" a="1"/>
  <c r="J1272" i="1" s="1"/>
  <c r="I1273" i="1" a="1"/>
  <c r="I1273" i="1" s="1"/>
  <c r="J1273" i="1" a="1"/>
  <c r="J1273" i="1" s="1"/>
  <c r="I1274" i="1" a="1"/>
  <c r="I1274" i="1" s="1"/>
  <c r="J1274" i="1" a="1"/>
  <c r="J1274" i="1" s="1"/>
  <c r="I1275" i="1" a="1"/>
  <c r="I1275" i="1" s="1"/>
  <c r="J1275" i="1" a="1"/>
  <c r="J1275" i="1" s="1"/>
  <c r="I1276" i="1" a="1"/>
  <c r="I1276" i="1" s="1"/>
  <c r="J1276" i="1" a="1"/>
  <c r="J1276" i="1" s="1"/>
  <c r="I1277" i="1" a="1"/>
  <c r="I1277" i="1" s="1"/>
  <c r="J1277" i="1" a="1"/>
  <c r="J1277" i="1" s="1"/>
  <c r="I1278" i="1" a="1"/>
  <c r="I1278" i="1" s="1"/>
  <c r="J1278" i="1" a="1"/>
  <c r="J1278" i="1" s="1"/>
  <c r="I1279" i="1" a="1"/>
  <c r="I1279" i="1" s="1"/>
  <c r="J1279" i="1" a="1"/>
  <c r="J1279" i="1" s="1"/>
  <c r="I1280" i="1" a="1"/>
  <c r="I1280" i="1" s="1"/>
  <c r="J1280" i="1" a="1"/>
  <c r="J1280" i="1" s="1"/>
  <c r="I1281" i="1" a="1"/>
  <c r="I1281" i="1" s="1"/>
  <c r="J1281" i="1" a="1"/>
  <c r="J1281" i="1" s="1"/>
  <c r="I1282" i="1" a="1"/>
  <c r="I1282" i="1" s="1"/>
  <c r="J1282" i="1" a="1"/>
  <c r="J1282" i="1" s="1"/>
  <c r="I1283" i="1" a="1"/>
  <c r="I1283" i="1" s="1"/>
  <c r="J1283" i="1" a="1"/>
  <c r="J1283" i="1" s="1"/>
  <c r="I1284" i="1" a="1"/>
  <c r="I1284" i="1" s="1"/>
  <c r="J1284" i="1" a="1"/>
  <c r="J1284" i="1" s="1"/>
  <c r="I1285" i="1" a="1"/>
  <c r="I1285" i="1" s="1"/>
  <c r="J1285" i="1" a="1"/>
  <c r="J1285" i="1" s="1"/>
  <c r="I1286" i="1" a="1"/>
  <c r="I1286" i="1" s="1"/>
  <c r="J1286" i="1" a="1"/>
  <c r="J1286" i="1" s="1"/>
  <c r="I1287" i="1" a="1"/>
  <c r="I1287" i="1" s="1"/>
  <c r="J1287" i="1" a="1"/>
  <c r="J1287" i="1" s="1"/>
  <c r="I1288" i="1" a="1"/>
  <c r="I1288" i="1" s="1"/>
  <c r="J1288" i="1" a="1"/>
  <c r="J1288" i="1" s="1"/>
  <c r="I1289" i="1" a="1"/>
  <c r="I1289" i="1" s="1"/>
  <c r="J1289" i="1" a="1"/>
  <c r="J1289" i="1" s="1"/>
  <c r="I1290" i="1" a="1"/>
  <c r="I1290" i="1" s="1"/>
  <c r="J1290" i="1" a="1"/>
  <c r="J1290" i="1" s="1"/>
  <c r="I1291" i="1" a="1"/>
  <c r="I1291" i="1" s="1"/>
  <c r="J1291" i="1" a="1"/>
  <c r="J1291" i="1" s="1"/>
  <c r="I1292" i="1" a="1"/>
  <c r="I1292" i="1" s="1"/>
  <c r="J1292" i="1" a="1"/>
  <c r="J1292" i="1" s="1"/>
  <c r="I1293" i="1" a="1"/>
  <c r="I1293" i="1" s="1"/>
  <c r="J1293" i="1" a="1"/>
  <c r="J1293" i="1" s="1"/>
  <c r="I1294" i="1" a="1"/>
  <c r="I1294" i="1" s="1"/>
  <c r="J1294" i="1" a="1"/>
  <c r="J1294" i="1" s="1"/>
  <c r="I1295" i="1" a="1"/>
  <c r="I1295" i="1" s="1"/>
  <c r="J1295" i="1" a="1"/>
  <c r="J1295" i="1" s="1"/>
  <c r="I1296" i="1" a="1"/>
  <c r="I1296" i="1" s="1"/>
  <c r="J1296" i="1" a="1"/>
  <c r="J1296" i="1" s="1"/>
  <c r="I1297" i="1" a="1"/>
  <c r="I1297" i="1" s="1"/>
  <c r="J1297" i="1" a="1"/>
  <c r="J1297" i="1" s="1"/>
  <c r="I1298" i="1" a="1"/>
  <c r="I1298" i="1" s="1"/>
  <c r="J1298" i="1" a="1"/>
  <c r="J1298" i="1" s="1"/>
  <c r="I1299" i="1" a="1"/>
  <c r="I1299" i="1" s="1"/>
  <c r="J1299" i="1" a="1"/>
  <c r="J1299" i="1" s="1"/>
  <c r="I1300" i="1" a="1"/>
  <c r="I1300" i="1" s="1"/>
  <c r="J1300" i="1" a="1"/>
  <c r="J1300" i="1" s="1"/>
  <c r="I1301" i="1" a="1"/>
  <c r="I1301" i="1" s="1"/>
  <c r="J1301" i="1" a="1"/>
  <c r="J1301" i="1" s="1"/>
  <c r="I1302" i="1" a="1"/>
  <c r="I1302" i="1" s="1"/>
  <c r="J1302" i="1" a="1"/>
  <c r="J1302" i="1" s="1"/>
  <c r="I1303" i="1" a="1"/>
  <c r="I1303" i="1" s="1"/>
  <c r="J1303" i="1" a="1"/>
  <c r="J1303" i="1" s="1"/>
  <c r="I1304" i="1" a="1"/>
  <c r="I1304" i="1" s="1"/>
  <c r="J1304" i="1" a="1"/>
  <c r="J1304" i="1" s="1"/>
  <c r="I1305" i="1" a="1"/>
  <c r="I1305" i="1" s="1"/>
  <c r="J1305" i="1" a="1"/>
  <c r="J1305" i="1" s="1"/>
  <c r="I1306" i="1" a="1"/>
  <c r="I1306" i="1" s="1"/>
  <c r="J1306" i="1" a="1"/>
  <c r="J1306" i="1" s="1"/>
  <c r="I1307" i="1" a="1"/>
  <c r="I1307" i="1" s="1"/>
  <c r="J1307" i="1" a="1"/>
  <c r="J1307" i="1" s="1"/>
  <c r="I1308" i="1" a="1"/>
  <c r="I1308" i="1" s="1"/>
  <c r="J1308" i="1" a="1"/>
  <c r="J1308" i="1" s="1"/>
  <c r="I1309" i="1" a="1"/>
  <c r="I1309" i="1" s="1"/>
  <c r="J1309" i="1" a="1"/>
  <c r="J1309" i="1" s="1"/>
  <c r="I1310" i="1" a="1"/>
  <c r="I1310" i="1" s="1"/>
  <c r="J1310" i="1" a="1"/>
  <c r="J1310" i="1" s="1"/>
  <c r="I1311" i="1" a="1"/>
  <c r="I1311" i="1" s="1"/>
  <c r="J1311" i="1" a="1"/>
  <c r="J1311" i="1" s="1"/>
  <c r="I1312" i="1" a="1"/>
  <c r="I1312" i="1" s="1"/>
  <c r="J1312" i="1" a="1"/>
  <c r="J1312" i="1" s="1"/>
  <c r="I1313" i="1" a="1"/>
  <c r="I1313" i="1" s="1"/>
  <c r="J1313" i="1" a="1"/>
  <c r="J1313" i="1" s="1"/>
  <c r="I1314" i="1" a="1"/>
  <c r="I1314" i="1" s="1"/>
  <c r="J1314" i="1" a="1"/>
  <c r="J1314" i="1" s="1"/>
  <c r="I1315" i="1" a="1"/>
  <c r="I1315" i="1" s="1"/>
  <c r="J1315" i="1" a="1"/>
  <c r="J1315" i="1" s="1"/>
  <c r="I1316" i="1" a="1"/>
  <c r="I1316" i="1" s="1"/>
  <c r="J1316" i="1" a="1"/>
  <c r="J1316" i="1" s="1"/>
  <c r="I1317" i="1" a="1"/>
  <c r="I1317" i="1" s="1"/>
  <c r="J1317" i="1" a="1"/>
  <c r="J1317" i="1" s="1"/>
  <c r="I1318" i="1" a="1"/>
  <c r="I1318" i="1" s="1"/>
  <c r="J1318" i="1" a="1"/>
  <c r="J1318" i="1" s="1"/>
  <c r="I1319" i="1" a="1"/>
  <c r="I1319" i="1" s="1"/>
  <c r="J1319" i="1" a="1"/>
  <c r="J1319" i="1" s="1"/>
  <c r="I1320" i="1" a="1"/>
  <c r="I1320" i="1" s="1"/>
  <c r="J1320" i="1" a="1"/>
  <c r="J1320" i="1" s="1"/>
  <c r="I1321" i="1" a="1"/>
  <c r="I1321" i="1" s="1"/>
  <c r="J1321" i="1" a="1"/>
  <c r="J1321" i="1" s="1"/>
  <c r="I1322" i="1" a="1"/>
  <c r="I1322" i="1" s="1"/>
  <c r="J1322" i="1" a="1"/>
  <c r="J1322" i="1" s="1"/>
  <c r="I1323" i="1" a="1"/>
  <c r="I1323" i="1" s="1"/>
  <c r="J1323" i="1" a="1"/>
  <c r="J1323" i="1" s="1"/>
  <c r="I1324" i="1" a="1"/>
  <c r="I1324" i="1" s="1"/>
  <c r="J1324" i="1" a="1"/>
  <c r="J1324" i="1" s="1"/>
  <c r="I1325" i="1" a="1"/>
  <c r="I1325" i="1" s="1"/>
  <c r="J1325" i="1" a="1"/>
  <c r="J1325" i="1" s="1"/>
  <c r="I1326" i="1" a="1"/>
  <c r="I1326" i="1" s="1"/>
  <c r="J1326" i="1" a="1"/>
  <c r="J1326" i="1" s="1"/>
  <c r="I1327" i="1" a="1"/>
  <c r="I1327" i="1" s="1"/>
  <c r="J1327" i="1" a="1"/>
  <c r="J1327" i="1" s="1"/>
  <c r="I1328" i="1" a="1"/>
  <c r="I1328" i="1" s="1"/>
  <c r="J1328" i="1" a="1"/>
  <c r="J1328" i="1" s="1"/>
  <c r="I1329" i="1" a="1"/>
  <c r="I1329" i="1" s="1"/>
  <c r="J1329" i="1" a="1"/>
  <c r="J1329" i="1" s="1"/>
  <c r="I1330" i="1" a="1"/>
  <c r="I1330" i="1" s="1"/>
  <c r="J1330" i="1" a="1"/>
  <c r="J1330" i="1" s="1"/>
  <c r="I1331" i="1" a="1"/>
  <c r="I1331" i="1" s="1"/>
  <c r="J1331" i="1" a="1"/>
  <c r="J1331" i="1" s="1"/>
  <c r="I1332" i="1" a="1"/>
  <c r="I1332" i="1" s="1"/>
  <c r="J1332" i="1" a="1"/>
  <c r="J1332" i="1" s="1"/>
  <c r="I1333" i="1" a="1"/>
  <c r="I1333" i="1" s="1"/>
  <c r="J1333" i="1" a="1"/>
  <c r="J1333" i="1" s="1"/>
  <c r="I1334" i="1" a="1"/>
  <c r="I1334" i="1" s="1"/>
  <c r="J1334" i="1" a="1"/>
  <c r="J1334" i="1" s="1"/>
  <c r="I1335" i="1" a="1"/>
  <c r="I1335" i="1" s="1"/>
  <c r="J1335" i="1" a="1"/>
  <c r="J1335" i="1" s="1"/>
  <c r="I1336" i="1" a="1"/>
  <c r="I1336" i="1" s="1"/>
  <c r="J1336" i="1" a="1"/>
  <c r="J1336" i="1" s="1"/>
  <c r="I1337" i="1" a="1"/>
  <c r="I1337" i="1" s="1"/>
  <c r="J1337" i="1" a="1"/>
  <c r="J1337" i="1" s="1"/>
  <c r="I1338" i="1" a="1"/>
  <c r="I1338" i="1" s="1"/>
  <c r="J1338" i="1" a="1"/>
  <c r="J1338" i="1" s="1"/>
  <c r="I1339" i="1" a="1"/>
  <c r="I1339" i="1" s="1"/>
  <c r="J1339" i="1" a="1"/>
  <c r="J1339" i="1" s="1"/>
  <c r="I1340" i="1" a="1"/>
  <c r="I1340" i="1" s="1"/>
  <c r="J1340" i="1" a="1"/>
  <c r="J1340" i="1" s="1"/>
  <c r="I1341" i="1" a="1"/>
  <c r="I1341" i="1" s="1"/>
  <c r="J1341" i="1" a="1"/>
  <c r="J1341" i="1" s="1"/>
  <c r="I1342" i="1" a="1"/>
  <c r="I1342" i="1" s="1"/>
  <c r="J1342" i="1" a="1"/>
  <c r="J1342" i="1" s="1"/>
  <c r="I1343" i="1" a="1"/>
  <c r="I1343" i="1" s="1"/>
  <c r="J1343" i="1" a="1"/>
  <c r="J1343" i="1" s="1"/>
  <c r="I1344" i="1" a="1"/>
  <c r="I1344" i="1" s="1"/>
  <c r="J1344" i="1" a="1"/>
  <c r="J1344" i="1" s="1"/>
  <c r="I1345" i="1" a="1"/>
  <c r="I1345" i="1" s="1"/>
  <c r="J1345" i="1" a="1"/>
  <c r="J1345" i="1" s="1"/>
  <c r="I1346" i="1" a="1"/>
  <c r="I1346" i="1" s="1"/>
  <c r="J1346" i="1" a="1"/>
  <c r="J1346" i="1" s="1"/>
  <c r="I1347" i="1" a="1"/>
  <c r="I1347" i="1" s="1"/>
  <c r="J1347" i="1" a="1"/>
  <c r="J1347" i="1" s="1"/>
  <c r="I1348" i="1" a="1"/>
  <c r="I1348" i="1" s="1"/>
  <c r="J1348" i="1" a="1"/>
  <c r="J1348" i="1" s="1"/>
  <c r="I1349" i="1" a="1"/>
  <c r="I1349" i="1" s="1"/>
  <c r="J1349" i="1" a="1"/>
  <c r="J1349" i="1" s="1"/>
  <c r="I1350" i="1" a="1"/>
  <c r="I1350" i="1" s="1"/>
  <c r="J1350" i="1" a="1"/>
  <c r="J1350" i="1" s="1"/>
  <c r="I1351" i="1" a="1"/>
  <c r="I1351" i="1" s="1"/>
  <c r="J1351" i="1" a="1"/>
  <c r="J1351" i="1" s="1"/>
  <c r="I1352" i="1" a="1"/>
  <c r="I1352" i="1" s="1"/>
  <c r="J1352" i="1" a="1"/>
  <c r="J1352" i="1" s="1"/>
  <c r="I1353" i="1" a="1"/>
  <c r="I1353" i="1" s="1"/>
  <c r="J1353" i="1" a="1"/>
  <c r="J1353" i="1" s="1"/>
  <c r="I1354" i="1" a="1"/>
  <c r="I1354" i="1" s="1"/>
  <c r="J1354" i="1" a="1"/>
  <c r="J1354" i="1" s="1"/>
  <c r="I1355" i="1" a="1"/>
  <c r="I1355" i="1" s="1"/>
  <c r="J1355" i="1" a="1"/>
  <c r="J1355" i="1" s="1"/>
  <c r="I1356" i="1" a="1"/>
  <c r="I1356" i="1" s="1"/>
  <c r="J1356" i="1" a="1"/>
  <c r="J1356" i="1" s="1"/>
  <c r="I1357" i="1" a="1"/>
  <c r="I1357" i="1" s="1"/>
  <c r="J1357" i="1" a="1"/>
  <c r="J1357" i="1" s="1"/>
  <c r="I1358" i="1" a="1"/>
  <c r="I1358" i="1" s="1"/>
  <c r="J1358" i="1" a="1"/>
  <c r="J1358" i="1" s="1"/>
  <c r="I1359" i="1" a="1"/>
  <c r="I1359" i="1" s="1"/>
  <c r="J1359" i="1" a="1"/>
  <c r="J1359" i="1" s="1"/>
  <c r="I1360" i="1" a="1"/>
  <c r="I1360" i="1" s="1"/>
  <c r="J1360" i="1" a="1"/>
  <c r="J1360" i="1" s="1"/>
  <c r="I1361" i="1" a="1"/>
  <c r="I1361" i="1" s="1"/>
  <c r="J1361" i="1" a="1"/>
  <c r="J1361" i="1" s="1"/>
  <c r="I1362" i="1" a="1"/>
  <c r="I1362" i="1" s="1"/>
  <c r="J1362" i="1" a="1"/>
  <c r="J1362" i="1" s="1"/>
  <c r="I1363" i="1" a="1"/>
  <c r="I1363" i="1" s="1"/>
  <c r="J1363" i="1" a="1"/>
  <c r="J1363" i="1" s="1"/>
  <c r="I1364" i="1" a="1"/>
  <c r="I1364" i="1" s="1"/>
  <c r="J1364" i="1" a="1"/>
  <c r="J1364" i="1" s="1"/>
  <c r="I1365" i="1" a="1"/>
  <c r="I1365" i="1" s="1"/>
  <c r="J1365" i="1" a="1"/>
  <c r="J1365" i="1" s="1"/>
  <c r="I1366" i="1" a="1"/>
  <c r="I1366" i="1" s="1"/>
  <c r="J1366" i="1" a="1"/>
  <c r="J1366" i="1" s="1"/>
  <c r="I1367" i="1" a="1"/>
  <c r="I1367" i="1" s="1"/>
  <c r="J1367" i="1" a="1"/>
  <c r="J1367" i="1" s="1"/>
  <c r="I1368" i="1" a="1"/>
  <c r="I1368" i="1" s="1"/>
  <c r="J1368" i="1" a="1"/>
  <c r="J1368" i="1" s="1"/>
  <c r="I1369" i="1" a="1"/>
  <c r="I1369" i="1" s="1"/>
  <c r="J1369" i="1" a="1"/>
  <c r="J1369" i="1" s="1"/>
  <c r="I1370" i="1" a="1"/>
  <c r="I1370" i="1" s="1"/>
  <c r="J1370" i="1" a="1"/>
  <c r="J1370" i="1" s="1"/>
  <c r="I1371" i="1" a="1"/>
  <c r="I1371" i="1" s="1"/>
  <c r="J1371" i="1" a="1"/>
  <c r="J1371" i="1" s="1"/>
  <c r="I1372" i="1" a="1"/>
  <c r="I1372" i="1" s="1"/>
  <c r="J1372" i="1" a="1"/>
  <c r="J1372" i="1" s="1"/>
  <c r="I1373" i="1" a="1"/>
  <c r="I1373" i="1" s="1"/>
  <c r="J1373" i="1" a="1"/>
  <c r="J1373" i="1" s="1"/>
  <c r="I1374" i="1" a="1"/>
  <c r="I1374" i="1" s="1"/>
  <c r="J1374" i="1" a="1"/>
  <c r="J1374" i="1" s="1"/>
  <c r="I1375" i="1" a="1"/>
  <c r="I1375" i="1" s="1"/>
  <c r="J1375" i="1" a="1"/>
  <c r="J1375" i="1" s="1"/>
  <c r="I1376" i="1" a="1"/>
  <c r="I1376" i="1" s="1"/>
  <c r="J1376" i="1" a="1"/>
  <c r="J1376" i="1" s="1"/>
  <c r="I1377" i="1" a="1"/>
  <c r="I1377" i="1" s="1"/>
  <c r="J1377" i="1" a="1"/>
  <c r="J1377" i="1" s="1"/>
  <c r="I1378" i="1" a="1"/>
  <c r="I1378" i="1" s="1"/>
  <c r="J1378" i="1" a="1"/>
  <c r="J1378" i="1" s="1"/>
  <c r="I1379" i="1" a="1"/>
  <c r="I1379" i="1" s="1"/>
  <c r="J1379" i="1" a="1"/>
  <c r="J1379" i="1" s="1"/>
  <c r="I1380" i="1" a="1"/>
  <c r="I1380" i="1" s="1"/>
  <c r="J1380" i="1" a="1"/>
  <c r="J1380" i="1" s="1"/>
  <c r="I1381" i="1" a="1"/>
  <c r="I1381" i="1" s="1"/>
  <c r="J1381" i="1" a="1"/>
  <c r="J1381" i="1" s="1"/>
  <c r="I1382" i="1" a="1"/>
  <c r="I1382" i="1" s="1"/>
  <c r="J1382" i="1" a="1"/>
  <c r="J1382" i="1" s="1"/>
  <c r="I1383" i="1" a="1"/>
  <c r="I1383" i="1" s="1"/>
  <c r="J1383" i="1" a="1"/>
  <c r="J1383" i="1" s="1"/>
  <c r="I1384" i="1" a="1"/>
  <c r="I1384" i="1" s="1"/>
  <c r="J1384" i="1" a="1"/>
  <c r="J1384" i="1" s="1"/>
  <c r="I1385" i="1" a="1"/>
  <c r="I1385" i="1" s="1"/>
  <c r="J1385" i="1" a="1"/>
  <c r="J1385" i="1" s="1"/>
  <c r="I1386" i="1" a="1"/>
  <c r="I1386" i="1" s="1"/>
  <c r="J1386" i="1" a="1"/>
  <c r="J1386" i="1" s="1"/>
  <c r="I1387" i="1" a="1"/>
  <c r="I1387" i="1" s="1"/>
  <c r="J1387" i="1" a="1"/>
  <c r="J1387" i="1" s="1"/>
  <c r="I1388" i="1" a="1"/>
  <c r="I1388" i="1" s="1"/>
  <c r="J1388" i="1" a="1"/>
  <c r="J1388" i="1" s="1"/>
  <c r="I1389" i="1" a="1"/>
  <c r="I1389" i="1" s="1"/>
  <c r="J1389" i="1" a="1"/>
  <c r="J1389" i="1" s="1"/>
  <c r="I1390" i="1" a="1"/>
  <c r="I1390" i="1" s="1"/>
  <c r="J1390" i="1" a="1"/>
  <c r="J1390" i="1" s="1"/>
  <c r="I1391" i="1" a="1"/>
  <c r="I1391" i="1" s="1"/>
  <c r="J1391" i="1" a="1"/>
  <c r="J1391" i="1" s="1"/>
  <c r="I1392" i="1" a="1"/>
  <c r="I1392" i="1" s="1"/>
  <c r="J1392" i="1" a="1"/>
  <c r="J1392" i="1" s="1"/>
  <c r="I1393" i="1" a="1"/>
  <c r="I1393" i="1" s="1"/>
  <c r="J1393" i="1" a="1"/>
  <c r="J1393" i="1" s="1"/>
  <c r="I1394" i="1" a="1"/>
  <c r="I1394" i="1" s="1"/>
  <c r="J1394" i="1" a="1"/>
  <c r="J1394" i="1" s="1"/>
  <c r="I1395" i="1" a="1"/>
  <c r="I1395" i="1" s="1"/>
  <c r="J1395" i="1" a="1"/>
  <c r="J1395" i="1" s="1"/>
  <c r="I1396" i="1" a="1"/>
  <c r="I1396" i="1" s="1"/>
  <c r="J1396" i="1" a="1"/>
  <c r="J1396" i="1" s="1"/>
  <c r="I1397" i="1" a="1"/>
  <c r="I1397" i="1" s="1"/>
  <c r="J1397" i="1" a="1"/>
  <c r="J1397" i="1" s="1"/>
  <c r="I1398" i="1" a="1"/>
  <c r="I1398" i="1" s="1"/>
  <c r="J1398" i="1" a="1"/>
  <c r="J1398" i="1" s="1"/>
  <c r="I1399" i="1" a="1"/>
  <c r="I1399" i="1" s="1"/>
  <c r="J1399" i="1" a="1"/>
  <c r="J1399" i="1" s="1"/>
  <c r="I1400" i="1" a="1"/>
  <c r="I1400" i="1" s="1"/>
  <c r="J1400" i="1" a="1"/>
  <c r="J1400" i="1" s="1"/>
  <c r="I1401" i="1" a="1"/>
  <c r="I1401" i="1" s="1"/>
  <c r="J1401" i="1" a="1"/>
  <c r="J1401" i="1" s="1"/>
  <c r="I1402" i="1" a="1"/>
  <c r="I1402" i="1" s="1"/>
  <c r="J1402" i="1" a="1"/>
  <c r="J1402" i="1" s="1"/>
  <c r="I1403" i="1" a="1"/>
  <c r="I1403" i="1" s="1"/>
  <c r="J1403" i="1" a="1"/>
  <c r="J1403" i="1" s="1"/>
  <c r="I1404" i="1" a="1"/>
  <c r="I1404" i="1" s="1"/>
  <c r="J1404" i="1" a="1"/>
  <c r="J1404" i="1" s="1"/>
  <c r="I1405" i="1" a="1"/>
  <c r="I1405" i="1" s="1"/>
  <c r="J1405" i="1" a="1"/>
  <c r="J1405" i="1" s="1"/>
  <c r="I1406" i="1" a="1"/>
  <c r="I1406" i="1" s="1"/>
  <c r="J1406" i="1" a="1"/>
  <c r="J1406" i="1" s="1"/>
  <c r="I1407" i="1" a="1"/>
  <c r="I1407" i="1" s="1"/>
  <c r="J1407" i="1" a="1"/>
  <c r="J1407" i="1" s="1"/>
  <c r="I1408" i="1" a="1"/>
  <c r="I1408" i="1" s="1"/>
  <c r="J1408" i="1" a="1"/>
  <c r="J1408" i="1" s="1"/>
  <c r="I1409" i="1" a="1"/>
  <c r="I1409" i="1" s="1"/>
  <c r="J1409" i="1" a="1"/>
  <c r="J1409" i="1" s="1"/>
  <c r="I1410" i="1" a="1"/>
  <c r="I1410" i="1" s="1"/>
  <c r="J1410" i="1" a="1"/>
  <c r="J1410" i="1" s="1"/>
  <c r="I1411" i="1" a="1"/>
  <c r="I1411" i="1" s="1"/>
  <c r="J1411" i="1" a="1"/>
  <c r="J1411" i="1" s="1"/>
  <c r="I1412" i="1" a="1"/>
  <c r="I1412" i="1" s="1"/>
  <c r="J1412" i="1" a="1"/>
  <c r="J1412" i="1" s="1"/>
  <c r="I1413" i="1" a="1"/>
  <c r="I1413" i="1" s="1"/>
  <c r="J1413" i="1" a="1"/>
  <c r="J1413" i="1" s="1"/>
  <c r="I1414" i="1" a="1"/>
  <c r="I1414" i="1" s="1"/>
  <c r="J1414" i="1" a="1"/>
  <c r="J1414" i="1" s="1"/>
  <c r="I1415" i="1" a="1"/>
  <c r="I1415" i="1" s="1"/>
  <c r="J1415" i="1" a="1"/>
  <c r="J1415" i="1" s="1"/>
  <c r="I1416" i="1" a="1"/>
  <c r="I1416" i="1" s="1"/>
  <c r="J1416" i="1" a="1"/>
  <c r="J1416" i="1" s="1"/>
  <c r="I1417" i="1" a="1"/>
  <c r="I1417" i="1" s="1"/>
  <c r="J1417" i="1" a="1"/>
  <c r="J1417" i="1" s="1"/>
  <c r="I1418" i="1" a="1"/>
  <c r="I1418" i="1" s="1"/>
  <c r="J1418" i="1" a="1"/>
  <c r="J1418" i="1" s="1"/>
  <c r="I1419" i="1" a="1"/>
  <c r="I1419" i="1" s="1"/>
  <c r="J1419" i="1" a="1"/>
  <c r="J1419" i="1" s="1"/>
  <c r="I1420" i="1" a="1"/>
  <c r="I1420" i="1" s="1"/>
  <c r="J1420" i="1" a="1"/>
  <c r="J1420" i="1" s="1"/>
  <c r="I1421" i="1" a="1"/>
  <c r="I1421" i="1" s="1"/>
  <c r="J1421" i="1" a="1"/>
  <c r="J1421" i="1" s="1"/>
  <c r="I1422" i="1" a="1"/>
  <c r="I1422" i="1" s="1"/>
  <c r="J1422" i="1" a="1"/>
  <c r="J1422" i="1" s="1"/>
  <c r="I1423" i="1" a="1"/>
  <c r="I1423" i="1" s="1"/>
  <c r="J1423" i="1" a="1"/>
  <c r="J1423" i="1" s="1"/>
  <c r="I1424" i="1" a="1"/>
  <c r="I1424" i="1" s="1"/>
  <c r="J1424" i="1" a="1"/>
  <c r="J1424" i="1" s="1"/>
  <c r="I1425" i="1" a="1"/>
  <c r="I1425" i="1" s="1"/>
  <c r="J1425" i="1" a="1"/>
  <c r="J1425" i="1" s="1"/>
  <c r="I1426" i="1" a="1"/>
  <c r="I1426" i="1" s="1"/>
  <c r="J1426" i="1" a="1"/>
  <c r="J1426" i="1" s="1"/>
  <c r="I1427" i="1" a="1"/>
  <c r="I1427" i="1" s="1"/>
  <c r="J1427" i="1" a="1"/>
  <c r="J1427" i="1" s="1"/>
  <c r="I1428" i="1" a="1"/>
  <c r="I1428" i="1" s="1"/>
  <c r="J1428" i="1" a="1"/>
  <c r="J1428" i="1" s="1"/>
  <c r="I1429" i="1" a="1"/>
  <c r="I1429" i="1" s="1"/>
  <c r="J1429" i="1" a="1"/>
  <c r="J1429" i="1" s="1"/>
  <c r="I1430" i="1" a="1"/>
  <c r="I1430" i="1" s="1"/>
  <c r="J1430" i="1" a="1"/>
  <c r="J1430" i="1" s="1"/>
  <c r="I1431" i="1" a="1"/>
  <c r="I1431" i="1" s="1"/>
  <c r="J1431" i="1" a="1"/>
  <c r="J1431" i="1" s="1"/>
  <c r="I1432" i="1" a="1"/>
  <c r="I1432" i="1" s="1"/>
  <c r="J1432" i="1" a="1"/>
  <c r="J1432" i="1" s="1"/>
  <c r="I1433" i="1" a="1"/>
  <c r="I1433" i="1" s="1"/>
  <c r="J1433" i="1" a="1"/>
  <c r="J1433" i="1" s="1"/>
  <c r="I1434" i="1" a="1"/>
  <c r="I1434" i="1" s="1"/>
  <c r="J1434" i="1" a="1"/>
  <c r="J1434" i="1" s="1"/>
  <c r="I1435" i="1" a="1"/>
  <c r="I1435" i="1" s="1"/>
  <c r="J1435" i="1" a="1"/>
  <c r="J1435" i="1" s="1"/>
  <c r="I1436" i="1" a="1"/>
  <c r="I1436" i="1" s="1"/>
  <c r="J1436" i="1" a="1"/>
  <c r="J1436" i="1" s="1"/>
  <c r="I1437" i="1" a="1"/>
  <c r="I1437" i="1" s="1"/>
  <c r="J1437" i="1" a="1"/>
  <c r="J1437" i="1" s="1"/>
  <c r="I1438" i="1" a="1"/>
  <c r="I1438" i="1" s="1"/>
  <c r="J1438" i="1" a="1"/>
  <c r="J1438" i="1" s="1"/>
  <c r="I1439" i="1" a="1"/>
  <c r="I1439" i="1" s="1"/>
  <c r="J1439" i="1" a="1"/>
  <c r="J1439" i="1" s="1"/>
  <c r="I1440" i="1" a="1"/>
  <c r="I1440" i="1" s="1"/>
  <c r="J1440" i="1" a="1"/>
  <c r="J1440" i="1" s="1"/>
  <c r="I1441" i="1" a="1"/>
  <c r="I1441" i="1" s="1"/>
  <c r="J1441" i="1" a="1"/>
  <c r="J1441" i="1" s="1"/>
  <c r="I1442" i="1" a="1"/>
  <c r="I1442" i="1" s="1"/>
  <c r="J1442" i="1" a="1"/>
  <c r="J1442" i="1" s="1"/>
  <c r="I1443" i="1" a="1"/>
  <c r="I1443" i="1" s="1"/>
  <c r="J1443" i="1" a="1"/>
  <c r="J1443" i="1" s="1"/>
  <c r="I1444" i="1" a="1"/>
  <c r="I1444" i="1" s="1"/>
  <c r="J1444" i="1" a="1"/>
  <c r="J1444" i="1" s="1"/>
  <c r="I1445" i="1" a="1"/>
  <c r="I1445" i="1" s="1"/>
  <c r="J1445" i="1" a="1"/>
  <c r="J1445" i="1" s="1"/>
  <c r="I1446" i="1" a="1"/>
  <c r="I1446" i="1" s="1"/>
  <c r="J1446" i="1" a="1"/>
  <c r="J1446" i="1" s="1"/>
  <c r="I1447" i="1" a="1"/>
  <c r="I1447" i="1" s="1"/>
  <c r="J1447" i="1" a="1"/>
  <c r="J1447" i="1" s="1"/>
  <c r="I1448" i="1" a="1"/>
  <c r="I1448" i="1" s="1"/>
  <c r="J1448" i="1" a="1"/>
  <c r="J1448" i="1" s="1"/>
  <c r="I1449" i="1" a="1"/>
  <c r="I1449" i="1" s="1"/>
  <c r="J1449" i="1" a="1"/>
  <c r="J1449" i="1" s="1"/>
  <c r="I1450" i="1" a="1"/>
  <c r="I1450" i="1" s="1"/>
  <c r="J1450" i="1" a="1"/>
  <c r="J1450" i="1" s="1"/>
  <c r="I1451" i="1" a="1"/>
  <c r="I1451" i="1" s="1"/>
  <c r="J1451" i="1" a="1"/>
  <c r="J1451" i="1" s="1"/>
  <c r="I1452" i="1" a="1"/>
  <c r="I1452" i="1" s="1"/>
  <c r="J1452" i="1" a="1"/>
  <c r="J1452" i="1" s="1"/>
  <c r="I1453" i="1" a="1"/>
  <c r="I1453" i="1" s="1"/>
  <c r="J1453" i="1" a="1"/>
  <c r="J1453" i="1" s="1"/>
  <c r="I1454" i="1" a="1"/>
  <c r="I1454" i="1" s="1"/>
  <c r="J1454" i="1" a="1"/>
  <c r="J1454" i="1" s="1"/>
  <c r="I1455" i="1" a="1"/>
  <c r="I1455" i="1" s="1"/>
  <c r="J1455" i="1" a="1"/>
  <c r="J1455" i="1" s="1"/>
  <c r="I1456" i="1" a="1"/>
  <c r="I1456" i="1" s="1"/>
  <c r="J1456" i="1" a="1"/>
  <c r="J1456" i="1" s="1"/>
  <c r="I1457" i="1" a="1"/>
  <c r="I1457" i="1" s="1"/>
  <c r="J1457" i="1" a="1"/>
  <c r="J1457" i="1" s="1"/>
  <c r="I1458" i="1" a="1"/>
  <c r="I1458" i="1" s="1"/>
  <c r="J1458" i="1" a="1"/>
  <c r="J1458" i="1" s="1"/>
  <c r="I1459" i="1" a="1"/>
  <c r="I1459" i="1" s="1"/>
  <c r="J1459" i="1" a="1"/>
  <c r="J1459" i="1" s="1"/>
  <c r="I1460" i="1" a="1"/>
  <c r="I1460" i="1" s="1"/>
  <c r="J1460" i="1" a="1"/>
  <c r="J1460" i="1" s="1"/>
  <c r="I1461" i="1" a="1"/>
  <c r="I1461" i="1" s="1"/>
  <c r="J1461" i="1" a="1"/>
  <c r="J1461" i="1" s="1"/>
  <c r="I1462" i="1" a="1"/>
  <c r="I1462" i="1" s="1"/>
  <c r="J1462" i="1" a="1"/>
  <c r="J1462" i="1" s="1"/>
  <c r="I1463" i="1" a="1"/>
  <c r="I1463" i="1" s="1"/>
  <c r="J1463" i="1" a="1"/>
  <c r="J1463" i="1" s="1"/>
  <c r="I1464" i="1" a="1"/>
  <c r="I1464" i="1" s="1"/>
  <c r="J1464" i="1" a="1"/>
  <c r="J1464" i="1" s="1"/>
  <c r="I1465" i="1" a="1"/>
  <c r="I1465" i="1" s="1"/>
  <c r="J1465" i="1" a="1"/>
  <c r="J1465" i="1" s="1"/>
  <c r="I1466" i="1" a="1"/>
  <c r="I1466" i="1" s="1"/>
  <c r="J1466" i="1" a="1"/>
  <c r="J1466" i="1" s="1"/>
  <c r="I1467" i="1" a="1"/>
  <c r="I1467" i="1" s="1"/>
  <c r="J1467" i="1" a="1"/>
  <c r="J1467" i="1" s="1"/>
  <c r="I1468" i="1" a="1"/>
  <c r="I1468" i="1" s="1"/>
  <c r="J1468" i="1" a="1"/>
  <c r="J1468" i="1" s="1"/>
  <c r="I1469" i="1" a="1"/>
  <c r="I1469" i="1" s="1"/>
  <c r="J1469" i="1" a="1"/>
  <c r="J1469" i="1" s="1"/>
  <c r="I1470" i="1" a="1"/>
  <c r="I1470" i="1" s="1"/>
  <c r="J1470" i="1" a="1"/>
  <c r="J1470" i="1" s="1"/>
  <c r="I1471" i="1" a="1"/>
  <c r="I1471" i="1" s="1"/>
  <c r="J1471" i="1" a="1"/>
  <c r="J1471" i="1" s="1"/>
  <c r="I1472" i="1" a="1"/>
  <c r="I1472" i="1" s="1"/>
  <c r="J1472" i="1" a="1"/>
  <c r="J1472" i="1" s="1"/>
  <c r="I1473" i="1" a="1"/>
  <c r="I1473" i="1" s="1"/>
  <c r="J1473" i="1" a="1"/>
  <c r="J1473" i="1" s="1"/>
  <c r="I1474" i="1" a="1"/>
  <c r="I1474" i="1" s="1"/>
  <c r="J1474" i="1" a="1"/>
  <c r="J1474" i="1" s="1"/>
  <c r="I1475" i="1" a="1"/>
  <c r="I1475" i="1" s="1"/>
  <c r="J1475" i="1" a="1"/>
  <c r="J1475" i="1" s="1"/>
  <c r="I1476" i="1" a="1"/>
  <c r="I1476" i="1" s="1"/>
  <c r="J1476" i="1" a="1"/>
  <c r="J1476" i="1" s="1"/>
  <c r="I1477" i="1" a="1"/>
  <c r="I1477" i="1" s="1"/>
  <c r="J1477" i="1" a="1"/>
  <c r="J1477" i="1" s="1"/>
  <c r="I1478" i="1" a="1"/>
  <c r="I1478" i="1" s="1"/>
  <c r="J1478" i="1" a="1"/>
  <c r="J1478" i="1" s="1"/>
  <c r="I1479" i="1" a="1"/>
  <c r="I1479" i="1" s="1"/>
  <c r="J1479" i="1" a="1"/>
  <c r="J1479" i="1" s="1"/>
  <c r="I1480" i="1" a="1"/>
  <c r="I1480" i="1" s="1"/>
  <c r="J1480" i="1" a="1"/>
  <c r="J1480" i="1" s="1"/>
  <c r="I1481" i="1" a="1"/>
  <c r="I1481" i="1" s="1"/>
  <c r="J1481" i="1" a="1"/>
  <c r="J1481" i="1" s="1"/>
  <c r="I1482" i="1" a="1"/>
  <c r="I1482" i="1" s="1"/>
  <c r="J1482" i="1" a="1"/>
  <c r="J1482" i="1" s="1"/>
  <c r="I1483" i="1" a="1"/>
  <c r="I1483" i="1" s="1"/>
  <c r="J1483" i="1" a="1"/>
  <c r="J1483" i="1" s="1"/>
  <c r="I1484" i="1" a="1"/>
  <c r="I1484" i="1" s="1"/>
  <c r="J1484" i="1" a="1"/>
  <c r="J1484" i="1" s="1"/>
  <c r="I1485" i="1" a="1"/>
  <c r="I1485" i="1" s="1"/>
  <c r="J1485" i="1" a="1"/>
  <c r="J1485" i="1" s="1"/>
  <c r="I1486" i="1" a="1"/>
  <c r="I1486" i="1" s="1"/>
  <c r="J1486" i="1" a="1"/>
  <c r="J1486" i="1" s="1"/>
  <c r="I1487" i="1" a="1"/>
  <c r="I1487" i="1" s="1"/>
  <c r="J1487" i="1" a="1"/>
  <c r="J1487" i="1" s="1"/>
  <c r="I1488" i="1" a="1"/>
  <c r="I1488" i="1" s="1"/>
  <c r="J1488" i="1" a="1"/>
  <c r="J1488" i="1" s="1"/>
  <c r="I1489" i="1" a="1"/>
  <c r="I1489" i="1" s="1"/>
  <c r="J1489" i="1" a="1"/>
  <c r="J1489" i="1" s="1"/>
  <c r="I1490" i="1" a="1"/>
  <c r="I1490" i="1" s="1"/>
  <c r="J1490" i="1" a="1"/>
  <c r="J1490" i="1" s="1"/>
  <c r="I1491" i="1" a="1"/>
  <c r="I1491" i="1" s="1"/>
  <c r="J1491" i="1" a="1"/>
  <c r="J1491" i="1" s="1"/>
  <c r="I1492" i="1" a="1"/>
  <c r="I1492" i="1" s="1"/>
  <c r="J1492" i="1" a="1"/>
  <c r="J1492" i="1" s="1"/>
  <c r="I1493" i="1" a="1"/>
  <c r="I1493" i="1" s="1"/>
  <c r="J1493" i="1" a="1"/>
  <c r="J1493" i="1" s="1"/>
  <c r="I1494" i="1" a="1"/>
  <c r="I1494" i="1" s="1"/>
  <c r="J1494" i="1" a="1"/>
  <c r="J1494" i="1" s="1"/>
  <c r="I1495" i="1" a="1"/>
  <c r="I1495" i="1" s="1"/>
  <c r="J1495" i="1" a="1"/>
  <c r="J1495" i="1" s="1"/>
  <c r="I1496" i="1" a="1"/>
  <c r="I1496" i="1" s="1"/>
  <c r="J1496" i="1" a="1"/>
  <c r="J1496" i="1" s="1"/>
  <c r="I1497" i="1" a="1"/>
  <c r="I1497" i="1" s="1"/>
  <c r="J1497" i="1" a="1"/>
  <c r="J1497" i="1" s="1"/>
  <c r="I1498" i="1" a="1"/>
  <c r="I1498" i="1" s="1"/>
  <c r="J1498" i="1" a="1"/>
  <c r="J1498" i="1" s="1"/>
  <c r="I1499" i="1" a="1"/>
  <c r="I1499" i="1" s="1"/>
  <c r="J1499" i="1" a="1"/>
  <c r="J1499" i="1" s="1"/>
  <c r="I1500" i="1" a="1"/>
  <c r="I1500" i="1" s="1"/>
  <c r="J1500" i="1" a="1"/>
  <c r="J1500" i="1" s="1"/>
  <c r="I1501" i="1" a="1"/>
  <c r="I1501" i="1" s="1"/>
  <c r="J1501" i="1" a="1"/>
  <c r="J1501" i="1" s="1"/>
  <c r="I1502" i="1" a="1"/>
  <c r="I1502" i="1" s="1"/>
  <c r="J1502" i="1" a="1"/>
  <c r="J1502" i="1" s="1"/>
  <c r="I1503" i="1" a="1"/>
  <c r="I1503" i="1" s="1"/>
  <c r="J1503" i="1" a="1"/>
  <c r="J1503" i="1" s="1"/>
  <c r="I1504" i="1" a="1"/>
  <c r="I1504" i="1" s="1"/>
  <c r="J1504" i="1" a="1"/>
  <c r="J1504" i="1" s="1"/>
  <c r="I1505" i="1" a="1"/>
  <c r="I1505" i="1" s="1"/>
  <c r="J1505" i="1" a="1"/>
  <c r="J1505" i="1" s="1"/>
  <c r="I1506" i="1" a="1"/>
  <c r="I1506" i="1" s="1"/>
  <c r="J1506" i="1" a="1"/>
  <c r="J1506" i="1" s="1"/>
  <c r="I1507" i="1" a="1"/>
  <c r="I1507" i="1" s="1"/>
  <c r="J1507" i="1" a="1"/>
  <c r="J1507" i="1" s="1"/>
  <c r="I1508" i="1" a="1"/>
  <c r="I1508" i="1" s="1"/>
  <c r="J1508" i="1" a="1"/>
  <c r="J1508" i="1" s="1"/>
  <c r="I1509" i="1" a="1"/>
  <c r="I1509" i="1" s="1"/>
  <c r="J1509" i="1" a="1"/>
  <c r="J1509" i="1" s="1"/>
  <c r="I1510" i="1" a="1"/>
  <c r="I1510" i="1" s="1"/>
  <c r="J1510" i="1" a="1"/>
  <c r="J1510" i="1" s="1"/>
  <c r="I1511" i="1" a="1"/>
  <c r="I1511" i="1" s="1"/>
  <c r="J1511" i="1" a="1"/>
  <c r="J1511" i="1" s="1"/>
  <c r="I1512" i="1" a="1"/>
  <c r="I1512" i="1" s="1"/>
  <c r="J1512" i="1" a="1"/>
  <c r="J1512" i="1" s="1"/>
  <c r="I1513" i="1" a="1"/>
  <c r="I1513" i="1" s="1"/>
  <c r="J1513" i="1" a="1"/>
  <c r="J1513" i="1" s="1"/>
  <c r="I1514" i="1" a="1"/>
  <c r="I1514" i="1" s="1"/>
  <c r="J1514" i="1" a="1"/>
  <c r="J1514" i="1" s="1"/>
  <c r="I1515" i="1" a="1"/>
  <c r="I1515" i="1" s="1"/>
  <c r="J1515" i="1" a="1"/>
  <c r="J1515" i="1" s="1"/>
  <c r="I1516" i="1" a="1"/>
  <c r="I1516" i="1" s="1"/>
  <c r="J1516" i="1" a="1"/>
  <c r="J1516" i="1" s="1"/>
  <c r="I1517" i="1" a="1"/>
  <c r="I1517" i="1" s="1"/>
  <c r="J1517" i="1" a="1"/>
  <c r="J1517" i="1" s="1"/>
  <c r="I1518" i="1" a="1"/>
  <c r="I1518" i="1" s="1"/>
  <c r="J1518" i="1" a="1"/>
  <c r="J1518" i="1" s="1"/>
  <c r="I1519" i="1" a="1"/>
  <c r="I1519" i="1" s="1"/>
  <c r="J1519" i="1" a="1"/>
  <c r="J1519" i="1" s="1"/>
  <c r="I1520" i="1" a="1"/>
  <c r="I1520" i="1" s="1"/>
  <c r="J1520" i="1" a="1"/>
  <c r="J1520" i="1" s="1"/>
  <c r="I1521" i="1" a="1"/>
  <c r="I1521" i="1" s="1"/>
  <c r="J1521" i="1" a="1"/>
  <c r="J1521" i="1" s="1"/>
  <c r="I1522" i="1" a="1"/>
  <c r="I1522" i="1" s="1"/>
  <c r="J1522" i="1" a="1"/>
  <c r="J1522" i="1" s="1"/>
  <c r="I1523" i="1" a="1"/>
  <c r="I1523" i="1" s="1"/>
  <c r="J1523" i="1" a="1"/>
  <c r="J1523" i="1" s="1"/>
  <c r="I1524" i="1" a="1"/>
  <c r="I1524" i="1" s="1"/>
  <c r="J1524" i="1" a="1"/>
  <c r="J1524" i="1" s="1"/>
  <c r="I1525" i="1" a="1"/>
  <c r="I1525" i="1" s="1"/>
  <c r="J1525" i="1" a="1"/>
  <c r="J1525" i="1" s="1"/>
  <c r="I1526" i="1" a="1"/>
  <c r="I1526" i="1" s="1"/>
  <c r="J1526" i="1" a="1"/>
  <c r="J1526" i="1" s="1"/>
  <c r="I1527" i="1" a="1"/>
  <c r="I1527" i="1" s="1"/>
  <c r="J1527" i="1" a="1"/>
  <c r="J1527" i="1" s="1"/>
  <c r="I1528" i="1" a="1"/>
  <c r="I1528" i="1" s="1"/>
  <c r="J1528" i="1" a="1"/>
  <c r="J1528" i="1" s="1"/>
  <c r="I1529" i="1" a="1"/>
  <c r="I1529" i="1" s="1"/>
  <c r="J1529" i="1" a="1"/>
  <c r="J1529" i="1" s="1"/>
  <c r="I1530" i="1" a="1"/>
  <c r="I1530" i="1" s="1"/>
  <c r="J1530" i="1" a="1"/>
  <c r="J1530" i="1" s="1"/>
  <c r="I1531" i="1" a="1"/>
  <c r="I1531" i="1" s="1"/>
  <c r="J1531" i="1" a="1"/>
  <c r="J1531" i="1" s="1"/>
  <c r="I1532" i="1" a="1"/>
  <c r="I1532" i="1" s="1"/>
  <c r="J1532" i="1" a="1"/>
  <c r="J1532" i="1" s="1"/>
  <c r="I1533" i="1" a="1"/>
  <c r="I1533" i="1" s="1"/>
  <c r="J1533" i="1" a="1"/>
  <c r="J1533" i="1" s="1"/>
  <c r="I1534" i="1" a="1"/>
  <c r="I1534" i="1" s="1"/>
  <c r="J1534" i="1" a="1"/>
  <c r="J1534" i="1" s="1"/>
  <c r="I1535" i="1" a="1"/>
  <c r="I1535" i="1" s="1"/>
  <c r="J1535" i="1" a="1"/>
  <c r="J1535" i="1" s="1"/>
  <c r="I1536" i="1" a="1"/>
  <c r="I1536" i="1" s="1"/>
  <c r="J1536" i="1" a="1"/>
  <c r="J1536" i="1" s="1"/>
  <c r="I1537" i="1" a="1"/>
  <c r="I1537" i="1" s="1"/>
  <c r="J1537" i="1" a="1"/>
  <c r="J1537" i="1" s="1"/>
  <c r="I1538" i="1" a="1"/>
  <c r="I1538" i="1" s="1"/>
  <c r="J1538" i="1" a="1"/>
  <c r="J1538" i="1" s="1"/>
  <c r="I1539" i="1" a="1"/>
  <c r="I1539" i="1" s="1"/>
  <c r="J1539" i="1" a="1"/>
  <c r="J1539" i="1" s="1"/>
  <c r="I1540" i="1" a="1"/>
  <c r="I1540" i="1" s="1"/>
  <c r="J1540" i="1" a="1"/>
  <c r="J1540" i="1" s="1"/>
  <c r="I1541" i="1" a="1"/>
  <c r="I1541" i="1" s="1"/>
  <c r="J1541" i="1" a="1"/>
  <c r="J1541" i="1" s="1"/>
  <c r="I1542" i="1" a="1"/>
  <c r="I1542" i="1" s="1"/>
  <c r="J1542" i="1" a="1"/>
  <c r="J1542" i="1" s="1"/>
  <c r="I1543" i="1" a="1"/>
  <c r="I1543" i="1" s="1"/>
  <c r="J1543" i="1" a="1"/>
  <c r="J1543" i="1" s="1"/>
  <c r="I1544" i="1" a="1"/>
  <c r="I1544" i="1" s="1"/>
  <c r="J1544" i="1" a="1"/>
  <c r="J1544" i="1" s="1"/>
  <c r="I1545" i="1" a="1"/>
  <c r="I1545" i="1" s="1"/>
  <c r="J1545" i="1" a="1"/>
  <c r="J1545" i="1" s="1"/>
  <c r="I1546" i="1" a="1"/>
  <c r="I1546" i="1" s="1"/>
  <c r="J1546" i="1" a="1"/>
  <c r="J1546" i="1" s="1"/>
  <c r="I1547" i="1" a="1"/>
  <c r="I1547" i="1" s="1"/>
  <c r="J1547" i="1" a="1"/>
  <c r="J1547" i="1" s="1"/>
  <c r="I1548" i="1" a="1"/>
  <c r="I1548" i="1" s="1"/>
  <c r="J1548" i="1" a="1"/>
  <c r="J1548" i="1" s="1"/>
  <c r="I1549" i="1" a="1"/>
  <c r="I1549" i="1" s="1"/>
  <c r="J1549" i="1" a="1"/>
  <c r="J1549" i="1" s="1"/>
  <c r="I1550" i="1" a="1"/>
  <c r="I1550" i="1" s="1"/>
  <c r="J1550" i="1" a="1"/>
  <c r="J1550" i="1" s="1"/>
  <c r="I1551" i="1" a="1"/>
  <c r="I1551" i="1" s="1"/>
  <c r="J1551" i="1" a="1"/>
  <c r="J1551" i="1" s="1"/>
  <c r="I1552" i="1" a="1"/>
  <c r="I1552" i="1" s="1"/>
  <c r="J1552" i="1" a="1"/>
  <c r="J1552" i="1" s="1"/>
  <c r="I1553" i="1" a="1"/>
  <c r="I1553" i="1" s="1"/>
  <c r="J1553" i="1" a="1"/>
  <c r="J1553" i="1" s="1"/>
  <c r="I1554" i="1" a="1"/>
  <c r="I1554" i="1" s="1"/>
  <c r="J1554" i="1" a="1"/>
  <c r="J1554" i="1" s="1"/>
  <c r="I1555" i="1" a="1"/>
  <c r="I1555" i="1" s="1"/>
  <c r="J1555" i="1" a="1"/>
  <c r="J1555" i="1" s="1"/>
  <c r="I1556" i="1" a="1"/>
  <c r="I1556" i="1" s="1"/>
  <c r="J1556" i="1" a="1"/>
  <c r="J1556" i="1" s="1"/>
  <c r="I1557" i="1" a="1"/>
  <c r="I1557" i="1" s="1"/>
  <c r="J1557" i="1" a="1"/>
  <c r="J1557" i="1" s="1"/>
  <c r="I1558" i="1" a="1"/>
  <c r="I1558" i="1" s="1"/>
  <c r="J1558" i="1" a="1"/>
  <c r="J1558" i="1" s="1"/>
  <c r="I1559" i="1" a="1"/>
  <c r="I1559" i="1" s="1"/>
  <c r="J1559" i="1" a="1"/>
  <c r="J1559" i="1" s="1"/>
  <c r="I1560" i="1" a="1"/>
  <c r="I1560" i="1" s="1"/>
  <c r="J1560" i="1" a="1"/>
  <c r="J1560" i="1" s="1"/>
  <c r="I1561" i="1" a="1"/>
  <c r="I1561" i="1" s="1"/>
  <c r="J1561" i="1" a="1"/>
  <c r="J1561" i="1" s="1"/>
  <c r="I1562" i="1" a="1"/>
  <c r="I1562" i="1" s="1"/>
  <c r="J1562" i="1" a="1"/>
  <c r="J1562" i="1" s="1"/>
  <c r="I1563" i="1" a="1"/>
  <c r="I1563" i="1" s="1"/>
  <c r="J1563" i="1" a="1"/>
  <c r="J1563" i="1" s="1"/>
  <c r="I1564" i="1" a="1"/>
  <c r="I1564" i="1" s="1"/>
  <c r="J1564" i="1" a="1"/>
  <c r="J1564" i="1" s="1"/>
  <c r="I1565" i="1" a="1"/>
  <c r="I1565" i="1" s="1"/>
  <c r="J1565" i="1" a="1"/>
  <c r="J1565" i="1" s="1"/>
  <c r="I1566" i="1" a="1"/>
  <c r="I1566" i="1" s="1"/>
  <c r="J1566" i="1" a="1"/>
  <c r="J1566" i="1" s="1"/>
  <c r="I1567" i="1" a="1"/>
  <c r="I1567" i="1" s="1"/>
  <c r="J1567" i="1" a="1"/>
  <c r="J1567" i="1" s="1"/>
  <c r="I1568" i="1" a="1"/>
  <c r="I1568" i="1" s="1"/>
  <c r="J1568" i="1" a="1"/>
  <c r="J1568" i="1" s="1"/>
  <c r="I1569" i="1" a="1"/>
  <c r="I1569" i="1" s="1"/>
  <c r="J1569" i="1" a="1"/>
  <c r="J1569" i="1" s="1"/>
  <c r="I1570" i="1" a="1"/>
  <c r="I1570" i="1" s="1"/>
  <c r="J1570" i="1" a="1"/>
  <c r="J1570" i="1" s="1"/>
  <c r="I1571" i="1" a="1"/>
  <c r="I1571" i="1" s="1"/>
  <c r="J1571" i="1" a="1"/>
  <c r="J1571" i="1" s="1"/>
  <c r="I1572" i="1" a="1"/>
  <c r="I1572" i="1" s="1"/>
  <c r="J1572" i="1" a="1"/>
  <c r="J1572" i="1" s="1"/>
  <c r="I1573" i="1" a="1"/>
  <c r="I1573" i="1" s="1"/>
  <c r="J1573" i="1" a="1"/>
  <c r="J1573" i="1" s="1"/>
  <c r="I1574" i="1" a="1"/>
  <c r="I1574" i="1" s="1"/>
  <c r="J1574" i="1" a="1"/>
  <c r="J1574" i="1" s="1"/>
  <c r="I1575" i="1" a="1"/>
  <c r="I1575" i="1" s="1"/>
  <c r="J1575" i="1" a="1"/>
  <c r="J1575" i="1" s="1"/>
  <c r="I1576" i="1" a="1"/>
  <c r="I1576" i="1" s="1"/>
  <c r="J1576" i="1" a="1"/>
  <c r="J1576" i="1" s="1"/>
  <c r="I1577" i="1" a="1"/>
  <c r="I1577" i="1" s="1"/>
  <c r="J1577" i="1" a="1"/>
  <c r="J1577" i="1" s="1"/>
  <c r="I1578" i="1" a="1"/>
  <c r="I1578" i="1" s="1"/>
  <c r="J1578" i="1" a="1"/>
  <c r="J1578" i="1" s="1"/>
  <c r="I1579" i="1" a="1"/>
  <c r="I1579" i="1" s="1"/>
  <c r="J1579" i="1" a="1"/>
  <c r="J1579" i="1" s="1"/>
  <c r="I1580" i="1" a="1"/>
  <c r="I1580" i="1" s="1"/>
  <c r="J1580" i="1" a="1"/>
  <c r="J1580" i="1" s="1"/>
  <c r="I1581" i="1" a="1"/>
  <c r="I1581" i="1" s="1"/>
  <c r="J1581" i="1" a="1"/>
  <c r="J1581" i="1" s="1"/>
  <c r="I1582" i="1" a="1"/>
  <c r="I1582" i="1" s="1"/>
  <c r="J1582" i="1" a="1"/>
  <c r="J1582" i="1" s="1"/>
  <c r="I1583" i="1" a="1"/>
  <c r="I1583" i="1" s="1"/>
  <c r="J1583" i="1" a="1"/>
  <c r="J1583" i="1" s="1"/>
  <c r="I1584" i="1" a="1"/>
  <c r="I1584" i="1" s="1"/>
  <c r="J1584" i="1" a="1"/>
  <c r="J1584" i="1" s="1"/>
  <c r="I1585" i="1" a="1"/>
  <c r="I1585" i="1" s="1"/>
  <c r="J1585" i="1" a="1"/>
  <c r="J1585" i="1" s="1"/>
  <c r="I1586" i="1" a="1"/>
  <c r="I1586" i="1" s="1"/>
  <c r="J1586" i="1" a="1"/>
  <c r="J1586" i="1" s="1"/>
  <c r="I1587" i="1" a="1"/>
  <c r="I1587" i="1" s="1"/>
  <c r="J1587" i="1" a="1"/>
  <c r="J1587" i="1" s="1"/>
  <c r="I1588" i="1" a="1"/>
  <c r="I1588" i="1" s="1"/>
  <c r="J1588" i="1" a="1"/>
  <c r="J1588" i="1" s="1"/>
  <c r="I1589" i="1" a="1"/>
  <c r="I1589" i="1" s="1"/>
  <c r="J1589" i="1" a="1"/>
  <c r="J1589" i="1" s="1"/>
  <c r="I1590" i="1" a="1"/>
  <c r="I1590" i="1" s="1"/>
  <c r="J1590" i="1" a="1"/>
  <c r="J1590" i="1" s="1"/>
  <c r="I1591" i="1" a="1"/>
  <c r="I1591" i="1" s="1"/>
  <c r="J1591" i="1" a="1"/>
  <c r="J1591" i="1" s="1"/>
  <c r="I1592" i="1" a="1"/>
  <c r="I1592" i="1" s="1"/>
  <c r="J1592" i="1" a="1"/>
  <c r="J1592" i="1" s="1"/>
  <c r="I1593" i="1" a="1"/>
  <c r="I1593" i="1" s="1"/>
  <c r="J1593" i="1" a="1"/>
  <c r="J1593" i="1" s="1"/>
  <c r="I1594" i="1" a="1"/>
  <c r="I1594" i="1" s="1"/>
  <c r="J1594" i="1" a="1"/>
  <c r="J1594" i="1" s="1"/>
  <c r="I1595" i="1" a="1"/>
  <c r="I1595" i="1" s="1"/>
  <c r="J1595" i="1" a="1"/>
  <c r="J1595" i="1" s="1"/>
  <c r="I1596" i="1" a="1"/>
  <c r="I1596" i="1" s="1"/>
  <c r="J1596" i="1" a="1"/>
  <c r="J1596" i="1" s="1"/>
  <c r="I1597" i="1" a="1"/>
  <c r="I1597" i="1" s="1"/>
  <c r="J1597" i="1" a="1"/>
  <c r="J1597" i="1" s="1"/>
  <c r="I1598" i="1" a="1"/>
  <c r="I1598" i="1" s="1"/>
  <c r="J1598" i="1" a="1"/>
  <c r="J1598" i="1" s="1"/>
  <c r="I1599" i="1" a="1"/>
  <c r="I1599" i="1" s="1"/>
  <c r="J1599" i="1" a="1"/>
  <c r="J1599" i="1" s="1"/>
  <c r="I1600" i="1" a="1"/>
  <c r="I1600" i="1" s="1"/>
  <c r="J1600" i="1" a="1"/>
  <c r="J1600" i="1" s="1"/>
  <c r="I1601" i="1" a="1"/>
  <c r="I1601" i="1" s="1"/>
  <c r="J1601" i="1" a="1"/>
  <c r="J1601" i="1" s="1"/>
  <c r="I1602" i="1" a="1"/>
  <c r="I1602" i="1" s="1"/>
  <c r="J1602" i="1" a="1"/>
  <c r="J1602" i="1" s="1"/>
  <c r="I1603" i="1" a="1"/>
  <c r="I1603" i="1" s="1"/>
  <c r="J1603" i="1" a="1"/>
  <c r="J1603" i="1" s="1"/>
  <c r="I1604" i="1" a="1"/>
  <c r="I1604" i="1" s="1"/>
  <c r="J1604" i="1" a="1"/>
  <c r="J1604" i="1" s="1"/>
  <c r="I1605" i="1" a="1"/>
  <c r="I1605" i="1" s="1"/>
  <c r="J1605" i="1" a="1"/>
  <c r="J1605" i="1" s="1"/>
  <c r="I1606" i="1" a="1"/>
  <c r="I1606" i="1" s="1"/>
  <c r="J1606" i="1" a="1"/>
  <c r="J1606" i="1" s="1"/>
  <c r="I1607" i="1" a="1"/>
  <c r="I1607" i="1" s="1"/>
  <c r="J1607" i="1" a="1"/>
  <c r="J1607" i="1" s="1"/>
  <c r="I1608" i="1" a="1"/>
  <c r="I1608" i="1" s="1"/>
  <c r="J1608" i="1" a="1"/>
  <c r="J1608" i="1" s="1"/>
  <c r="I1609" i="1" a="1"/>
  <c r="I1609" i="1" s="1"/>
  <c r="J1609" i="1" a="1"/>
  <c r="J1609" i="1" s="1"/>
  <c r="I1610" i="1" a="1"/>
  <c r="I1610" i="1" s="1"/>
  <c r="J1610" i="1" a="1"/>
  <c r="J1610" i="1" s="1"/>
  <c r="I1611" i="1" a="1"/>
  <c r="I1611" i="1" s="1"/>
  <c r="J1611" i="1" a="1"/>
  <c r="J1611" i="1" s="1"/>
  <c r="I1612" i="1" a="1"/>
  <c r="I1612" i="1" s="1"/>
  <c r="J1612" i="1" a="1"/>
  <c r="J1612" i="1" s="1"/>
  <c r="I1613" i="1" a="1"/>
  <c r="I1613" i="1" s="1"/>
  <c r="J1613" i="1" a="1"/>
  <c r="J1613" i="1" s="1"/>
  <c r="I1614" i="1" a="1"/>
  <c r="I1614" i="1" s="1"/>
  <c r="J1614" i="1" a="1"/>
  <c r="J1614" i="1" s="1"/>
  <c r="I1615" i="1" a="1"/>
  <c r="I1615" i="1" s="1"/>
  <c r="J1615" i="1" a="1"/>
  <c r="J1615" i="1" s="1"/>
  <c r="I1616" i="1" a="1"/>
  <c r="I1616" i="1" s="1"/>
  <c r="J1616" i="1" a="1"/>
  <c r="J1616" i="1" s="1"/>
  <c r="I1617" i="1" a="1"/>
  <c r="I1617" i="1" s="1"/>
  <c r="J1617" i="1" a="1"/>
  <c r="J1617" i="1" s="1"/>
  <c r="I1618" i="1" a="1"/>
  <c r="I1618" i="1" s="1"/>
  <c r="J1618" i="1" a="1"/>
  <c r="J1618" i="1" s="1"/>
  <c r="I1619" i="1" a="1"/>
  <c r="I1619" i="1" s="1"/>
  <c r="J1619" i="1" a="1"/>
  <c r="J1619" i="1" s="1"/>
  <c r="I1620" i="1" a="1"/>
  <c r="I1620" i="1" s="1"/>
  <c r="J1620" i="1" a="1"/>
  <c r="J1620" i="1" s="1"/>
  <c r="I1621" i="1" a="1"/>
  <c r="I1621" i="1" s="1"/>
  <c r="J1621" i="1" a="1"/>
  <c r="J1621" i="1" s="1"/>
  <c r="I1622" i="1" a="1"/>
  <c r="I1622" i="1" s="1"/>
  <c r="J1622" i="1" a="1"/>
  <c r="J1622" i="1" s="1"/>
  <c r="I1623" i="1" a="1"/>
  <c r="I1623" i="1" s="1"/>
  <c r="J1623" i="1" a="1"/>
  <c r="J1623" i="1" s="1"/>
  <c r="I1624" i="1" a="1"/>
  <c r="I1624" i="1" s="1"/>
  <c r="J1624" i="1" a="1"/>
  <c r="J1624" i="1" s="1"/>
  <c r="I1625" i="1" a="1"/>
  <c r="I1625" i="1" s="1"/>
  <c r="J1625" i="1" a="1"/>
  <c r="J1625" i="1" s="1"/>
  <c r="I1626" i="1" a="1"/>
  <c r="I1626" i="1" s="1"/>
  <c r="J1626" i="1" a="1"/>
  <c r="J1626" i="1" s="1"/>
  <c r="I1627" i="1" a="1"/>
  <c r="I1627" i="1" s="1"/>
  <c r="J1627" i="1" a="1"/>
  <c r="J1627" i="1" s="1"/>
  <c r="I1628" i="1" a="1"/>
  <c r="I1628" i="1" s="1"/>
  <c r="J1628" i="1" a="1"/>
  <c r="J1628" i="1" s="1"/>
  <c r="I1629" i="1" a="1"/>
  <c r="I1629" i="1" s="1"/>
  <c r="J1629" i="1" a="1"/>
  <c r="J1629" i="1" s="1"/>
  <c r="I1630" i="1" a="1"/>
  <c r="I1630" i="1" s="1"/>
  <c r="J1630" i="1" a="1"/>
  <c r="J1630" i="1" s="1"/>
  <c r="I1631" i="1" a="1"/>
  <c r="I1631" i="1" s="1"/>
  <c r="J1631" i="1" a="1"/>
  <c r="J1631" i="1" s="1"/>
  <c r="I1632" i="1" a="1"/>
  <c r="I1632" i="1" s="1"/>
  <c r="J1632" i="1" a="1"/>
  <c r="J1632" i="1" s="1"/>
  <c r="I1633" i="1" a="1"/>
  <c r="I1633" i="1" s="1"/>
  <c r="J1633" i="1" a="1"/>
  <c r="J1633" i="1" s="1"/>
  <c r="I1634" i="1" a="1"/>
  <c r="I1634" i="1" s="1"/>
  <c r="J1634" i="1" a="1"/>
  <c r="J1634" i="1" s="1"/>
  <c r="I1635" i="1" a="1"/>
  <c r="I1635" i="1" s="1"/>
  <c r="J1635" i="1" a="1"/>
  <c r="J1635" i="1" s="1"/>
  <c r="I1636" i="1" a="1"/>
  <c r="I1636" i="1" s="1"/>
  <c r="J1636" i="1" a="1"/>
  <c r="J1636" i="1" s="1"/>
  <c r="I1637" i="1" a="1"/>
  <c r="I1637" i="1" s="1"/>
  <c r="J1637" i="1" a="1"/>
  <c r="J1637" i="1" s="1"/>
  <c r="I1638" i="1" a="1"/>
  <c r="I1638" i="1" s="1"/>
  <c r="J1638" i="1" a="1"/>
  <c r="J1638" i="1" s="1"/>
  <c r="I1639" i="1" a="1"/>
  <c r="I1639" i="1" s="1"/>
  <c r="J1639" i="1" a="1"/>
  <c r="J1639" i="1" s="1"/>
  <c r="I1640" i="1" a="1"/>
  <c r="I1640" i="1" s="1"/>
  <c r="J1640" i="1" a="1"/>
  <c r="J1640" i="1" s="1"/>
  <c r="I1641" i="1" a="1"/>
  <c r="I1641" i="1" s="1"/>
  <c r="J1641" i="1" a="1"/>
  <c r="J1641" i="1" s="1"/>
  <c r="I1642" i="1" a="1"/>
  <c r="I1642" i="1" s="1"/>
  <c r="J1642" i="1" a="1"/>
  <c r="J1642" i="1" s="1"/>
  <c r="I1643" i="1" a="1"/>
  <c r="I1643" i="1" s="1"/>
  <c r="J1643" i="1" a="1"/>
  <c r="J1643" i="1" s="1"/>
  <c r="I1644" i="1" a="1"/>
  <c r="I1644" i="1" s="1"/>
  <c r="J1644" i="1" a="1"/>
  <c r="J1644" i="1" s="1"/>
  <c r="I1645" i="1" a="1"/>
  <c r="I1645" i="1" s="1"/>
  <c r="J1645" i="1" a="1"/>
  <c r="J1645" i="1" s="1"/>
  <c r="I1646" i="1" a="1"/>
  <c r="I1646" i="1" s="1"/>
  <c r="J1646" i="1" a="1"/>
  <c r="J1646" i="1" s="1"/>
  <c r="I1647" i="1" a="1"/>
  <c r="I1647" i="1" s="1"/>
  <c r="J1647" i="1" a="1"/>
  <c r="J1647" i="1" s="1"/>
  <c r="I1648" i="1" a="1"/>
  <c r="I1648" i="1" s="1"/>
  <c r="J1648" i="1" a="1"/>
  <c r="J1648" i="1" s="1"/>
  <c r="I1649" i="1" a="1"/>
  <c r="I1649" i="1" s="1"/>
  <c r="J1649" i="1" a="1"/>
  <c r="J1649" i="1" s="1"/>
  <c r="I1650" i="1" a="1"/>
  <c r="I1650" i="1" s="1"/>
  <c r="J1650" i="1" a="1"/>
  <c r="J1650" i="1" s="1"/>
  <c r="I1651" i="1" a="1"/>
  <c r="I1651" i="1" s="1"/>
  <c r="J1651" i="1" a="1"/>
  <c r="J1651" i="1" s="1"/>
  <c r="I1652" i="1" a="1"/>
  <c r="I1652" i="1" s="1"/>
  <c r="J1652" i="1" a="1"/>
  <c r="J1652" i="1" s="1"/>
  <c r="I1653" i="1" a="1"/>
  <c r="I1653" i="1" s="1"/>
  <c r="J1653" i="1" a="1"/>
  <c r="J1653" i="1" s="1"/>
  <c r="I1654" i="1" a="1"/>
  <c r="I1654" i="1" s="1"/>
  <c r="J1654" i="1" a="1"/>
  <c r="J1654" i="1" s="1"/>
  <c r="I1655" i="1" a="1"/>
  <c r="I1655" i="1" s="1"/>
  <c r="J1655" i="1" a="1"/>
  <c r="J1655" i="1" s="1"/>
  <c r="I1656" i="1" a="1"/>
  <c r="I1656" i="1" s="1"/>
  <c r="J1656" i="1" a="1"/>
  <c r="J1656" i="1" s="1"/>
  <c r="I1657" i="1" a="1"/>
  <c r="I1657" i="1" s="1"/>
  <c r="J1657" i="1" a="1"/>
  <c r="J1657" i="1" s="1"/>
  <c r="I1658" i="1" a="1"/>
  <c r="I1658" i="1" s="1"/>
  <c r="J1658" i="1" a="1"/>
  <c r="J1658" i="1" s="1"/>
  <c r="I1659" i="1" a="1"/>
  <c r="I1659" i="1" s="1"/>
  <c r="J1659" i="1" a="1"/>
  <c r="J1659" i="1" s="1"/>
  <c r="I1660" i="1" a="1"/>
  <c r="I1660" i="1" s="1"/>
  <c r="J1660" i="1" a="1"/>
  <c r="J1660" i="1" s="1"/>
  <c r="I1661" i="1" a="1"/>
  <c r="I1661" i="1" s="1"/>
  <c r="J1661" i="1" a="1"/>
  <c r="J1661" i="1" s="1"/>
  <c r="I1662" i="1" a="1"/>
  <c r="I1662" i="1" s="1"/>
  <c r="J1662" i="1" a="1"/>
  <c r="J1662" i="1" s="1"/>
  <c r="I1663" i="1" a="1"/>
  <c r="I1663" i="1" s="1"/>
  <c r="J1663" i="1" a="1"/>
  <c r="J1663" i="1" s="1"/>
  <c r="I1664" i="1" a="1"/>
  <c r="I1664" i="1" s="1"/>
  <c r="J1664" i="1" a="1"/>
  <c r="J1664" i="1" s="1"/>
  <c r="I1665" i="1" a="1"/>
  <c r="I1665" i="1" s="1"/>
  <c r="J1665" i="1" a="1"/>
  <c r="J1665" i="1" s="1"/>
  <c r="I1666" i="1" a="1"/>
  <c r="I1666" i="1" s="1"/>
  <c r="J1666" i="1" a="1"/>
  <c r="J1666" i="1" s="1"/>
  <c r="I1667" i="1" a="1"/>
  <c r="I1667" i="1" s="1"/>
  <c r="J1667" i="1" a="1"/>
  <c r="J1667" i="1" s="1"/>
  <c r="I1668" i="1" a="1"/>
  <c r="I1668" i="1" s="1"/>
  <c r="J1668" i="1" a="1"/>
  <c r="J1668" i="1" s="1"/>
  <c r="I1669" i="1" a="1"/>
  <c r="I1669" i="1" s="1"/>
  <c r="J1669" i="1" a="1"/>
  <c r="J1669" i="1" s="1"/>
  <c r="I1670" i="1" a="1"/>
  <c r="I1670" i="1" s="1"/>
  <c r="J1670" i="1" a="1"/>
  <c r="J1670" i="1" s="1"/>
  <c r="I1671" i="1" a="1"/>
  <c r="I1671" i="1" s="1"/>
  <c r="J1671" i="1" a="1"/>
  <c r="J1671" i="1" s="1"/>
  <c r="I1672" i="1" a="1"/>
  <c r="I1672" i="1" s="1"/>
  <c r="J1672" i="1" a="1"/>
  <c r="J1672" i="1" s="1"/>
  <c r="I1673" i="1" a="1"/>
  <c r="I1673" i="1" s="1"/>
  <c r="J1673" i="1" a="1"/>
  <c r="J1673" i="1" s="1"/>
  <c r="I1674" i="1" a="1"/>
  <c r="I1674" i="1" s="1"/>
  <c r="J1674" i="1" a="1"/>
  <c r="J1674" i="1" s="1"/>
  <c r="I1675" i="1" a="1"/>
  <c r="I1675" i="1" s="1"/>
  <c r="J1675" i="1" a="1"/>
  <c r="J1675" i="1" s="1"/>
  <c r="I1676" i="1" a="1"/>
  <c r="I1676" i="1" s="1"/>
  <c r="J1676" i="1" a="1"/>
  <c r="J1676" i="1" s="1"/>
  <c r="I1677" i="1" a="1"/>
  <c r="I1677" i="1" s="1"/>
  <c r="J1677" i="1" a="1"/>
  <c r="J1677" i="1" s="1"/>
  <c r="I1678" i="1" a="1"/>
  <c r="I1678" i="1" s="1"/>
  <c r="J1678" i="1" a="1"/>
  <c r="J1678" i="1" s="1"/>
  <c r="I1679" i="1" a="1"/>
  <c r="I1679" i="1" s="1"/>
  <c r="J1679" i="1" a="1"/>
  <c r="J1679" i="1" s="1"/>
  <c r="I1680" i="1" a="1"/>
  <c r="I1680" i="1" s="1"/>
  <c r="J1680" i="1" a="1"/>
  <c r="J1680" i="1" s="1"/>
  <c r="I1681" i="1" a="1"/>
  <c r="I1681" i="1" s="1"/>
  <c r="J1681" i="1" a="1"/>
  <c r="J1681" i="1" s="1"/>
  <c r="I1682" i="1" a="1"/>
  <c r="I1682" i="1" s="1"/>
  <c r="J1682" i="1" a="1"/>
  <c r="J1682" i="1" s="1"/>
  <c r="I1683" i="1" a="1"/>
  <c r="I1683" i="1" s="1"/>
  <c r="J1683" i="1" a="1"/>
  <c r="J1683" i="1" s="1"/>
  <c r="I1684" i="1" a="1"/>
  <c r="I1684" i="1" s="1"/>
  <c r="J1684" i="1" a="1"/>
  <c r="J1684" i="1" s="1"/>
  <c r="I1685" i="1" a="1"/>
  <c r="I1685" i="1" s="1"/>
  <c r="J1685" i="1" a="1"/>
  <c r="J1685" i="1" s="1"/>
  <c r="I1686" i="1" a="1"/>
  <c r="I1686" i="1" s="1"/>
  <c r="J1686" i="1" a="1"/>
  <c r="J1686" i="1" s="1"/>
  <c r="I1687" i="1" a="1"/>
  <c r="I1687" i="1" s="1"/>
  <c r="J1687" i="1" a="1"/>
  <c r="J1687" i="1" s="1"/>
  <c r="I1688" i="1" a="1"/>
  <c r="I1688" i="1" s="1"/>
  <c r="J1688" i="1" a="1"/>
  <c r="J1688" i="1" s="1"/>
  <c r="I1689" i="1" a="1"/>
  <c r="I1689" i="1" s="1"/>
  <c r="J1689" i="1" a="1"/>
  <c r="J1689" i="1" s="1"/>
  <c r="I1690" i="1" a="1"/>
  <c r="I1690" i="1" s="1"/>
  <c r="J1690" i="1" a="1"/>
  <c r="J1690" i="1" s="1"/>
  <c r="I1691" i="1" a="1"/>
  <c r="I1691" i="1" s="1"/>
  <c r="J1691" i="1" a="1"/>
  <c r="J1691" i="1" s="1"/>
  <c r="I1692" i="1" a="1"/>
  <c r="I1692" i="1" s="1"/>
  <c r="J1692" i="1" a="1"/>
  <c r="J1692" i="1" s="1"/>
  <c r="I1693" i="1" a="1"/>
  <c r="I1693" i="1" s="1"/>
  <c r="J1693" i="1" a="1"/>
  <c r="J1693" i="1" s="1"/>
  <c r="I1694" i="1" a="1"/>
  <c r="I1694" i="1" s="1"/>
  <c r="J1694" i="1" a="1"/>
  <c r="J1694" i="1" s="1"/>
  <c r="I1695" i="1" a="1"/>
  <c r="I1695" i="1" s="1"/>
  <c r="J1695" i="1" a="1"/>
  <c r="J1695" i="1" s="1"/>
  <c r="I1696" i="1" a="1"/>
  <c r="I1696" i="1" s="1"/>
  <c r="J1696" i="1" a="1"/>
  <c r="J1696" i="1" s="1"/>
  <c r="I1697" i="1" a="1"/>
  <c r="I1697" i="1" s="1"/>
  <c r="J1697" i="1" a="1"/>
  <c r="J1697" i="1" s="1"/>
  <c r="I1698" i="1" a="1"/>
  <c r="I1698" i="1" s="1"/>
  <c r="J1698" i="1" a="1"/>
  <c r="J1698" i="1" s="1"/>
  <c r="I1699" i="1" a="1"/>
  <c r="I1699" i="1" s="1"/>
  <c r="J1699" i="1" a="1"/>
  <c r="J1699" i="1" s="1"/>
  <c r="I1700" i="1" a="1"/>
  <c r="I1700" i="1" s="1"/>
  <c r="J1700" i="1" a="1"/>
  <c r="J1700" i="1" s="1"/>
  <c r="I1701" i="1" a="1"/>
  <c r="I1701" i="1" s="1"/>
  <c r="J1701" i="1" a="1"/>
  <c r="J1701" i="1" s="1"/>
  <c r="I1702" i="1" a="1"/>
  <c r="I1702" i="1" s="1"/>
  <c r="J1702" i="1" a="1"/>
  <c r="J1702" i="1" s="1"/>
  <c r="I1703" i="1" a="1"/>
  <c r="I1703" i="1" s="1"/>
  <c r="J1703" i="1" a="1"/>
  <c r="J1703" i="1" s="1"/>
  <c r="I1704" i="1" a="1"/>
  <c r="I1704" i="1" s="1"/>
  <c r="J1704" i="1" a="1"/>
  <c r="J1704" i="1" s="1"/>
  <c r="I1705" i="1" a="1"/>
  <c r="I1705" i="1" s="1"/>
  <c r="J1705" i="1" a="1"/>
  <c r="J1705" i="1" s="1"/>
  <c r="I1706" i="1" a="1"/>
  <c r="I1706" i="1" s="1"/>
  <c r="J1706" i="1" a="1"/>
  <c r="J1706" i="1" s="1"/>
  <c r="I1707" i="1" a="1"/>
  <c r="I1707" i="1" s="1"/>
  <c r="J1707" i="1" a="1"/>
  <c r="J1707" i="1" s="1"/>
  <c r="I1708" i="1" a="1"/>
  <c r="I1708" i="1" s="1"/>
  <c r="J1708" i="1" a="1"/>
  <c r="J1708" i="1" s="1"/>
  <c r="I1709" i="1" a="1"/>
  <c r="I1709" i="1" s="1"/>
  <c r="J1709" i="1" a="1"/>
  <c r="J1709" i="1" s="1"/>
  <c r="I1710" i="1" a="1"/>
  <c r="I1710" i="1" s="1"/>
  <c r="J1710" i="1" a="1"/>
  <c r="J1710" i="1" s="1"/>
  <c r="I1711" i="1" a="1"/>
  <c r="I1711" i="1" s="1"/>
  <c r="J1711" i="1" a="1"/>
  <c r="J1711" i="1" s="1"/>
  <c r="I1712" i="1" a="1"/>
  <c r="I1712" i="1" s="1"/>
  <c r="J1712" i="1" a="1"/>
  <c r="J1712" i="1" s="1"/>
  <c r="I1713" i="1" a="1"/>
  <c r="I1713" i="1" s="1"/>
  <c r="J1713" i="1" a="1"/>
  <c r="J1713" i="1" s="1"/>
  <c r="I1714" i="1" a="1"/>
  <c r="I1714" i="1" s="1"/>
  <c r="J1714" i="1" a="1"/>
  <c r="J1714" i="1" s="1"/>
  <c r="I1715" i="1" a="1"/>
  <c r="I1715" i="1" s="1"/>
  <c r="J1715" i="1" a="1"/>
  <c r="J1715" i="1" s="1"/>
  <c r="I1716" i="1" a="1"/>
  <c r="I1716" i="1" s="1"/>
  <c r="J1716" i="1" a="1"/>
  <c r="J1716" i="1" s="1"/>
  <c r="I1717" i="1" a="1"/>
  <c r="I1717" i="1" s="1"/>
  <c r="J1717" i="1" a="1"/>
  <c r="J1717" i="1" s="1"/>
  <c r="I1718" i="1" a="1"/>
  <c r="I1718" i="1" s="1"/>
  <c r="J1718" i="1" a="1"/>
  <c r="J1718" i="1" s="1"/>
  <c r="I1719" i="1" a="1"/>
  <c r="I1719" i="1" s="1"/>
  <c r="J1719" i="1" a="1"/>
  <c r="J1719" i="1" s="1"/>
  <c r="I1720" i="1" a="1"/>
  <c r="I1720" i="1" s="1"/>
  <c r="J1720" i="1" a="1"/>
  <c r="J1720" i="1" s="1"/>
  <c r="I1721" i="1" a="1"/>
  <c r="I1721" i="1" s="1"/>
  <c r="J1721" i="1" a="1"/>
  <c r="J1721" i="1" s="1"/>
  <c r="I1722" i="1" a="1"/>
  <c r="I1722" i="1" s="1"/>
  <c r="J1722" i="1" a="1"/>
  <c r="J1722" i="1" s="1"/>
  <c r="I1723" i="1" a="1"/>
  <c r="I1723" i="1" s="1"/>
  <c r="J1723" i="1" a="1"/>
  <c r="J1723" i="1" s="1"/>
  <c r="I1724" i="1" a="1"/>
  <c r="I1724" i="1" s="1"/>
  <c r="J1724" i="1" a="1"/>
  <c r="J1724" i="1" s="1"/>
  <c r="I1725" i="1" a="1"/>
  <c r="I1725" i="1" s="1"/>
  <c r="J1725" i="1" a="1"/>
  <c r="J1725" i="1" s="1"/>
  <c r="I1726" i="1" a="1"/>
  <c r="I1726" i="1" s="1"/>
  <c r="J1726" i="1" a="1"/>
  <c r="J1726" i="1" s="1"/>
  <c r="I1727" i="1" a="1"/>
  <c r="I1727" i="1" s="1"/>
  <c r="J1727" i="1" a="1"/>
  <c r="J1727" i="1" s="1"/>
  <c r="I1728" i="1" a="1"/>
  <c r="I1728" i="1" s="1"/>
  <c r="J1728" i="1" a="1"/>
  <c r="J1728" i="1" s="1"/>
  <c r="I1729" i="1" a="1"/>
  <c r="I1729" i="1" s="1"/>
  <c r="J1729" i="1" a="1"/>
  <c r="J1729" i="1" s="1"/>
  <c r="I1730" i="1" a="1"/>
  <c r="I1730" i="1" s="1"/>
  <c r="J1730" i="1" a="1"/>
  <c r="J1730" i="1" s="1"/>
  <c r="I1731" i="1" a="1"/>
  <c r="I1731" i="1" s="1"/>
  <c r="J1731" i="1" a="1"/>
  <c r="J1731" i="1" s="1"/>
  <c r="I1732" i="1" a="1"/>
  <c r="I1732" i="1" s="1"/>
  <c r="J1732" i="1" a="1"/>
  <c r="J1732" i="1" s="1"/>
  <c r="I1733" i="1" a="1"/>
  <c r="I1733" i="1" s="1"/>
  <c r="J1733" i="1" a="1"/>
  <c r="J1733" i="1" s="1"/>
  <c r="I1734" i="1" a="1"/>
  <c r="I1734" i="1" s="1"/>
  <c r="J1734" i="1" a="1"/>
  <c r="J1734" i="1" s="1"/>
  <c r="I1735" i="1" a="1"/>
  <c r="I1735" i="1" s="1"/>
  <c r="J1735" i="1" a="1"/>
  <c r="J1735" i="1" s="1"/>
  <c r="I1736" i="1" a="1"/>
  <c r="I1736" i="1" s="1"/>
  <c r="J1736" i="1" a="1"/>
  <c r="J1736" i="1" s="1"/>
  <c r="I1737" i="1" a="1"/>
  <c r="I1737" i="1" s="1"/>
  <c r="J1737" i="1" a="1"/>
  <c r="J1737" i="1" s="1"/>
  <c r="I1738" i="1" a="1"/>
  <c r="I1738" i="1" s="1"/>
  <c r="J1738" i="1" a="1"/>
  <c r="J1738" i="1" s="1"/>
  <c r="I1739" i="1" a="1"/>
  <c r="I1739" i="1" s="1"/>
  <c r="J1739" i="1" a="1"/>
  <c r="J1739" i="1" s="1"/>
  <c r="I1740" i="1" a="1"/>
  <c r="I1740" i="1" s="1"/>
  <c r="J1740" i="1" a="1"/>
  <c r="J1740" i="1" s="1"/>
  <c r="I1741" i="1" a="1"/>
  <c r="I1741" i="1" s="1"/>
  <c r="J1741" i="1" a="1"/>
  <c r="J1741" i="1" s="1"/>
  <c r="I1742" i="1" a="1"/>
  <c r="I1742" i="1" s="1"/>
  <c r="J1742" i="1" a="1"/>
  <c r="J1742" i="1" s="1"/>
  <c r="I1743" i="1" a="1"/>
  <c r="I1743" i="1" s="1"/>
  <c r="J1743" i="1" a="1"/>
  <c r="J1743" i="1" s="1"/>
  <c r="I1744" i="1" a="1"/>
  <c r="I1744" i="1" s="1"/>
  <c r="J1744" i="1" a="1"/>
  <c r="J1744" i="1" s="1"/>
  <c r="I1745" i="1" a="1"/>
  <c r="I1745" i="1" s="1"/>
  <c r="J1745" i="1" a="1"/>
  <c r="J1745" i="1" s="1"/>
  <c r="I1746" i="1" a="1"/>
  <c r="I1746" i="1" s="1"/>
  <c r="J1746" i="1" a="1"/>
  <c r="J1746" i="1" s="1"/>
  <c r="I1747" i="1" a="1"/>
  <c r="I1747" i="1" s="1"/>
  <c r="J1747" i="1" a="1"/>
  <c r="J1747" i="1" s="1"/>
  <c r="I1748" i="1" a="1"/>
  <c r="I1748" i="1" s="1"/>
  <c r="J1748" i="1" a="1"/>
  <c r="J1748" i="1" s="1"/>
  <c r="I1749" i="1" a="1"/>
  <c r="I1749" i="1" s="1"/>
  <c r="J1749" i="1" a="1"/>
  <c r="J1749" i="1" s="1"/>
  <c r="I1750" i="1" a="1"/>
  <c r="I1750" i="1" s="1"/>
  <c r="J1750" i="1" a="1"/>
  <c r="J1750" i="1" s="1"/>
  <c r="I1751" i="1" a="1"/>
  <c r="I1751" i="1" s="1"/>
  <c r="J1751" i="1" a="1"/>
  <c r="J1751" i="1" s="1"/>
  <c r="I1752" i="1" a="1"/>
  <c r="I1752" i="1" s="1"/>
  <c r="J1752" i="1" a="1"/>
  <c r="J1752" i="1" s="1"/>
  <c r="I1753" i="1" a="1"/>
  <c r="I1753" i="1" s="1"/>
  <c r="J1753" i="1" a="1"/>
  <c r="J1753" i="1" s="1"/>
  <c r="I1754" i="1" a="1"/>
  <c r="I1754" i="1" s="1"/>
  <c r="J1754" i="1" a="1"/>
  <c r="J1754" i="1" s="1"/>
  <c r="I1755" i="1" a="1"/>
  <c r="I1755" i="1" s="1"/>
  <c r="J1755" i="1" a="1"/>
  <c r="J1755" i="1" s="1"/>
  <c r="I1756" i="1" a="1"/>
  <c r="I1756" i="1" s="1"/>
  <c r="J1756" i="1" a="1"/>
  <c r="J1756" i="1" s="1"/>
  <c r="I1757" i="1" a="1"/>
  <c r="I1757" i="1" s="1"/>
  <c r="J1757" i="1" a="1"/>
  <c r="J1757" i="1" s="1"/>
  <c r="I1758" i="1" a="1"/>
  <c r="I1758" i="1" s="1"/>
  <c r="J1758" i="1" a="1"/>
  <c r="J1758" i="1" s="1"/>
  <c r="I1759" i="1" a="1"/>
  <c r="I1759" i="1" s="1"/>
  <c r="J1759" i="1" a="1"/>
  <c r="J1759" i="1" s="1"/>
  <c r="I1760" i="1" a="1"/>
  <c r="I1760" i="1" s="1"/>
  <c r="J1760" i="1" a="1"/>
  <c r="J1760" i="1" s="1"/>
  <c r="I1761" i="1" a="1"/>
  <c r="I1761" i="1" s="1"/>
  <c r="J1761" i="1" a="1"/>
  <c r="J1761" i="1" s="1"/>
  <c r="I1762" i="1" a="1"/>
  <c r="I1762" i="1" s="1"/>
  <c r="J1762" i="1" a="1"/>
  <c r="J1762" i="1" s="1"/>
  <c r="I1763" i="1" a="1"/>
  <c r="I1763" i="1" s="1"/>
  <c r="J1763" i="1" a="1"/>
  <c r="J1763" i="1" s="1"/>
  <c r="I1764" i="1" a="1"/>
  <c r="I1764" i="1" s="1"/>
  <c r="J1764" i="1" a="1"/>
  <c r="J1764" i="1" s="1"/>
  <c r="I1765" i="1" a="1"/>
  <c r="I1765" i="1" s="1"/>
  <c r="J1765" i="1" a="1"/>
  <c r="J1765" i="1" s="1"/>
  <c r="I1766" i="1" a="1"/>
  <c r="I1766" i="1" s="1"/>
  <c r="J1766" i="1" a="1"/>
  <c r="J1766" i="1" s="1"/>
  <c r="I1767" i="1" a="1"/>
  <c r="I1767" i="1" s="1"/>
  <c r="J1767" i="1" a="1"/>
  <c r="J1767" i="1" s="1"/>
  <c r="I1768" i="1" a="1"/>
  <c r="I1768" i="1" s="1"/>
  <c r="J1768" i="1" a="1"/>
  <c r="J1768" i="1" s="1"/>
  <c r="I1769" i="1" a="1"/>
  <c r="I1769" i="1" s="1"/>
  <c r="J1769" i="1" a="1"/>
  <c r="J1769" i="1" s="1"/>
  <c r="I1770" i="1" a="1"/>
  <c r="I1770" i="1" s="1"/>
  <c r="J1770" i="1" a="1"/>
  <c r="J1770" i="1" s="1"/>
  <c r="I1771" i="1" a="1"/>
  <c r="I1771" i="1" s="1"/>
  <c r="J1771" i="1" a="1"/>
  <c r="J1771" i="1" s="1"/>
  <c r="I1772" i="1" a="1"/>
  <c r="I1772" i="1" s="1"/>
  <c r="J1772" i="1" a="1"/>
  <c r="J1772" i="1" s="1"/>
  <c r="I1773" i="1" a="1"/>
  <c r="I1773" i="1" s="1"/>
  <c r="J1773" i="1" a="1"/>
  <c r="J1773" i="1" s="1"/>
  <c r="I1774" i="1" a="1"/>
  <c r="I1774" i="1" s="1"/>
  <c r="I1775" i="1" a="1"/>
  <c r="I1775" i="1" s="1"/>
  <c r="J1775" i="1" a="1"/>
  <c r="J1775" i="1" s="1"/>
  <c r="I1776" i="1" a="1"/>
  <c r="I1776" i="1" s="1"/>
  <c r="J1776" i="1" a="1"/>
  <c r="J1776" i="1" s="1"/>
  <c r="I1777" i="1" a="1"/>
  <c r="I1777" i="1" s="1"/>
  <c r="J1777" i="1" a="1"/>
  <c r="J1777" i="1" s="1"/>
  <c r="I1778" i="1" a="1"/>
  <c r="I1778" i="1" s="1"/>
  <c r="J1778" i="1" a="1"/>
  <c r="J1778" i="1" s="1"/>
  <c r="I1779" i="1" a="1"/>
  <c r="I1779" i="1" s="1"/>
  <c r="J1779" i="1" a="1"/>
  <c r="J1779" i="1" s="1"/>
  <c r="I1780" i="1" a="1"/>
  <c r="I1780" i="1" s="1"/>
  <c r="J1780" i="1" a="1"/>
  <c r="J1780" i="1" s="1"/>
  <c r="I1781" i="1" a="1"/>
  <c r="I1781" i="1" s="1"/>
  <c r="J1781" i="1" a="1"/>
  <c r="J1781" i="1" s="1"/>
  <c r="I1782" i="1" a="1"/>
  <c r="I1782" i="1" s="1"/>
  <c r="I1783" i="1" a="1"/>
  <c r="I1783" i="1" s="1"/>
  <c r="J1783" i="1" a="1"/>
  <c r="J1783" i="1" s="1"/>
  <c r="I1784" i="1" a="1"/>
  <c r="I1784" i="1" s="1"/>
  <c r="J1784" i="1" a="1"/>
  <c r="J1784" i="1" s="1"/>
  <c r="I1785" i="1" a="1"/>
  <c r="I1785" i="1" s="1"/>
  <c r="J1785" i="1" a="1"/>
  <c r="J1785" i="1" s="1"/>
  <c r="I1786" i="1" a="1"/>
  <c r="I1786" i="1" s="1"/>
  <c r="J1786" i="1" a="1"/>
  <c r="J1786" i="1" s="1"/>
  <c r="I1787" i="1" a="1"/>
  <c r="I1787" i="1" s="1"/>
  <c r="J1787" i="1" a="1"/>
  <c r="J1787" i="1" s="1"/>
  <c r="I1788" i="1" a="1"/>
  <c r="I1788" i="1" s="1"/>
  <c r="J1788" i="1" a="1"/>
  <c r="J1788" i="1" s="1"/>
  <c r="I1789" i="1" a="1"/>
  <c r="I1789" i="1" s="1"/>
  <c r="J1789" i="1" a="1"/>
  <c r="J1789" i="1" s="1"/>
  <c r="I1790" i="1" a="1"/>
  <c r="I1790" i="1" s="1"/>
  <c r="I1791" i="1" a="1"/>
  <c r="I1791" i="1" s="1"/>
  <c r="J1791" i="1" a="1"/>
  <c r="J1791" i="1" s="1"/>
  <c r="I1792" i="1" a="1"/>
  <c r="I1792" i="1" s="1"/>
  <c r="J1792" i="1" a="1"/>
  <c r="J1792" i="1" s="1"/>
  <c r="I1793" i="1" a="1"/>
  <c r="I1793" i="1" s="1"/>
  <c r="J1793" i="1" a="1"/>
  <c r="J1793" i="1" s="1"/>
  <c r="I1794" i="1" a="1"/>
  <c r="I1794" i="1" s="1"/>
  <c r="J1794" i="1" a="1"/>
  <c r="J1794" i="1" s="1"/>
  <c r="I1795" i="1" a="1"/>
  <c r="I1795" i="1" s="1"/>
  <c r="J1795" i="1" a="1"/>
  <c r="J1795" i="1" s="1"/>
  <c r="I1796" i="1" a="1"/>
  <c r="I1796" i="1" s="1"/>
  <c r="J1796" i="1" a="1"/>
  <c r="J1796" i="1" s="1"/>
  <c r="I1797" i="1" a="1"/>
  <c r="I1797" i="1" s="1"/>
  <c r="J1797" i="1" a="1"/>
  <c r="J1797" i="1" s="1"/>
  <c r="I1798" i="1" a="1"/>
  <c r="I1798" i="1" s="1"/>
  <c r="I1799" i="1" a="1"/>
  <c r="I1799" i="1" s="1"/>
  <c r="J1799" i="1" a="1"/>
  <c r="J1799" i="1" s="1"/>
  <c r="I1800" i="1" a="1"/>
  <c r="I1800" i="1" s="1"/>
  <c r="J1800" i="1" a="1"/>
  <c r="J1800" i="1" s="1"/>
  <c r="I1801" i="1" a="1"/>
  <c r="I1801" i="1" s="1"/>
  <c r="J1801" i="1" a="1"/>
  <c r="J1801" i="1" s="1"/>
  <c r="I1802" i="1" a="1"/>
  <c r="I1802" i="1" s="1"/>
  <c r="J1802" i="1" a="1"/>
  <c r="J1802" i="1" s="1"/>
  <c r="I1803" i="1" a="1"/>
  <c r="I1803" i="1" s="1"/>
  <c r="J1803" i="1" a="1"/>
  <c r="J1803" i="1" s="1"/>
  <c r="I1804" i="1" a="1"/>
  <c r="I1804" i="1" s="1"/>
  <c r="J1804" i="1" a="1"/>
  <c r="J1804" i="1" s="1"/>
  <c r="I1805" i="1" a="1"/>
  <c r="I1805" i="1" s="1"/>
  <c r="J1805" i="1" a="1"/>
  <c r="J1805" i="1" s="1"/>
  <c r="I1806" i="1" a="1"/>
  <c r="I1806" i="1" s="1"/>
  <c r="I1807" i="1" a="1"/>
  <c r="I1807" i="1" s="1"/>
  <c r="J1807" i="1" a="1"/>
  <c r="J1807" i="1" s="1"/>
  <c r="I1808" i="1" a="1"/>
  <c r="I1808" i="1" s="1"/>
  <c r="J1808" i="1" a="1"/>
  <c r="J1808" i="1" s="1"/>
  <c r="I1809" i="1" a="1"/>
  <c r="I1809" i="1" s="1"/>
  <c r="J1809" i="1" a="1"/>
  <c r="J1809" i="1" s="1"/>
  <c r="I1810" i="1" a="1"/>
  <c r="I1810" i="1" s="1"/>
  <c r="J1810" i="1" a="1"/>
  <c r="J1810" i="1" s="1"/>
  <c r="I1811" i="1" a="1"/>
  <c r="I1811" i="1" s="1"/>
  <c r="J1811" i="1" a="1"/>
  <c r="J1811" i="1" s="1"/>
  <c r="I1812" i="1" a="1"/>
  <c r="I1812" i="1" s="1"/>
  <c r="J1812" i="1" a="1"/>
  <c r="J1812" i="1" s="1"/>
  <c r="I1813" i="1" a="1"/>
  <c r="I1813" i="1" s="1"/>
  <c r="J1813" i="1" a="1"/>
  <c r="J1813" i="1" s="1"/>
  <c r="I1814" i="1" a="1"/>
  <c r="I1814" i="1" s="1"/>
  <c r="I1815" i="1" a="1"/>
  <c r="I1815" i="1" s="1"/>
  <c r="J1815" i="1" a="1"/>
  <c r="J1815" i="1" s="1"/>
  <c r="I1816" i="1" a="1"/>
  <c r="I1816" i="1" s="1"/>
  <c r="J1816" i="1" a="1"/>
  <c r="J1816" i="1" s="1"/>
  <c r="I1817" i="1" a="1"/>
  <c r="I1817" i="1" s="1"/>
  <c r="J1817" i="1" a="1"/>
  <c r="J1817" i="1" s="1"/>
  <c r="I1818" i="1" a="1"/>
  <c r="I1818" i="1" s="1"/>
  <c r="J1818" i="1" a="1"/>
  <c r="J1818" i="1" s="1"/>
  <c r="I1819" i="1" a="1"/>
  <c r="I1819" i="1" s="1"/>
  <c r="J1819" i="1" a="1"/>
  <c r="J1819" i="1" s="1"/>
  <c r="I1820" i="1" a="1"/>
  <c r="I1820" i="1" s="1"/>
  <c r="J1820" i="1" a="1"/>
  <c r="J1820" i="1" s="1"/>
  <c r="I1821" i="1" a="1"/>
  <c r="I1821" i="1" s="1"/>
  <c r="J1821" i="1" a="1"/>
  <c r="J1821" i="1" s="1"/>
  <c r="I1822" i="1" a="1"/>
  <c r="I1822" i="1" s="1"/>
  <c r="I1823" i="1" a="1"/>
  <c r="I1823" i="1" s="1"/>
  <c r="J1823" i="1" a="1"/>
  <c r="J1823" i="1" s="1"/>
  <c r="I1824" i="1" a="1"/>
  <c r="I1824" i="1" s="1"/>
  <c r="J1824" i="1" a="1"/>
  <c r="J1824" i="1" s="1"/>
  <c r="I1825" i="1" a="1"/>
  <c r="I1825" i="1" s="1"/>
  <c r="J1825" i="1" a="1"/>
  <c r="J1825" i="1" s="1"/>
  <c r="I1826" i="1" a="1"/>
  <c r="I1826" i="1" s="1"/>
  <c r="J1826" i="1" a="1"/>
  <c r="J1826" i="1" s="1"/>
  <c r="I1827" i="1" a="1"/>
  <c r="I1827" i="1" s="1"/>
  <c r="J1827" i="1" a="1"/>
  <c r="J1827" i="1" s="1"/>
  <c r="I1828" i="1" a="1"/>
  <c r="I1828" i="1" s="1"/>
  <c r="J1828" i="1" a="1"/>
  <c r="J1828" i="1" s="1"/>
  <c r="I1829" i="1" a="1"/>
  <c r="I1829" i="1" s="1"/>
  <c r="J1829" i="1" a="1"/>
  <c r="J1829" i="1" s="1"/>
  <c r="I1830" i="1" a="1"/>
  <c r="I1830" i="1" s="1"/>
  <c r="I1831" i="1" a="1"/>
  <c r="I1831" i="1" s="1"/>
  <c r="J1831" i="1" a="1"/>
  <c r="J1831" i="1" s="1"/>
  <c r="I1832" i="1" a="1"/>
  <c r="I1832" i="1" s="1"/>
  <c r="J1832" i="1" a="1"/>
  <c r="J1832" i="1" s="1"/>
  <c r="I1833" i="1" a="1"/>
  <c r="I1833" i="1" s="1"/>
  <c r="J1833" i="1" a="1"/>
  <c r="J1833" i="1" s="1"/>
  <c r="I1834" i="1" a="1"/>
  <c r="I1834" i="1" s="1"/>
  <c r="J1834" i="1" a="1"/>
  <c r="J1834" i="1" s="1"/>
  <c r="I1835" i="1" a="1"/>
  <c r="I1835" i="1" s="1"/>
  <c r="J1835" i="1" a="1"/>
  <c r="J1835" i="1" s="1"/>
  <c r="I1836" i="1" a="1"/>
  <c r="I1836" i="1" s="1"/>
  <c r="J1836" i="1" a="1"/>
  <c r="J1836" i="1" s="1"/>
  <c r="I1837" i="1" a="1"/>
  <c r="I1837" i="1" s="1"/>
  <c r="J1837" i="1" a="1"/>
  <c r="J1837" i="1" s="1"/>
  <c r="I1838" i="1" a="1"/>
  <c r="I1838" i="1" s="1"/>
  <c r="I1839" i="1" a="1"/>
  <c r="I1839" i="1" s="1"/>
  <c r="J1839" i="1" a="1"/>
  <c r="J1839" i="1" s="1"/>
  <c r="I1840" i="1" a="1"/>
  <c r="I1840" i="1" s="1"/>
  <c r="J1840" i="1" a="1"/>
  <c r="J1840" i="1" s="1"/>
  <c r="I1841" i="1" a="1"/>
  <c r="I1841" i="1" s="1"/>
  <c r="J1841" i="1" a="1"/>
  <c r="J1841" i="1" s="1"/>
  <c r="I1842" i="1" a="1"/>
  <c r="I1842" i="1" s="1"/>
  <c r="J1842" i="1" a="1"/>
  <c r="J1842" i="1" s="1"/>
  <c r="I1843" i="1" a="1"/>
  <c r="I1843" i="1" s="1"/>
  <c r="J1843" i="1" a="1"/>
  <c r="J1843" i="1" s="1"/>
  <c r="I1844" i="1" a="1"/>
  <c r="I1844" i="1" s="1"/>
  <c r="J1844" i="1" a="1"/>
  <c r="J1844" i="1" s="1"/>
  <c r="I1845" i="1" a="1"/>
  <c r="I1845" i="1" s="1"/>
  <c r="J1845" i="1" a="1"/>
  <c r="J1845" i="1" s="1"/>
  <c r="I1846" i="1" a="1"/>
  <c r="I1846" i="1" s="1"/>
  <c r="I1847" i="1" a="1"/>
  <c r="I1847" i="1" s="1"/>
  <c r="J1847" i="1" a="1"/>
  <c r="J1847" i="1" s="1"/>
  <c r="I1848" i="1" a="1"/>
  <c r="I1848" i="1" s="1"/>
  <c r="J1848" i="1" a="1"/>
  <c r="J1848" i="1" s="1"/>
  <c r="I1849" i="1" a="1"/>
  <c r="I1849" i="1" s="1"/>
  <c r="J1849" i="1" a="1"/>
  <c r="J1849" i="1" s="1"/>
  <c r="I1850" i="1" a="1"/>
  <c r="I1850" i="1" s="1"/>
  <c r="J1850" i="1" a="1"/>
  <c r="J1850" i="1" s="1"/>
  <c r="I1851" i="1" a="1"/>
  <c r="I1851" i="1" s="1"/>
  <c r="J1851" i="1" a="1"/>
  <c r="J1851" i="1" s="1"/>
  <c r="I1852" i="1" a="1"/>
  <c r="I1852" i="1" s="1"/>
  <c r="J1852" i="1" a="1"/>
  <c r="J1852" i="1" s="1"/>
  <c r="I1853" i="1" a="1"/>
  <c r="I1853" i="1" s="1"/>
  <c r="J1853" i="1" a="1"/>
  <c r="J1853" i="1" s="1"/>
  <c r="I1854" i="1" a="1"/>
  <c r="I1854" i="1" s="1"/>
  <c r="I1855" i="1" a="1"/>
  <c r="I1855" i="1" s="1"/>
  <c r="J1855" i="1" a="1"/>
  <c r="J1855" i="1" s="1"/>
  <c r="I1856" i="1" a="1"/>
  <c r="I1856" i="1" s="1"/>
  <c r="J1856" i="1" a="1"/>
  <c r="J1856" i="1" s="1"/>
  <c r="I1857" i="1" a="1"/>
  <c r="I1857" i="1" s="1"/>
  <c r="J1857" i="1" a="1"/>
  <c r="J1857" i="1" s="1"/>
  <c r="I1858" i="1" a="1"/>
  <c r="I1858" i="1" s="1"/>
  <c r="J1858" i="1" a="1"/>
  <c r="J1858" i="1" s="1"/>
  <c r="I1859" i="1" a="1"/>
  <c r="I1859" i="1" s="1"/>
  <c r="J1859" i="1" a="1"/>
  <c r="J1859" i="1" s="1"/>
  <c r="I1860" i="1" a="1"/>
  <c r="I1860" i="1" s="1"/>
  <c r="J1860" i="1" a="1"/>
  <c r="J1860" i="1" s="1"/>
  <c r="I1861" i="1" a="1"/>
  <c r="I1861" i="1" s="1"/>
  <c r="J1861" i="1" a="1"/>
  <c r="J1861" i="1" s="1"/>
  <c r="I1862" i="1" a="1"/>
  <c r="I1862" i="1" s="1"/>
  <c r="I1863" i="1" a="1"/>
  <c r="I1863" i="1" s="1"/>
  <c r="J1863" i="1" a="1"/>
  <c r="J1863" i="1" s="1"/>
  <c r="I1864" i="1" a="1"/>
  <c r="I1864" i="1" s="1"/>
  <c r="J1864" i="1" a="1"/>
  <c r="J1864" i="1" s="1"/>
  <c r="I1865" i="1" a="1"/>
  <c r="I1865" i="1" s="1"/>
  <c r="J1865" i="1" a="1"/>
  <c r="J1865" i="1" s="1"/>
  <c r="I1866" i="1" a="1"/>
  <c r="I1866" i="1" s="1"/>
  <c r="J1866" i="1" a="1"/>
  <c r="J1866" i="1" s="1"/>
  <c r="I1867" i="1" a="1"/>
  <c r="I1867" i="1" s="1"/>
  <c r="J1867" i="1" a="1"/>
  <c r="J1867" i="1" s="1"/>
  <c r="I1868" i="1" a="1"/>
  <c r="I1868" i="1" s="1"/>
  <c r="J1868" i="1" a="1"/>
  <c r="J1868" i="1" s="1"/>
  <c r="I1869" i="1" a="1"/>
  <c r="I1869" i="1" s="1"/>
  <c r="J1869" i="1" a="1"/>
  <c r="J1869" i="1" s="1"/>
  <c r="I1870" i="1" a="1"/>
  <c r="I1870" i="1" s="1"/>
  <c r="I1871" i="1" a="1"/>
  <c r="I1871" i="1" s="1"/>
  <c r="J1871" i="1" a="1"/>
  <c r="J1871" i="1" s="1"/>
  <c r="I1872" i="1" a="1"/>
  <c r="I1872" i="1" s="1"/>
  <c r="J1872" i="1" a="1"/>
  <c r="J1872" i="1" s="1"/>
  <c r="I1873" i="1" a="1"/>
  <c r="I1873" i="1" s="1"/>
  <c r="J1873" i="1" a="1"/>
  <c r="J1873" i="1" s="1"/>
  <c r="I1874" i="1" a="1"/>
  <c r="I1874" i="1" s="1"/>
  <c r="J1874" i="1" a="1"/>
  <c r="J1874" i="1" s="1"/>
  <c r="I1875" i="1" a="1"/>
  <c r="I1875" i="1" s="1"/>
  <c r="J1875" i="1" a="1"/>
  <c r="J1875" i="1" s="1"/>
  <c r="I1876" i="1" a="1"/>
  <c r="I1876" i="1" s="1"/>
  <c r="J1876" i="1" a="1"/>
  <c r="J1876" i="1" s="1"/>
  <c r="I1877" i="1" a="1"/>
  <c r="I1877" i="1" s="1"/>
  <c r="J1877" i="1" a="1"/>
  <c r="J1877" i="1" s="1"/>
  <c r="I1878" i="1" a="1"/>
  <c r="I1878" i="1" s="1"/>
  <c r="I1879" i="1" a="1"/>
  <c r="I1879" i="1" s="1"/>
  <c r="J1879" i="1" a="1"/>
  <c r="J1879" i="1" s="1"/>
  <c r="I1880" i="1" a="1"/>
  <c r="I1880" i="1" s="1"/>
  <c r="J1880" i="1" a="1"/>
  <c r="J1880" i="1" s="1"/>
  <c r="I1881" i="1" a="1"/>
  <c r="I1881" i="1" s="1"/>
  <c r="J1881" i="1" a="1"/>
  <c r="J1881" i="1" s="1"/>
  <c r="I1882" i="1" a="1"/>
  <c r="I1882" i="1" s="1"/>
  <c r="J1882" i="1" a="1"/>
  <c r="J1882" i="1" s="1"/>
  <c r="I1883" i="1" a="1"/>
  <c r="I1883" i="1" s="1"/>
  <c r="J1883" i="1" a="1"/>
  <c r="J1883" i="1" s="1"/>
  <c r="I1884" i="1" a="1"/>
  <c r="I1884" i="1" s="1"/>
  <c r="J1884" i="1" a="1"/>
  <c r="J1884" i="1" s="1"/>
  <c r="I1885" i="1" a="1"/>
  <c r="I1885" i="1" s="1"/>
  <c r="J1885" i="1" a="1"/>
  <c r="J1885" i="1" s="1"/>
  <c r="I1886" i="1" a="1"/>
  <c r="I1886" i="1" s="1"/>
  <c r="I1887" i="1" a="1"/>
  <c r="I1887" i="1" s="1"/>
  <c r="J1887" i="1" a="1"/>
  <c r="J1887" i="1" s="1"/>
  <c r="I1888" i="1" a="1"/>
  <c r="I1888" i="1" s="1"/>
  <c r="J1888" i="1" a="1"/>
  <c r="J1888" i="1" s="1"/>
  <c r="I1889" i="1" a="1"/>
  <c r="I1889" i="1" s="1"/>
  <c r="J1889" i="1" a="1"/>
  <c r="J1889" i="1" s="1"/>
  <c r="I1890" i="1" a="1"/>
  <c r="I1890" i="1" s="1"/>
  <c r="J1890" i="1" a="1"/>
  <c r="J1890" i="1" s="1"/>
  <c r="I1891" i="1" a="1"/>
  <c r="I1891" i="1" s="1"/>
  <c r="J1891" i="1" a="1"/>
  <c r="J1891" i="1" s="1"/>
  <c r="I1892" i="1" a="1"/>
  <c r="I1892" i="1" s="1"/>
  <c r="J1892" i="1" a="1"/>
  <c r="J1892" i="1" s="1"/>
  <c r="I1893" i="1" a="1"/>
  <c r="I1893" i="1" s="1"/>
  <c r="J1893" i="1" a="1"/>
  <c r="J1893" i="1" s="1"/>
  <c r="I1894" i="1" a="1"/>
  <c r="I1894" i="1" s="1"/>
  <c r="I1895" i="1" a="1"/>
  <c r="I1895" i="1" s="1"/>
  <c r="J1895" i="1" a="1"/>
  <c r="J1895" i="1" s="1"/>
  <c r="I1896" i="1" a="1"/>
  <c r="I1896" i="1" s="1"/>
  <c r="J1896" i="1" a="1"/>
  <c r="J1896" i="1" s="1"/>
  <c r="I1897" i="1" a="1"/>
  <c r="I1897" i="1" s="1"/>
  <c r="J1897" i="1" a="1"/>
  <c r="J1897" i="1" s="1"/>
  <c r="I1898" i="1" a="1"/>
  <c r="I1898" i="1" s="1"/>
  <c r="J1898" i="1" a="1"/>
  <c r="J1898" i="1" s="1"/>
  <c r="I1899" i="1" a="1"/>
  <c r="I1899" i="1" s="1"/>
  <c r="J1899" i="1" a="1"/>
  <c r="J1899" i="1" s="1"/>
  <c r="I1900" i="1" a="1"/>
  <c r="I1900" i="1" s="1"/>
  <c r="J1900" i="1" a="1"/>
  <c r="J1900" i="1" s="1"/>
  <c r="I1901" i="1" a="1"/>
  <c r="I1901" i="1" s="1"/>
  <c r="J1901" i="1" a="1"/>
  <c r="J1901" i="1" s="1"/>
  <c r="I1902" i="1" a="1"/>
  <c r="I1902" i="1" s="1"/>
  <c r="I1903" i="1" a="1"/>
  <c r="I1903" i="1" s="1"/>
  <c r="J1903" i="1" a="1"/>
  <c r="J1903" i="1" s="1"/>
  <c r="I1904" i="1" a="1"/>
  <c r="I1904" i="1" s="1"/>
  <c r="J1904" i="1" a="1"/>
  <c r="J1904" i="1" s="1"/>
  <c r="I1905" i="1" a="1"/>
  <c r="I1905" i="1" s="1"/>
  <c r="J1905" i="1" a="1"/>
  <c r="J1905" i="1" s="1"/>
  <c r="I1906" i="1" a="1"/>
  <c r="I1906" i="1" s="1"/>
  <c r="J1906" i="1" a="1"/>
  <c r="J1906" i="1" s="1"/>
  <c r="I1907" i="1" a="1"/>
  <c r="I1907" i="1" s="1"/>
  <c r="J1907" i="1" a="1"/>
  <c r="J1907" i="1" s="1"/>
  <c r="I1908" i="1" a="1"/>
  <c r="I1908" i="1" s="1"/>
  <c r="J1908" i="1" a="1"/>
  <c r="J1908" i="1" s="1"/>
  <c r="I1909" i="1" a="1"/>
  <c r="I1909" i="1" s="1"/>
  <c r="J1909" i="1" a="1"/>
  <c r="J1909" i="1" s="1"/>
  <c r="I1910" i="1" a="1"/>
  <c r="I1910" i="1" s="1"/>
  <c r="I1911" i="1" a="1"/>
  <c r="I1911" i="1" s="1"/>
  <c r="J1911" i="1" a="1"/>
  <c r="J1911" i="1" s="1"/>
  <c r="I1912" i="1" a="1"/>
  <c r="I1912" i="1" s="1"/>
  <c r="J1912" i="1" a="1"/>
  <c r="J1912" i="1" s="1"/>
  <c r="I1913" i="1" a="1"/>
  <c r="I1913" i="1" s="1"/>
  <c r="J1913" i="1" a="1"/>
  <c r="J1913" i="1" s="1"/>
  <c r="I1914" i="1" a="1"/>
  <c r="I1914" i="1" s="1"/>
  <c r="J1914" i="1" a="1"/>
  <c r="J1914" i="1" s="1"/>
  <c r="I1915" i="1" a="1"/>
  <c r="I1915" i="1" s="1"/>
  <c r="J1915" i="1" a="1"/>
  <c r="J1915" i="1" s="1"/>
  <c r="I1916" i="1" a="1"/>
  <c r="I1916" i="1" s="1"/>
  <c r="J1916" i="1" a="1"/>
  <c r="J1916" i="1" s="1"/>
  <c r="I1917" i="1" a="1"/>
  <c r="I1917" i="1" s="1"/>
  <c r="J1917" i="1" a="1"/>
  <c r="J1917" i="1" s="1"/>
  <c r="I1918" i="1" a="1"/>
  <c r="I1918" i="1" s="1"/>
  <c r="I1919" i="1" a="1"/>
  <c r="I1919" i="1" s="1"/>
  <c r="J1919" i="1" a="1"/>
  <c r="J1919" i="1" s="1"/>
  <c r="I1920" i="1" a="1"/>
  <c r="I1920" i="1" s="1"/>
  <c r="J1920" i="1" a="1"/>
  <c r="J1920" i="1" s="1"/>
  <c r="I1921" i="1" a="1"/>
  <c r="I1921" i="1" s="1"/>
  <c r="J1921" i="1" a="1"/>
  <c r="J1921" i="1" s="1"/>
  <c r="I1922" i="1" a="1"/>
  <c r="I1922" i="1" s="1"/>
  <c r="J1922" i="1" a="1"/>
  <c r="J1922" i="1" s="1"/>
  <c r="I1923" i="1" a="1"/>
  <c r="I1923" i="1" s="1"/>
  <c r="J1923" i="1" a="1"/>
  <c r="J1923" i="1" s="1"/>
  <c r="I1924" i="1" a="1"/>
  <c r="I1924" i="1" s="1"/>
  <c r="J1924" i="1" a="1"/>
  <c r="J1924" i="1" s="1"/>
  <c r="I1925" i="1" a="1"/>
  <c r="I1925" i="1" s="1"/>
  <c r="J1925" i="1" a="1"/>
  <c r="J1925" i="1" s="1"/>
  <c r="I1926" i="1" a="1"/>
  <c r="I1926" i="1" s="1"/>
  <c r="I1927" i="1" a="1"/>
  <c r="I1927" i="1" s="1"/>
  <c r="J1927" i="1" a="1"/>
  <c r="J1927" i="1" s="1"/>
  <c r="I1928" i="1" a="1"/>
  <c r="I1928" i="1" s="1"/>
  <c r="J1928" i="1" a="1"/>
  <c r="J1928" i="1" s="1"/>
  <c r="I1929" i="1" a="1"/>
  <c r="I1929" i="1" s="1"/>
  <c r="J1929" i="1" a="1"/>
  <c r="J1929" i="1" s="1"/>
  <c r="I1930" i="1" a="1"/>
  <c r="I1930" i="1" s="1"/>
  <c r="J1930" i="1" a="1"/>
  <c r="J1930" i="1" s="1"/>
  <c r="I1931" i="1" a="1"/>
  <c r="I1931" i="1" s="1"/>
  <c r="J1931" i="1" a="1"/>
  <c r="J1931" i="1" s="1"/>
  <c r="I1932" i="1" a="1"/>
  <c r="I1932" i="1" s="1"/>
  <c r="J1932" i="1" a="1"/>
  <c r="J1932" i="1" s="1"/>
  <c r="I1933" i="1" a="1"/>
  <c r="I1933" i="1" s="1"/>
  <c r="J1933" i="1" a="1"/>
  <c r="J1933" i="1" s="1"/>
  <c r="I1934" i="1" a="1"/>
  <c r="I1934" i="1" s="1"/>
  <c r="I1935" i="1" a="1"/>
  <c r="I1935" i="1" s="1"/>
  <c r="J1935" i="1" a="1"/>
  <c r="J1935" i="1" s="1"/>
  <c r="I1936" i="1" a="1"/>
  <c r="I1936" i="1" s="1"/>
  <c r="J1936" i="1" a="1"/>
  <c r="J1936" i="1" s="1"/>
  <c r="I1937" i="1" a="1"/>
  <c r="I1937" i="1" s="1"/>
  <c r="J1937" i="1" a="1"/>
  <c r="J1937" i="1" s="1"/>
  <c r="I1938" i="1" a="1"/>
  <c r="I1938" i="1" s="1"/>
  <c r="J1938" i="1" a="1"/>
  <c r="J1938" i="1" s="1"/>
  <c r="I1939" i="1" a="1"/>
  <c r="I1939" i="1" s="1"/>
  <c r="J1939" i="1" a="1"/>
  <c r="J1939" i="1" s="1"/>
  <c r="I1940" i="1" a="1"/>
  <c r="I1940" i="1" s="1"/>
  <c r="J1940" i="1" a="1"/>
  <c r="J1940" i="1" s="1"/>
  <c r="I1941" i="1" a="1"/>
  <c r="I1941" i="1" s="1"/>
  <c r="J1941" i="1" a="1"/>
  <c r="J1941" i="1" s="1"/>
  <c r="I1942" i="1" a="1"/>
  <c r="I1942" i="1" s="1"/>
  <c r="I1943" i="1" a="1"/>
  <c r="I1943" i="1" s="1"/>
  <c r="J1943" i="1" a="1"/>
  <c r="J1943" i="1" s="1"/>
  <c r="I1944" i="1" a="1"/>
  <c r="I1944" i="1" s="1"/>
  <c r="J1944" i="1" a="1"/>
  <c r="J1944" i="1" s="1"/>
  <c r="I1945" i="1" a="1"/>
  <c r="I1945" i="1" s="1"/>
  <c r="J1945" i="1" a="1"/>
  <c r="J1945" i="1" s="1"/>
  <c r="I1946" i="1" a="1"/>
  <c r="I1946" i="1" s="1"/>
  <c r="J1946" i="1" a="1"/>
  <c r="J1946" i="1" s="1"/>
  <c r="I1947" i="1" a="1"/>
  <c r="I1947" i="1" s="1"/>
  <c r="J1947" i="1" a="1"/>
  <c r="J1947" i="1" s="1"/>
  <c r="I1948" i="1" a="1"/>
  <c r="I1948" i="1" s="1"/>
  <c r="J1948" i="1" a="1"/>
  <c r="J1948" i="1" s="1"/>
  <c r="I1949" i="1" a="1"/>
  <c r="I1949" i="1" s="1"/>
  <c r="J1949" i="1" a="1"/>
  <c r="J1949" i="1" s="1"/>
  <c r="I1950" i="1" a="1"/>
  <c r="I1950" i="1" s="1"/>
  <c r="I1951" i="1" a="1"/>
  <c r="I1951" i="1" s="1"/>
  <c r="J1951" i="1" a="1"/>
  <c r="J1951" i="1" s="1"/>
  <c r="I1952" i="1" a="1"/>
  <c r="I1952" i="1" s="1"/>
  <c r="J1952" i="1" a="1"/>
  <c r="J1952" i="1" s="1"/>
  <c r="I1953" i="1" a="1"/>
  <c r="I1953" i="1" s="1"/>
  <c r="J1953" i="1" a="1"/>
  <c r="J1953" i="1" s="1"/>
  <c r="I1954" i="1" a="1"/>
  <c r="I1954" i="1" s="1"/>
  <c r="J1954" i="1" a="1"/>
  <c r="J1954" i="1" s="1"/>
  <c r="I1955" i="1" a="1"/>
  <c r="I1955" i="1" s="1"/>
  <c r="J1955" i="1" a="1"/>
  <c r="J1955" i="1" s="1"/>
  <c r="I1956" i="1" a="1"/>
  <c r="I1956" i="1" s="1"/>
  <c r="J1956" i="1" a="1"/>
  <c r="J1956" i="1" s="1"/>
  <c r="I1957" i="1" a="1"/>
  <c r="I1957" i="1" s="1"/>
  <c r="J1957" i="1" a="1"/>
  <c r="J1957" i="1" s="1"/>
  <c r="I1958" i="1" a="1"/>
  <c r="I1958" i="1" s="1"/>
  <c r="I1959" i="1" a="1"/>
  <c r="I1959" i="1" s="1"/>
  <c r="J1959" i="1" a="1"/>
  <c r="J1959" i="1" s="1"/>
  <c r="I1960" i="1" a="1"/>
  <c r="I1960" i="1" s="1"/>
  <c r="J1960" i="1" a="1"/>
  <c r="J1960" i="1" s="1"/>
  <c r="I1961" i="1" a="1"/>
  <c r="I1961" i="1" s="1"/>
  <c r="J1961" i="1" a="1"/>
  <c r="J1961" i="1" s="1"/>
  <c r="I1962" i="1" a="1"/>
  <c r="I1962" i="1" s="1"/>
  <c r="J1962" i="1" a="1"/>
  <c r="J1962" i="1" s="1"/>
  <c r="I1963" i="1" a="1"/>
  <c r="I1963" i="1" s="1"/>
  <c r="J1963" i="1" a="1"/>
  <c r="J1963" i="1" s="1"/>
  <c r="I1964" i="1" a="1"/>
  <c r="I1964" i="1" s="1"/>
  <c r="J1964" i="1" a="1"/>
  <c r="J1964" i="1" s="1"/>
  <c r="I1965" i="1" a="1"/>
  <c r="I1965" i="1" s="1"/>
  <c r="J1965" i="1" a="1"/>
  <c r="J1965" i="1" s="1"/>
  <c r="I1966" i="1" a="1"/>
  <c r="I1966" i="1" s="1"/>
  <c r="I1967" i="1" a="1"/>
  <c r="I1967" i="1" s="1"/>
  <c r="J1967" i="1" a="1"/>
  <c r="J1967" i="1" s="1"/>
  <c r="I1968" i="1" a="1"/>
  <c r="I1968" i="1" s="1"/>
  <c r="J1968" i="1" a="1"/>
  <c r="J1968" i="1" s="1"/>
  <c r="I1969" i="1" a="1"/>
  <c r="I1969" i="1" s="1"/>
  <c r="J1969" i="1" a="1"/>
  <c r="J1969" i="1" s="1"/>
  <c r="I1970" i="1" a="1"/>
  <c r="I1970" i="1" s="1"/>
  <c r="J1970" i="1" a="1"/>
  <c r="J1970" i="1" s="1"/>
  <c r="I1971" i="1" a="1"/>
  <c r="I1971" i="1" s="1"/>
  <c r="J1971" i="1" a="1"/>
  <c r="J1971" i="1" s="1"/>
  <c r="I1972" i="1" a="1"/>
  <c r="I1972" i="1" s="1"/>
  <c r="J1972" i="1" a="1"/>
  <c r="J1972" i="1" s="1"/>
  <c r="I1973" i="1" a="1"/>
  <c r="I1973" i="1" s="1"/>
  <c r="J1973" i="1" a="1"/>
  <c r="J1973" i="1" s="1"/>
  <c r="I1974" i="1" a="1"/>
  <c r="I1974" i="1" s="1"/>
  <c r="I1975" i="1" a="1"/>
  <c r="I1975" i="1" s="1"/>
  <c r="J1975" i="1" a="1"/>
  <c r="J1975" i="1" s="1"/>
  <c r="I1976" i="1" a="1"/>
  <c r="I1976" i="1" s="1"/>
  <c r="J1976" i="1" a="1"/>
  <c r="J1976" i="1" s="1"/>
  <c r="I1977" i="1" a="1"/>
  <c r="I1977" i="1" s="1"/>
  <c r="J1977" i="1" a="1"/>
  <c r="J1977" i="1" s="1"/>
  <c r="I1978" i="1" a="1"/>
  <c r="I1978" i="1" s="1"/>
  <c r="J1978" i="1" a="1"/>
  <c r="J1978" i="1" s="1"/>
  <c r="I1979" i="1" a="1"/>
  <c r="I1979" i="1" s="1"/>
  <c r="J1979" i="1" a="1"/>
  <c r="J1979" i="1" s="1"/>
  <c r="I1980" i="1" a="1"/>
  <c r="I1980" i="1" s="1"/>
  <c r="J1980" i="1" a="1"/>
  <c r="J1980" i="1" s="1"/>
  <c r="I1981" i="1" a="1"/>
  <c r="I1981" i="1" s="1"/>
  <c r="J1981" i="1" a="1"/>
  <c r="J1981" i="1" s="1"/>
  <c r="I1982" i="1" a="1"/>
  <c r="I1982" i="1" s="1"/>
  <c r="J1982" i="1" a="1"/>
  <c r="J1982" i="1" s="1"/>
  <c r="I1983" i="1" a="1"/>
  <c r="I1983" i="1" s="1"/>
  <c r="I1984" i="1" a="1"/>
  <c r="I1984" i="1" s="1"/>
  <c r="J1984" i="1" a="1"/>
  <c r="J1984" i="1" s="1"/>
  <c r="I1985" i="1" a="1"/>
  <c r="I1985" i="1" s="1"/>
  <c r="J1985" i="1" a="1"/>
  <c r="J1985" i="1" s="1"/>
  <c r="I1986" i="1" a="1"/>
  <c r="I1986" i="1" s="1"/>
  <c r="I1987" i="1" a="1"/>
  <c r="I1987" i="1" s="1"/>
  <c r="J1987" i="1" a="1"/>
  <c r="J1987" i="1" s="1"/>
  <c r="I1988" i="1" a="1"/>
  <c r="I1988" i="1" s="1"/>
  <c r="J1988" i="1" a="1"/>
  <c r="J1988" i="1" s="1"/>
  <c r="I1989" i="1" a="1"/>
  <c r="I1989" i="1" s="1"/>
  <c r="I1990" i="1" a="1"/>
  <c r="I1990" i="1" s="1"/>
  <c r="J1990" i="1" a="1"/>
  <c r="J1990" i="1" s="1"/>
  <c r="I1991" i="1" a="1"/>
  <c r="I1991" i="1" s="1"/>
  <c r="J1991" i="1" a="1"/>
  <c r="J1991" i="1" s="1"/>
  <c r="I1992" i="1" a="1"/>
  <c r="I1992" i="1" s="1"/>
  <c r="I1993" i="1" a="1"/>
  <c r="I1993" i="1" s="1"/>
  <c r="J1993" i="1" a="1"/>
  <c r="J1993" i="1" s="1"/>
  <c r="I1994" i="1" a="1"/>
  <c r="I1994" i="1" s="1"/>
  <c r="J1994" i="1" a="1"/>
  <c r="J1994" i="1" s="1"/>
  <c r="I1995" i="1" a="1"/>
  <c r="I1995" i="1" s="1"/>
  <c r="J1995" i="1" a="1"/>
  <c r="J1995" i="1" s="1"/>
  <c r="I1996" i="1" a="1"/>
  <c r="I1996" i="1" s="1"/>
  <c r="J1996" i="1" a="1"/>
  <c r="J1996" i="1" s="1"/>
  <c r="I1997" i="1" a="1"/>
  <c r="I1997" i="1" s="1"/>
  <c r="J1997" i="1" a="1"/>
  <c r="J1997" i="1" s="1"/>
  <c r="I1998" i="1" a="1"/>
  <c r="I1998" i="1" s="1"/>
  <c r="J1998" i="1" a="1"/>
  <c r="J1998" i="1" s="1"/>
  <c r="I1999" i="1" a="1"/>
  <c r="I1999" i="1" s="1"/>
  <c r="I2000" i="1" a="1"/>
  <c r="I2000" i="1" s="1"/>
  <c r="J2000" i="1" a="1"/>
  <c r="J2000" i="1" s="1"/>
  <c r="I2001" i="1" a="1"/>
  <c r="I2001" i="1" s="1"/>
  <c r="J2001" i="1" a="1"/>
  <c r="J2001" i="1" s="1"/>
  <c r="I2002" i="1" a="1"/>
  <c r="I2002" i="1" s="1"/>
  <c r="I2003" i="1" a="1"/>
  <c r="I2003" i="1" s="1"/>
  <c r="J2003" i="1" a="1"/>
  <c r="J2003" i="1" s="1"/>
  <c r="I2004" i="1" a="1"/>
  <c r="I2004" i="1" s="1"/>
  <c r="I2005" i="1" a="1"/>
  <c r="I2005" i="1" s="1"/>
  <c r="J2005" i="1" a="1"/>
  <c r="J2005" i="1" s="1"/>
  <c r="I2006" i="1" a="1"/>
  <c r="I2006" i="1" s="1"/>
  <c r="J2006" i="1" a="1"/>
  <c r="J2006" i="1" s="1"/>
  <c r="I2007" i="1" a="1"/>
  <c r="I2007" i="1" s="1"/>
  <c r="I2008" i="1" a="1"/>
  <c r="I2008" i="1" s="1"/>
  <c r="J2008" i="1" a="1"/>
  <c r="J2008" i="1" s="1"/>
  <c r="I2009" i="1" a="1"/>
  <c r="I2009" i="1" s="1"/>
  <c r="J2009" i="1" a="1"/>
  <c r="J2009" i="1" s="1"/>
  <c r="I2010" i="1" a="1"/>
  <c r="I2010" i="1" s="1"/>
  <c r="I2011" i="1" a="1"/>
  <c r="I2011" i="1" s="1"/>
  <c r="J2011" i="1" a="1"/>
  <c r="J2011" i="1" s="1"/>
  <c r="I2012" i="1" a="1"/>
  <c r="I2012" i="1" s="1"/>
  <c r="I2013" i="1" a="1"/>
  <c r="I2013" i="1" s="1"/>
  <c r="J2013" i="1" a="1"/>
  <c r="J2013" i="1" s="1"/>
  <c r="I2014" i="1" a="1"/>
  <c r="I2014" i="1" s="1"/>
  <c r="J2014" i="1" a="1"/>
  <c r="J2014" i="1" s="1"/>
  <c r="I2015" i="1" a="1"/>
  <c r="I2015" i="1" s="1"/>
  <c r="I2016" i="1" a="1"/>
  <c r="I2016" i="1" s="1"/>
  <c r="J2016" i="1" a="1"/>
  <c r="J2016" i="1" s="1"/>
  <c r="I2017" i="1" a="1"/>
  <c r="I2017" i="1" s="1"/>
  <c r="J2017" i="1" a="1"/>
  <c r="J2017" i="1" s="1"/>
  <c r="I2018" i="1" a="1"/>
  <c r="I2018" i="1" s="1"/>
  <c r="I2019" i="1" a="1"/>
  <c r="I2019" i="1" s="1"/>
  <c r="J2019" i="1" a="1"/>
  <c r="J2019" i="1" s="1"/>
  <c r="I2020" i="1" a="1"/>
  <c r="I2020" i="1" s="1"/>
  <c r="I2021" i="1" a="1"/>
  <c r="I2021" i="1" s="1"/>
  <c r="J2021" i="1" a="1"/>
  <c r="J2021" i="1" s="1"/>
  <c r="I2022" i="1" a="1"/>
  <c r="I2022" i="1" s="1"/>
  <c r="J2022" i="1" a="1"/>
  <c r="J2022" i="1" s="1"/>
  <c r="I2023" i="1" a="1"/>
  <c r="I2023" i="1" s="1"/>
  <c r="I2024" i="1" a="1"/>
  <c r="I2024" i="1" s="1"/>
  <c r="J2024" i="1" a="1"/>
  <c r="J2024" i="1" s="1"/>
  <c r="I2025" i="1" a="1"/>
  <c r="I2025" i="1" s="1"/>
  <c r="J2025" i="1" a="1"/>
  <c r="J2025" i="1" s="1"/>
  <c r="I2026" i="1" a="1"/>
  <c r="I2026" i="1" s="1"/>
  <c r="I2027" i="1" a="1"/>
  <c r="I2027" i="1" s="1"/>
  <c r="J2027" i="1" a="1"/>
  <c r="J2027" i="1" s="1"/>
  <c r="I2028" i="1" a="1"/>
  <c r="I2028" i="1" s="1"/>
  <c r="I2029" i="1" a="1"/>
  <c r="I2029" i="1" s="1"/>
  <c r="J2029" i="1" a="1"/>
  <c r="J2029" i="1" s="1"/>
  <c r="I2030" i="1" a="1"/>
  <c r="I2030" i="1" s="1"/>
  <c r="J2030" i="1" a="1"/>
  <c r="J2030" i="1" s="1"/>
  <c r="I2031" i="1" a="1"/>
  <c r="I2031" i="1" s="1"/>
  <c r="I2032" i="1" a="1"/>
  <c r="I2032" i="1" s="1"/>
  <c r="J2032" i="1" a="1"/>
  <c r="J2032" i="1" s="1"/>
  <c r="I2033" i="1" a="1"/>
  <c r="I2033" i="1" s="1"/>
  <c r="J2033" i="1" a="1"/>
  <c r="J2033" i="1" s="1"/>
  <c r="I2034" i="1" a="1"/>
  <c r="I2034" i="1" s="1"/>
  <c r="I2035" i="1" a="1"/>
  <c r="I2035" i="1" s="1"/>
  <c r="J2035" i="1" a="1"/>
  <c r="J2035" i="1" s="1"/>
  <c r="I2036" i="1" a="1"/>
  <c r="I2036" i="1" s="1"/>
  <c r="I2037" i="1" a="1"/>
  <c r="I2037" i="1" s="1"/>
  <c r="J2037" i="1" a="1"/>
  <c r="J2037" i="1" s="1"/>
  <c r="I2038" i="1" a="1"/>
  <c r="I2038" i="1" s="1"/>
  <c r="J2038" i="1" a="1"/>
  <c r="J2038" i="1" s="1"/>
  <c r="I2039" i="1" a="1"/>
  <c r="I2039" i="1" s="1"/>
  <c r="I2040" i="1" a="1"/>
  <c r="I2040" i="1" s="1"/>
  <c r="J2040" i="1" a="1"/>
  <c r="J2040" i="1" s="1"/>
  <c r="I2041" i="1" a="1"/>
  <c r="I2041" i="1" s="1"/>
  <c r="J2041" i="1" a="1"/>
  <c r="J2041" i="1" s="1"/>
  <c r="I2042" i="1" a="1"/>
  <c r="I2042" i="1" s="1"/>
  <c r="I2043" i="1" a="1"/>
  <c r="I2043" i="1" s="1"/>
  <c r="J2043" i="1" a="1"/>
  <c r="J2043" i="1" s="1"/>
  <c r="I2044" i="1" a="1"/>
  <c r="I2044" i="1" s="1"/>
  <c r="I2045" i="1" a="1"/>
  <c r="I2045" i="1" s="1"/>
  <c r="J2045" i="1" a="1"/>
  <c r="J2045" i="1" s="1"/>
  <c r="I2046" i="1" a="1"/>
  <c r="I2046" i="1" s="1"/>
  <c r="J2046" i="1" a="1"/>
  <c r="J2046" i="1" s="1"/>
  <c r="I2047" i="1" a="1"/>
  <c r="I2047" i="1" s="1"/>
  <c r="I2048" i="1" a="1"/>
  <c r="I2048" i="1" s="1"/>
  <c r="J2048" i="1" a="1"/>
  <c r="J2048" i="1" s="1"/>
  <c r="I2049" i="1" a="1"/>
  <c r="I2049" i="1" s="1"/>
  <c r="J2049" i="1" a="1"/>
  <c r="J2049" i="1" s="1"/>
  <c r="I2050" i="1" a="1"/>
  <c r="I2050" i="1" s="1"/>
  <c r="I2051" i="1" a="1"/>
  <c r="I2051" i="1" s="1"/>
  <c r="J2051" i="1" a="1"/>
  <c r="J2051" i="1" s="1"/>
  <c r="I2052" i="1" a="1"/>
  <c r="I2052" i="1" s="1"/>
  <c r="I2053" i="1" a="1"/>
  <c r="I2053" i="1" s="1"/>
  <c r="J2053" i="1" a="1"/>
  <c r="J2053" i="1" s="1"/>
  <c r="I2054" i="1" a="1"/>
  <c r="I2054" i="1" s="1"/>
  <c r="J2054" i="1" a="1"/>
  <c r="J2054" i="1" s="1"/>
  <c r="I2055" i="1" a="1"/>
  <c r="I2055" i="1" s="1"/>
  <c r="I2056" i="1" a="1"/>
  <c r="I2056" i="1" s="1"/>
  <c r="J2056" i="1" a="1"/>
  <c r="J2056" i="1" s="1"/>
  <c r="I2057" i="1" a="1"/>
  <c r="I2057" i="1" s="1"/>
  <c r="J2057" i="1" a="1"/>
  <c r="J2057" i="1" s="1"/>
  <c r="I2058" i="1" a="1"/>
  <c r="I2058" i="1" s="1"/>
  <c r="I2059" i="1" a="1"/>
  <c r="I2059" i="1" s="1"/>
  <c r="J2059" i="1" a="1"/>
  <c r="J2059" i="1" s="1"/>
  <c r="I2060" i="1" a="1"/>
  <c r="I2060" i="1" s="1"/>
  <c r="I2061" i="1" a="1"/>
  <c r="I2061" i="1" s="1"/>
  <c r="J2061" i="1" a="1"/>
  <c r="J2061" i="1" s="1"/>
  <c r="I2062" i="1" a="1"/>
  <c r="I2062" i="1" s="1"/>
  <c r="J2062" i="1" a="1"/>
  <c r="J2062" i="1" s="1"/>
  <c r="I2063" i="1" a="1"/>
  <c r="I2063" i="1" s="1"/>
  <c r="I2064" i="1" a="1"/>
  <c r="I2064" i="1" s="1"/>
  <c r="J2064" i="1" a="1"/>
  <c r="J2064" i="1" s="1"/>
  <c r="I2065" i="1" a="1"/>
  <c r="I2065" i="1" s="1"/>
  <c r="J2065" i="1" a="1"/>
  <c r="J2065" i="1" s="1"/>
  <c r="I2066" i="1" a="1"/>
  <c r="I2066" i="1" s="1"/>
  <c r="I2067" i="1" a="1"/>
  <c r="I2067" i="1" s="1"/>
  <c r="J2067" i="1" a="1"/>
  <c r="J2067" i="1" s="1"/>
  <c r="I2068" i="1" a="1"/>
  <c r="I2068" i="1" s="1"/>
  <c r="I2069" i="1" a="1"/>
  <c r="I2069" i="1" s="1"/>
  <c r="J2069" i="1" a="1"/>
  <c r="J2069" i="1" s="1"/>
  <c r="I2070" i="1" a="1"/>
  <c r="I2070" i="1" s="1"/>
  <c r="J2070" i="1" a="1"/>
  <c r="J2070" i="1" s="1"/>
  <c r="I2071" i="1" a="1"/>
  <c r="I2071" i="1" s="1"/>
  <c r="I2072" i="1" a="1"/>
  <c r="I2072" i="1" s="1"/>
  <c r="J2072" i="1" a="1"/>
  <c r="J2072" i="1" s="1"/>
  <c r="I2073" i="1" a="1"/>
  <c r="I2073" i="1" s="1"/>
  <c r="J2073" i="1" a="1"/>
  <c r="J2073" i="1" s="1"/>
  <c r="I2074" i="1" a="1"/>
  <c r="I2074" i="1" s="1"/>
  <c r="I2075" i="1" a="1"/>
  <c r="I2075" i="1" s="1"/>
  <c r="J2075" i="1" a="1"/>
  <c r="J2075" i="1" s="1"/>
  <c r="I2076" i="1" a="1"/>
  <c r="I2076" i="1" s="1"/>
  <c r="I2077" i="1" a="1"/>
  <c r="I2077" i="1" s="1"/>
  <c r="J2077" i="1" a="1"/>
  <c r="J2077" i="1" s="1"/>
  <c r="I2078" i="1" a="1"/>
  <c r="I2078" i="1" s="1"/>
  <c r="J2078" i="1" a="1"/>
  <c r="J2078" i="1" s="1"/>
  <c r="I2079" i="1" a="1"/>
  <c r="I2079" i="1" s="1"/>
  <c r="I2080" i="1" a="1"/>
  <c r="I2080" i="1" s="1"/>
  <c r="J2080" i="1" a="1"/>
  <c r="J2080" i="1" s="1"/>
  <c r="I2081" i="1" a="1"/>
  <c r="I2081" i="1" s="1"/>
  <c r="J2081" i="1" a="1"/>
  <c r="J2081" i="1" s="1"/>
  <c r="I2082" i="1" a="1"/>
  <c r="I2082" i="1" s="1"/>
  <c r="I2083" i="1" a="1"/>
  <c r="I2083" i="1" s="1"/>
  <c r="J2083" i="1" a="1"/>
  <c r="J2083" i="1" s="1"/>
  <c r="I2084" i="1" a="1"/>
  <c r="I2084" i="1" s="1"/>
  <c r="I2085" i="1" a="1"/>
  <c r="I2085" i="1" s="1"/>
  <c r="J2085" i="1" a="1"/>
  <c r="J2085" i="1" s="1"/>
  <c r="I2086" i="1" a="1"/>
  <c r="I2086" i="1" s="1"/>
  <c r="J2086" i="1" a="1"/>
  <c r="J2086" i="1" s="1"/>
  <c r="I2087" i="1" a="1"/>
  <c r="I2087" i="1" s="1"/>
  <c r="I2088" i="1" a="1"/>
  <c r="I2088" i="1" s="1"/>
  <c r="J2088" i="1" a="1"/>
  <c r="J2088" i="1" s="1"/>
  <c r="I2089" i="1" a="1"/>
  <c r="I2089" i="1" s="1"/>
  <c r="J2089" i="1" a="1"/>
  <c r="J2089" i="1" s="1"/>
  <c r="I2090" i="1" a="1"/>
  <c r="I2090" i="1" s="1"/>
  <c r="I2091" i="1" a="1"/>
  <c r="I2091" i="1" s="1"/>
  <c r="J2091" i="1" a="1"/>
  <c r="J2091" i="1" s="1"/>
  <c r="I2092" i="1" a="1"/>
  <c r="I2092" i="1" s="1"/>
  <c r="I2093" i="1" a="1"/>
  <c r="I2093" i="1" s="1"/>
  <c r="J2093" i="1" a="1"/>
  <c r="J2093" i="1" s="1"/>
  <c r="I2094" i="1" a="1"/>
  <c r="I2094" i="1" s="1"/>
  <c r="J2094" i="1" a="1"/>
  <c r="J2094" i="1" s="1"/>
  <c r="I2095" i="1" a="1"/>
  <c r="I2095" i="1" s="1"/>
  <c r="I2096" i="1" a="1"/>
  <c r="I2096" i="1" s="1"/>
  <c r="J2096" i="1" a="1"/>
  <c r="J2096" i="1" s="1"/>
  <c r="I2097" i="1" a="1"/>
  <c r="I2097" i="1" s="1"/>
  <c r="J2097" i="1" a="1"/>
  <c r="J2097" i="1" s="1"/>
  <c r="I2098" i="1" a="1"/>
  <c r="I2098" i="1" s="1"/>
  <c r="J2098" i="1" a="1"/>
  <c r="J2098" i="1" s="1"/>
  <c r="I2099" i="1" a="1"/>
  <c r="I2099" i="1" s="1"/>
  <c r="J2099" i="1" a="1"/>
  <c r="J2099" i="1" s="1"/>
  <c r="I2100" i="1" a="1"/>
  <c r="I2100" i="1" s="1"/>
  <c r="J2100" i="1" a="1"/>
  <c r="J2100" i="1" s="1"/>
  <c r="I2101" i="1" a="1"/>
  <c r="I2101" i="1" s="1"/>
  <c r="J2101" i="1" a="1"/>
  <c r="J2101" i="1" s="1"/>
  <c r="I2102" i="1" a="1"/>
  <c r="I2102" i="1" s="1"/>
  <c r="J2102" i="1" a="1"/>
  <c r="J2102" i="1" s="1"/>
  <c r="I2103" i="1" a="1"/>
  <c r="I2103" i="1" s="1"/>
  <c r="I2104" i="1" a="1"/>
  <c r="I2104" i="1" s="1"/>
  <c r="J2104" i="1" a="1"/>
  <c r="J2104" i="1" s="1"/>
  <c r="I2105" i="1" a="1"/>
  <c r="I2105" i="1" s="1"/>
  <c r="I2106" i="1" a="1"/>
  <c r="I2106" i="1" s="1"/>
  <c r="J2106" i="1" a="1"/>
  <c r="J2106" i="1" s="1"/>
  <c r="I2107" i="1" a="1"/>
  <c r="I2107" i="1" s="1"/>
  <c r="I2108" i="1" a="1"/>
  <c r="I2108" i="1" s="1"/>
  <c r="J2108" i="1" a="1"/>
  <c r="J2108" i="1" s="1"/>
  <c r="I2109" i="1" a="1"/>
  <c r="I2109" i="1" s="1"/>
  <c r="I2110" i="1" a="1"/>
  <c r="I2110" i="1" s="1"/>
  <c r="J2110" i="1" a="1"/>
  <c r="J2110" i="1" s="1"/>
  <c r="I2111" i="1" a="1"/>
  <c r="I2111" i="1" s="1"/>
  <c r="I2112" i="1" a="1"/>
  <c r="I2112" i="1" s="1"/>
  <c r="J2112" i="1" a="1"/>
  <c r="J2112" i="1" s="1"/>
  <c r="I2113" i="1" a="1"/>
  <c r="I2113" i="1" s="1"/>
  <c r="I2114" i="1" a="1"/>
  <c r="I2114" i="1" s="1"/>
  <c r="J2114" i="1" a="1"/>
  <c r="J2114" i="1" s="1"/>
  <c r="I2115" i="1" a="1"/>
  <c r="I2115" i="1" s="1"/>
  <c r="I2116" i="1" a="1"/>
  <c r="I2116" i="1" s="1"/>
  <c r="J2116" i="1" a="1"/>
  <c r="J2116" i="1" s="1"/>
  <c r="I2117" i="1" a="1"/>
  <c r="I2117" i="1" s="1"/>
  <c r="I2118" i="1" a="1"/>
  <c r="I2118" i="1" s="1"/>
  <c r="J2118" i="1" a="1"/>
  <c r="J2118" i="1" s="1"/>
  <c r="I2119" i="1" a="1"/>
  <c r="I2119" i="1" s="1"/>
  <c r="I2120" i="1" a="1"/>
  <c r="I2120" i="1" s="1"/>
  <c r="J2120" i="1" a="1"/>
  <c r="J2120" i="1" s="1"/>
  <c r="I2121" i="1" a="1"/>
  <c r="I2121" i="1" s="1"/>
  <c r="I2122" i="1" a="1"/>
  <c r="I2122" i="1" s="1"/>
  <c r="J2122" i="1" a="1"/>
  <c r="J2122" i="1" s="1"/>
  <c r="I2123" i="1" a="1"/>
  <c r="I2123" i="1" s="1"/>
  <c r="I2124" i="1" a="1"/>
  <c r="I2124" i="1" s="1"/>
  <c r="J2124" i="1" a="1"/>
  <c r="J2124" i="1" s="1"/>
  <c r="I2125" i="1" a="1"/>
  <c r="I2125" i="1" s="1"/>
  <c r="I2126" i="1" a="1"/>
  <c r="I2126" i="1" s="1"/>
  <c r="J2126" i="1" a="1"/>
  <c r="J2126" i="1" s="1"/>
  <c r="I2127" i="1" a="1"/>
  <c r="I2127" i="1" s="1"/>
  <c r="I2128" i="1" a="1"/>
  <c r="I2128" i="1" s="1"/>
  <c r="J2128" i="1" a="1"/>
  <c r="J2128" i="1" s="1"/>
  <c r="I2129" i="1" a="1"/>
  <c r="I2129" i="1" s="1"/>
  <c r="I2130" i="1" a="1"/>
  <c r="I2130" i="1" s="1"/>
  <c r="J2130" i="1" a="1"/>
  <c r="J2130" i="1" s="1"/>
  <c r="I2131" i="1" a="1"/>
  <c r="I2131" i="1" s="1"/>
  <c r="I2132" i="1" a="1"/>
  <c r="I2132" i="1" s="1"/>
  <c r="J2132" i="1" a="1"/>
  <c r="J2132" i="1" s="1"/>
  <c r="I2133" i="1" a="1"/>
  <c r="I2133" i="1" s="1"/>
  <c r="I2134" i="1" a="1"/>
  <c r="I2134" i="1" s="1"/>
  <c r="J2134" i="1" a="1"/>
  <c r="J2134" i="1" s="1"/>
  <c r="I2135" i="1" a="1"/>
  <c r="I2135" i="1" s="1"/>
  <c r="I2136" i="1" a="1"/>
  <c r="I2136" i="1" s="1"/>
  <c r="J2136" i="1" a="1"/>
  <c r="J2136" i="1" s="1"/>
  <c r="I2137" i="1" a="1"/>
  <c r="I2137" i="1" s="1"/>
  <c r="I2138" i="1" a="1"/>
  <c r="I2138" i="1" s="1"/>
  <c r="J2138" i="1" a="1"/>
  <c r="J2138" i="1" s="1"/>
  <c r="I2139" i="1" a="1"/>
  <c r="I2139" i="1" s="1"/>
  <c r="I2140" i="1" a="1"/>
  <c r="I2140" i="1" s="1"/>
  <c r="J2140" i="1" a="1"/>
  <c r="J2140" i="1" s="1"/>
  <c r="I2141" i="1" a="1"/>
  <c r="I2141" i="1" s="1"/>
  <c r="I2142" i="1" a="1"/>
  <c r="I2142" i="1" s="1"/>
  <c r="J2142" i="1" a="1"/>
  <c r="J2142" i="1" s="1"/>
  <c r="I2143" i="1" a="1"/>
  <c r="I2143" i="1" s="1"/>
  <c r="I2144" i="1" a="1"/>
  <c r="I2144" i="1" s="1"/>
  <c r="J2144" i="1" a="1"/>
  <c r="J2144" i="1" s="1"/>
  <c r="I2145" i="1" a="1"/>
  <c r="I2145" i="1" s="1"/>
  <c r="I2146" i="1" a="1"/>
  <c r="I2146" i="1" s="1"/>
  <c r="J2146" i="1" a="1"/>
  <c r="J2146" i="1" s="1"/>
  <c r="I2147" i="1" a="1"/>
  <c r="I2147" i="1" s="1"/>
  <c r="I2148" i="1" a="1"/>
  <c r="I2148" i="1" s="1"/>
  <c r="J2148" i="1" a="1"/>
  <c r="J2148" i="1" s="1"/>
  <c r="I2149" i="1" a="1"/>
  <c r="I2149" i="1" s="1"/>
  <c r="I2150" i="1" a="1"/>
  <c r="I2150" i="1" s="1"/>
  <c r="J2150" i="1" a="1"/>
  <c r="J2150" i="1" s="1"/>
  <c r="I2151" i="1" a="1"/>
  <c r="I2151" i="1" s="1"/>
  <c r="I2152" i="1" a="1"/>
  <c r="I2152" i="1" s="1"/>
  <c r="J2152" i="1" a="1"/>
  <c r="J2152" i="1" s="1"/>
  <c r="I2153" i="1" a="1"/>
  <c r="I2153" i="1" s="1"/>
  <c r="I2154" i="1" a="1"/>
  <c r="I2154" i="1" s="1"/>
  <c r="J2154" i="1" a="1"/>
  <c r="J2154" i="1" s="1"/>
  <c r="I2155" i="1" a="1"/>
  <c r="I2155" i="1" s="1"/>
  <c r="I2156" i="1" a="1"/>
  <c r="I2156" i="1" s="1"/>
  <c r="J2156" i="1" a="1"/>
  <c r="J2156" i="1" s="1"/>
  <c r="I2157" i="1" a="1"/>
  <c r="I2157" i="1" s="1"/>
  <c r="I2158" i="1" a="1"/>
  <c r="I2158" i="1" s="1"/>
  <c r="J2158" i="1" a="1"/>
  <c r="J2158" i="1" s="1"/>
  <c r="I2159" i="1" a="1"/>
  <c r="I2159" i="1" s="1"/>
  <c r="I2160" i="1" a="1"/>
  <c r="I2160" i="1" s="1"/>
  <c r="J2160" i="1" a="1"/>
  <c r="J2160" i="1" s="1"/>
  <c r="I2161" i="1" a="1"/>
  <c r="I2161" i="1" s="1"/>
  <c r="I2162" i="1" a="1"/>
  <c r="I2162" i="1" s="1"/>
  <c r="J2162" i="1" a="1"/>
  <c r="J2162" i="1" s="1"/>
  <c r="I2163" i="1" a="1"/>
  <c r="I2163" i="1" s="1"/>
  <c r="I2164" i="1" a="1"/>
  <c r="I2164" i="1" s="1"/>
  <c r="J2164" i="1" a="1"/>
  <c r="J2164" i="1" s="1"/>
  <c r="I2165" i="1" a="1"/>
  <c r="I2165" i="1" s="1"/>
  <c r="I2166" i="1" a="1"/>
  <c r="I2166" i="1" s="1"/>
  <c r="J2166" i="1" a="1"/>
  <c r="J2166" i="1" s="1"/>
  <c r="I2167" i="1" a="1"/>
  <c r="I2167" i="1" s="1"/>
  <c r="I2168" i="1" a="1"/>
  <c r="I2168" i="1" s="1"/>
  <c r="J2168" i="1" a="1"/>
  <c r="J2168" i="1" s="1"/>
  <c r="I2169" i="1" a="1"/>
  <c r="I2169" i="1" s="1"/>
  <c r="I2170" i="1" a="1"/>
  <c r="I2170" i="1" s="1"/>
  <c r="J2170" i="1" a="1"/>
  <c r="J2170" i="1" s="1"/>
  <c r="I2171" i="1" a="1"/>
  <c r="I2171" i="1" s="1"/>
  <c r="I2172" i="1" a="1"/>
  <c r="I2172" i="1" s="1"/>
  <c r="J2172" i="1" a="1"/>
  <c r="J2172" i="1" s="1"/>
  <c r="I2173" i="1" a="1"/>
  <c r="I2173" i="1" s="1"/>
  <c r="I2174" i="1" a="1"/>
  <c r="I2174" i="1" s="1"/>
  <c r="J2174" i="1" a="1"/>
  <c r="J2174" i="1" s="1"/>
  <c r="I2175" i="1" a="1"/>
  <c r="I2175" i="1" s="1"/>
  <c r="J2175" i="1" a="1"/>
  <c r="J2175" i="1" s="1"/>
  <c r="I2176" i="1" a="1"/>
  <c r="I2176" i="1" s="1"/>
  <c r="J2176" i="1" a="1"/>
  <c r="J2176" i="1" s="1"/>
  <c r="I2177" i="1" a="1"/>
  <c r="I2177" i="1" s="1"/>
  <c r="J2177" i="1" a="1"/>
  <c r="J2177" i="1" s="1"/>
  <c r="I2178" i="1" a="1"/>
  <c r="I2178" i="1" s="1"/>
  <c r="J2178" i="1" a="1"/>
  <c r="J2178" i="1" s="1"/>
  <c r="I2179" i="1" a="1"/>
  <c r="I2179" i="1" s="1"/>
  <c r="J2179" i="1" a="1"/>
  <c r="J2179" i="1" s="1"/>
  <c r="I2180" i="1" a="1"/>
  <c r="I2180" i="1" s="1"/>
  <c r="J2180" i="1" a="1"/>
  <c r="J2180" i="1" s="1"/>
  <c r="I2181" i="1" a="1"/>
  <c r="I2181" i="1" s="1"/>
  <c r="J2181" i="1" a="1"/>
  <c r="J2181" i="1" s="1"/>
  <c r="I2182" i="1" a="1"/>
  <c r="I2182" i="1" s="1"/>
  <c r="J2182" i="1" a="1"/>
  <c r="J2182" i="1" s="1"/>
  <c r="I2183" i="1" a="1"/>
  <c r="I2183" i="1" s="1"/>
  <c r="J2183" i="1" a="1"/>
  <c r="J2183" i="1" s="1"/>
  <c r="I2184" i="1" a="1"/>
  <c r="I2184" i="1" s="1"/>
  <c r="J2184" i="1" a="1"/>
  <c r="J2184" i="1" s="1"/>
  <c r="I2185" i="1" a="1"/>
  <c r="I2185" i="1" s="1"/>
  <c r="J2185" i="1" a="1"/>
  <c r="J2185" i="1" s="1"/>
  <c r="I2186" i="1" a="1"/>
  <c r="I2186" i="1" s="1"/>
  <c r="J2186" i="1" a="1"/>
  <c r="J2186" i="1" s="1"/>
  <c r="I2187" i="1" a="1"/>
  <c r="I2187" i="1" s="1"/>
  <c r="J2187" i="1" a="1"/>
  <c r="J2187" i="1" s="1"/>
  <c r="I2188" i="1" a="1"/>
  <c r="I2188" i="1" s="1"/>
  <c r="J2188" i="1" a="1"/>
  <c r="J2188" i="1" s="1"/>
  <c r="I2189" i="1" a="1"/>
  <c r="I2189" i="1" s="1"/>
  <c r="J2189" i="1" a="1"/>
  <c r="J2189" i="1" s="1"/>
  <c r="I2190" i="1" a="1"/>
  <c r="I2190" i="1" s="1"/>
  <c r="J2190" i="1" a="1"/>
  <c r="J2190" i="1" s="1"/>
  <c r="I2191" i="1" a="1"/>
  <c r="I2191" i="1" s="1"/>
  <c r="J2191" i="1" a="1"/>
  <c r="J2191" i="1" s="1"/>
  <c r="I2192" i="1" a="1"/>
  <c r="I2192" i="1" s="1"/>
  <c r="J2192" i="1" a="1"/>
  <c r="J2192" i="1" s="1"/>
  <c r="I2193" i="1" a="1"/>
  <c r="I2193" i="1" s="1"/>
  <c r="J2193" i="1" a="1"/>
  <c r="J2193" i="1" s="1"/>
  <c r="I2194" i="1" a="1"/>
  <c r="I2194" i="1" s="1"/>
  <c r="J2194" i="1" a="1"/>
  <c r="J2194" i="1" s="1"/>
  <c r="I2195" i="1" a="1"/>
  <c r="I2195" i="1" s="1"/>
  <c r="J2195" i="1" a="1"/>
  <c r="J2195" i="1" s="1"/>
  <c r="I2196" i="1" a="1"/>
  <c r="I2196" i="1" s="1"/>
  <c r="J2196" i="1" a="1"/>
  <c r="J2196" i="1" s="1"/>
  <c r="I2197" i="1" a="1"/>
  <c r="I2197" i="1" s="1"/>
  <c r="J2197" i="1" a="1"/>
  <c r="J2197" i="1" s="1"/>
  <c r="I2198" i="1" a="1"/>
  <c r="I2198" i="1" s="1"/>
  <c r="J2198" i="1" a="1"/>
  <c r="J2198" i="1" s="1"/>
  <c r="I2199" i="1" a="1"/>
  <c r="I2199" i="1" s="1"/>
  <c r="J2199" i="1" a="1"/>
  <c r="J2199" i="1" s="1"/>
  <c r="I2200" i="1" a="1"/>
  <c r="I2200" i="1" s="1"/>
  <c r="J2200" i="1" a="1"/>
  <c r="J2200" i="1" s="1"/>
  <c r="J19" i="1" a="1"/>
  <c r="J19" i="1" s="1"/>
  <c r="I19" i="1" a="1"/>
  <c r="I19" i="1" s="1"/>
  <c r="J18" i="1" a="1"/>
  <c r="J18" i="1" s="1"/>
  <c r="I18" i="1" a="1"/>
  <c r="I18" i="1" s="1"/>
  <c r="J17" i="1" a="1"/>
  <c r="J17" i="1" s="1"/>
  <c r="I17" i="1" a="1"/>
  <c r="I17" i="1" s="1"/>
  <c r="J16" i="1" a="1"/>
  <c r="J16" i="1" s="1"/>
  <c r="I16" i="1" a="1"/>
  <c r="I16" i="1" s="1"/>
  <c r="J15" i="1" a="1"/>
  <c r="J15" i="1" s="1"/>
  <c r="I15" i="1" a="1"/>
  <c r="I15" i="1" s="1"/>
  <c r="J14" i="1" a="1"/>
  <c r="J14" i="1" s="1"/>
  <c r="I14" i="1" a="1"/>
  <c r="I14" i="1" s="1"/>
  <c r="J13" i="1" a="1"/>
  <c r="J13" i="1" s="1"/>
  <c r="I13" i="1" a="1"/>
  <c r="I13" i="1" s="1"/>
  <c r="J12" i="1" a="1"/>
  <c r="J12" i="1" s="1"/>
  <c r="I12" i="1" a="1"/>
  <c r="I12" i="1" s="1"/>
  <c r="J11" i="1" a="1"/>
  <c r="J11" i="1" s="1"/>
  <c r="I11" i="1" a="1"/>
  <c r="I11" i="1" s="1"/>
  <c r="J10" i="1" a="1"/>
  <c r="J10" i="1" s="1"/>
  <c r="I10" i="1" a="1"/>
  <c r="I10" i="1" s="1"/>
  <c r="J9" i="1" a="1"/>
  <c r="J9" i="1" s="1"/>
  <c r="I9" i="1" a="1"/>
  <c r="I9" i="1" s="1"/>
  <c r="J8" i="1" a="1"/>
  <c r="J8" i="1" s="1"/>
  <c r="I8" i="1" a="1"/>
  <c r="I8" i="1" s="1"/>
  <c r="J7" i="1" a="1"/>
  <c r="J7" i="1" s="1"/>
  <c r="I7" i="1" a="1"/>
  <c r="I7" i="1" s="1"/>
  <c r="J6" i="1" a="1"/>
  <c r="J6" i="1" s="1"/>
  <c r="I6" i="1" a="1"/>
  <c r="I6" i="1" s="1"/>
  <c r="J5" i="1" a="1"/>
  <c r="J5" i="1" s="1"/>
  <c r="I5" i="1" a="1"/>
  <c r="I5" i="1" s="1"/>
  <c r="J4" i="1" a="1"/>
  <c r="J4" i="1" s="1"/>
  <c r="I4" i="1" a="1"/>
  <c r="I4" i="1" s="1"/>
  <c r="J3" i="1" a="1"/>
  <c r="J3" i="1" s="1"/>
  <c r="I3" i="1" a="1"/>
  <c r="I3" i="1" s="1"/>
  <c r="J2" i="1" a="1"/>
  <c r="J2" i="1" s="1"/>
  <c r="I2" i="1" a="1"/>
  <c r="I2" i="1" s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40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G2" i="1"/>
  <c r="C2" i="1"/>
  <c r="B2" i="1"/>
  <c r="R20" i="1"/>
  <c r="Q20" i="1"/>
  <c r="P20" i="1"/>
  <c r="C19" i="2"/>
  <c r="B19" i="2"/>
  <c r="D19" i="2"/>
  <c r="L2149" i="1" l="1"/>
  <c r="L2129" i="1"/>
  <c r="L2081" i="1"/>
  <c r="L2057" i="1"/>
  <c r="L2045" i="1"/>
  <c r="L2025" i="1"/>
  <c r="L2013" i="1"/>
  <c r="L1985" i="1"/>
  <c r="L1973" i="1"/>
  <c r="L1965" i="1"/>
  <c r="L1953" i="1"/>
  <c r="L1941" i="1"/>
  <c r="L1929" i="1"/>
  <c r="L1897" i="1"/>
  <c r="L1869" i="1"/>
  <c r="L1857" i="1"/>
  <c r="L1813" i="1"/>
  <c r="L1801" i="1"/>
  <c r="L1789" i="1"/>
  <c r="L1781" i="1"/>
  <c r="L1769" i="1"/>
  <c r="L1741" i="1"/>
  <c r="L1729" i="1"/>
  <c r="L1717" i="1"/>
  <c r="L1705" i="1"/>
  <c r="L1693" i="1"/>
  <c r="L1681" i="1"/>
  <c r="L1669" i="1"/>
  <c r="L1633" i="1"/>
  <c r="L1605" i="1"/>
  <c r="L1593" i="1"/>
  <c r="L1509" i="1"/>
  <c r="L1497" i="1"/>
  <c r="L1481" i="1"/>
  <c r="L1449" i="1"/>
  <c r="L1421" i="1"/>
  <c r="L1409" i="1"/>
  <c r="L1397" i="1"/>
  <c r="L1385" i="1"/>
  <c r="L1353" i="1"/>
  <c r="L1341" i="1"/>
  <c r="L1309" i="1"/>
  <c r="L1289" i="1"/>
  <c r="L1277" i="1"/>
  <c r="L1261" i="1"/>
  <c r="L1249" i="1"/>
  <c r="L1225" i="1"/>
  <c r="L1189" i="1"/>
  <c r="L1177" i="1"/>
  <c r="L1165" i="1"/>
  <c r="L1153" i="1"/>
  <c r="L1141" i="1"/>
  <c r="L1125" i="1"/>
  <c r="L1109" i="1"/>
  <c r="L1097" i="1"/>
  <c r="L1085" i="1"/>
  <c r="L1073" i="1"/>
  <c r="L1057" i="1"/>
  <c r="L1045" i="1"/>
  <c r="L1033" i="1"/>
  <c r="L1013" i="1"/>
  <c r="L997" i="1"/>
  <c r="L985" i="1"/>
  <c r="L977" i="1"/>
  <c r="L961" i="1"/>
  <c r="L949" i="1"/>
  <c r="L933" i="1"/>
  <c r="L921" i="1"/>
  <c r="L909" i="1"/>
  <c r="L897" i="1"/>
  <c r="L881" i="1"/>
  <c r="L869" i="1"/>
  <c r="L857" i="1"/>
  <c r="L841" i="1"/>
  <c r="L829" i="1"/>
  <c r="L817" i="1"/>
  <c r="L805" i="1"/>
  <c r="L757" i="1"/>
  <c r="L745" i="1"/>
  <c r="L733" i="1"/>
  <c r="L717" i="1"/>
  <c r="L705" i="1"/>
  <c r="L689" i="1"/>
  <c r="L673" i="1"/>
  <c r="L629" i="1"/>
  <c r="L617" i="1"/>
  <c r="L605" i="1"/>
  <c r="L589" i="1"/>
  <c r="L577" i="1"/>
  <c r="L561" i="1"/>
  <c r="L553" i="1"/>
  <c r="L541" i="1"/>
  <c r="L521" i="1"/>
  <c r="L509" i="1"/>
  <c r="L501" i="1"/>
  <c r="L485" i="1"/>
  <c r="L453" i="1"/>
  <c r="L441" i="1"/>
  <c r="L425" i="1"/>
  <c r="L413" i="1"/>
  <c r="L397" i="1"/>
  <c r="L385" i="1"/>
  <c r="L377" i="1"/>
  <c r="L365" i="1"/>
  <c r="L349" i="1"/>
  <c r="L333" i="1"/>
  <c r="L329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37" i="1"/>
  <c r="L129" i="1"/>
  <c r="L121" i="1"/>
  <c r="L113" i="1"/>
  <c r="L105" i="1"/>
  <c r="L101" i="1"/>
  <c r="L2189" i="1"/>
  <c r="L2117" i="1"/>
  <c r="L2085" i="1"/>
  <c r="L2021" i="1"/>
  <c r="L1957" i="1"/>
  <c r="L1893" i="1"/>
  <c r="L1829" i="1"/>
  <c r="L1765" i="1"/>
  <c r="L1701" i="1"/>
  <c r="L1673" i="1"/>
  <c r="L1645" i="1"/>
  <c r="L1617" i="1"/>
  <c r="L1417" i="1"/>
  <c r="L1389" i="1"/>
  <c r="L1365" i="1"/>
  <c r="L853" i="1"/>
  <c r="L725" i="1"/>
  <c r="L597" i="1"/>
  <c r="L469" i="1"/>
  <c r="L2200" i="1"/>
  <c r="L2192" i="1"/>
  <c r="L2184" i="1"/>
  <c r="L2180" i="1"/>
  <c r="L2172" i="1"/>
  <c r="L2168" i="1"/>
  <c r="L2164" i="1"/>
  <c r="L2156" i="1"/>
  <c r="L2152" i="1"/>
  <c r="L2144" i="1"/>
  <c r="L2136" i="1"/>
  <c r="L2128" i="1"/>
  <c r="L2120" i="1"/>
  <c r="L2116" i="1"/>
  <c r="L2108" i="1"/>
  <c r="L2104" i="1"/>
  <c r="L2100" i="1"/>
  <c r="L2092" i="1"/>
  <c r="L2088" i="1"/>
  <c r="L2084" i="1"/>
  <c r="L2080" i="1"/>
  <c r="L2072" i="1"/>
  <c r="L2068" i="1"/>
  <c r="L2060" i="1"/>
  <c r="L2056" i="1"/>
  <c r="L2052" i="1"/>
  <c r="L2048" i="1"/>
  <c r="L2040" i="1"/>
  <c r="L2036" i="1"/>
  <c r="L2028" i="1"/>
  <c r="L2024" i="1"/>
  <c r="L2020" i="1"/>
  <c r="L2016" i="1"/>
  <c r="L2008" i="1"/>
  <c r="L2004" i="1"/>
  <c r="L1996" i="1"/>
  <c r="L1992" i="1"/>
  <c r="L1988" i="1"/>
  <c r="L1984" i="1"/>
  <c r="L1976" i="1"/>
  <c r="L1972" i="1"/>
  <c r="L1964" i="1"/>
  <c r="L1960" i="1"/>
  <c r="L1956" i="1"/>
  <c r="L1952" i="1"/>
  <c r="L1944" i="1"/>
  <c r="L1940" i="1"/>
  <c r="L1932" i="1"/>
  <c r="L1928" i="1"/>
  <c r="L1924" i="1"/>
  <c r="L1920" i="1"/>
  <c r="L1912" i="1"/>
  <c r="L1908" i="1"/>
  <c r="L1900" i="1"/>
  <c r="L2185" i="1"/>
  <c r="L2121" i="1"/>
  <c r="L2093" i="1"/>
  <c r="L2089" i="1"/>
  <c r="L2077" i="1"/>
  <c r="L2069" i="1"/>
  <c r="L2061" i="1"/>
  <c r="L2049" i="1"/>
  <c r="L2037" i="1"/>
  <c r="L2029" i="1"/>
  <c r="L2017" i="1"/>
  <c r="L1997" i="1"/>
  <c r="L1949" i="1"/>
  <c r="L1917" i="1"/>
  <c r="L1889" i="1"/>
  <c r="L1877" i="1"/>
  <c r="L1865" i="1"/>
  <c r="L1853" i="1"/>
  <c r="L1837" i="1"/>
  <c r="L1825" i="1"/>
  <c r="L1821" i="1"/>
  <c r="L1773" i="1"/>
  <c r="L1761" i="1"/>
  <c r="L1757" i="1"/>
  <c r="L1725" i="1"/>
  <c r="L1697" i="1"/>
  <c r="L1685" i="1"/>
  <c r="L1649" i="1"/>
  <c r="L1641" i="1"/>
  <c r="L1621" i="1"/>
  <c r="L1609" i="1"/>
  <c r="L1581" i="1"/>
  <c r="L1577" i="1"/>
  <c r="L1569" i="1"/>
  <c r="L1557" i="1"/>
  <c r="L1549" i="1"/>
  <c r="L1541" i="1"/>
  <c r="L1537" i="1"/>
  <c r="L1525" i="1"/>
  <c r="L1513" i="1"/>
  <c r="L1493" i="1"/>
  <c r="L1485" i="1"/>
  <c r="L1477" i="1"/>
  <c r="L1469" i="1"/>
  <c r="L1457" i="1"/>
  <c r="L1441" i="1"/>
  <c r="L1429" i="1"/>
  <c r="L1413" i="1"/>
  <c r="L1393" i="1"/>
  <c r="L1381" i="1"/>
  <c r="L1373" i="1"/>
  <c r="L1361" i="1"/>
  <c r="L1345" i="1"/>
  <c r="L1333" i="1"/>
  <c r="L1317" i="1"/>
  <c r="L1305" i="1"/>
  <c r="L1281" i="1"/>
  <c r="L1273" i="1"/>
  <c r="L1265" i="1"/>
  <c r="L1253" i="1"/>
  <c r="L1241" i="1"/>
  <c r="L1221" i="1"/>
  <c r="L1213" i="1"/>
  <c r="L1201" i="1"/>
  <c r="L1197" i="1"/>
  <c r="L1185" i="1"/>
  <c r="L1173" i="1"/>
  <c r="L1169" i="1"/>
  <c r="L1157" i="1"/>
  <c r="L1145" i="1"/>
  <c r="L1133" i="1"/>
  <c r="L1121" i="1"/>
  <c r="L1117" i="1"/>
  <c r="L1105" i="1"/>
  <c r="L1101" i="1"/>
  <c r="L1089" i="1"/>
  <c r="L1077" i="1"/>
  <c r="L1069" i="1"/>
  <c r="L1061" i="1"/>
  <c r="L1049" i="1"/>
  <c r="L1037" i="1"/>
  <c r="L1029" i="1"/>
  <c r="L1021" i="1"/>
  <c r="L1009" i="1"/>
  <c r="L1005" i="1"/>
  <c r="L993" i="1"/>
  <c r="L981" i="1"/>
  <c r="L969" i="1"/>
  <c r="L965" i="1"/>
  <c r="L953" i="1"/>
  <c r="L941" i="1"/>
  <c r="L937" i="1"/>
  <c r="L925" i="1"/>
  <c r="L913" i="1"/>
  <c r="L905" i="1"/>
  <c r="L893" i="1"/>
  <c r="L889" i="1"/>
  <c r="L877" i="1"/>
  <c r="L865" i="1"/>
  <c r="L845" i="1"/>
  <c r="L825" i="1"/>
  <c r="L813" i="1"/>
  <c r="L801" i="1"/>
  <c r="L797" i="1"/>
  <c r="L785" i="1"/>
  <c r="L777" i="1"/>
  <c r="L769" i="1"/>
  <c r="L761" i="1"/>
  <c r="L749" i="1"/>
  <c r="L737" i="1"/>
  <c r="L729" i="1"/>
  <c r="L721" i="1"/>
  <c r="L713" i="1"/>
  <c r="L701" i="1"/>
  <c r="L697" i="1"/>
  <c r="L685" i="1"/>
  <c r="L677" i="1"/>
  <c r="L669" i="1"/>
  <c r="L657" i="1"/>
  <c r="L649" i="1"/>
  <c r="L641" i="1"/>
  <c r="L633" i="1"/>
  <c r="L621" i="1"/>
  <c r="L609" i="1"/>
  <c r="L601" i="1"/>
  <c r="L593" i="1"/>
  <c r="L585" i="1"/>
  <c r="L573" i="1"/>
  <c r="L565" i="1"/>
  <c r="L557" i="1"/>
  <c r="L545" i="1"/>
  <c r="L529" i="1"/>
  <c r="L505" i="1"/>
  <c r="L493" i="1"/>
  <c r="L489" i="1"/>
  <c r="L477" i="1"/>
  <c r="L465" i="1"/>
  <c r="L461" i="1"/>
  <c r="L449" i="1"/>
  <c r="L437" i="1"/>
  <c r="L429" i="1"/>
  <c r="L421" i="1"/>
  <c r="L409" i="1"/>
  <c r="L401" i="1"/>
  <c r="L389" i="1"/>
  <c r="L381" i="1"/>
  <c r="L357" i="1"/>
  <c r="L345" i="1"/>
  <c r="L341" i="1"/>
  <c r="L321" i="1"/>
  <c r="L2173" i="1"/>
  <c r="L2101" i="1"/>
  <c r="L2041" i="1"/>
  <c r="L1977" i="1"/>
  <c r="L1913" i="1"/>
  <c r="L1849" i="1"/>
  <c r="L1785" i="1"/>
  <c r="L1721" i="1"/>
  <c r="L1529" i="1"/>
  <c r="L1501" i="1"/>
  <c r="L1473" i="1"/>
  <c r="L901" i="1"/>
  <c r="L773" i="1"/>
  <c r="L645" i="1"/>
  <c r="L517" i="1"/>
  <c r="L2193" i="1"/>
  <c r="L2177" i="1"/>
  <c r="L2157" i="1"/>
  <c r="L2141" i="1"/>
  <c r="L2113" i="1"/>
  <c r="L2005" i="1"/>
  <c r="L1993" i="1"/>
  <c r="L1981" i="1"/>
  <c r="L1961" i="1"/>
  <c r="L1933" i="1"/>
  <c r="L1921" i="1"/>
  <c r="L1909" i="1"/>
  <c r="L1901" i="1"/>
  <c r="L1885" i="1"/>
  <c r="L1845" i="1"/>
  <c r="L1833" i="1"/>
  <c r="L1805" i="1"/>
  <c r="L1793" i="1"/>
  <c r="L1749" i="1"/>
  <c r="L1737" i="1"/>
  <c r="L1709" i="1"/>
  <c r="L1677" i="1"/>
  <c r="L1665" i="1"/>
  <c r="L1653" i="1"/>
  <c r="L1637" i="1"/>
  <c r="L1625" i="1"/>
  <c r="L1613" i="1"/>
  <c r="L1597" i="1"/>
  <c r="L1585" i="1"/>
  <c r="L1565" i="1"/>
  <c r="L1553" i="1"/>
  <c r="L1521" i="1"/>
  <c r="L1505" i="1"/>
  <c r="L1465" i="1"/>
  <c r="L1453" i="1"/>
  <c r="L1437" i="1"/>
  <c r="L1425" i="1"/>
  <c r="L1377" i="1"/>
  <c r="L1369" i="1"/>
  <c r="L1357" i="1"/>
  <c r="L1329" i="1"/>
  <c r="L1313" i="1"/>
  <c r="L1297" i="1"/>
  <c r="L1285" i="1"/>
  <c r="L1269" i="1"/>
  <c r="L1257" i="1"/>
  <c r="L1245" i="1"/>
  <c r="L1233" i="1"/>
  <c r="L1209" i="1"/>
  <c r="L1193" i="1"/>
  <c r="L1181" i="1"/>
  <c r="L1161" i="1"/>
  <c r="L1149" i="1"/>
  <c r="L1137" i="1"/>
  <c r="L1129" i="1"/>
  <c r="L1113" i="1"/>
  <c r="L1093" i="1"/>
  <c r="L1081" i="1"/>
  <c r="L1065" i="1"/>
  <c r="L1053" i="1"/>
  <c r="L1041" i="1"/>
  <c r="L1025" i="1"/>
  <c r="L1017" i="1"/>
  <c r="L1001" i="1"/>
  <c r="L989" i="1"/>
  <c r="L973" i="1"/>
  <c r="L957" i="1"/>
  <c r="L945" i="1"/>
  <c r="L929" i="1"/>
  <c r="L885" i="1"/>
  <c r="L873" i="1"/>
  <c r="L861" i="1"/>
  <c r="L849" i="1"/>
  <c r="L833" i="1"/>
  <c r="L821" i="1"/>
  <c r="L809" i="1"/>
  <c r="L793" i="1"/>
  <c r="L781" i="1"/>
  <c r="L765" i="1"/>
  <c r="L753" i="1"/>
  <c r="L741" i="1"/>
  <c r="L693" i="1"/>
  <c r="L681" i="1"/>
  <c r="L665" i="1"/>
  <c r="L653" i="1"/>
  <c r="L637" i="1"/>
  <c r="L625" i="1"/>
  <c r="L613" i="1"/>
  <c r="L569" i="1"/>
  <c r="L549" i="1"/>
  <c r="L537" i="1"/>
  <c r="L525" i="1"/>
  <c r="L513" i="1"/>
  <c r="L497" i="1"/>
  <c r="L481" i="1"/>
  <c r="L473" i="1"/>
  <c r="L457" i="1"/>
  <c r="L445" i="1"/>
  <c r="L433" i="1"/>
  <c r="L417" i="1"/>
  <c r="L405" i="1"/>
  <c r="L393" i="1"/>
  <c r="L361" i="1"/>
  <c r="L353" i="1"/>
  <c r="L337" i="1"/>
  <c r="L325" i="1"/>
  <c r="L313" i="1"/>
  <c r="L305" i="1"/>
  <c r="L297" i="1"/>
  <c r="L289" i="1"/>
  <c r="L281" i="1"/>
  <c r="L273" i="1"/>
  <c r="L265" i="1"/>
  <c r="L257" i="1"/>
  <c r="L249" i="1"/>
  <c r="L241" i="1"/>
  <c r="L233" i="1"/>
  <c r="L225" i="1"/>
  <c r="L217" i="1"/>
  <c r="L209" i="1"/>
  <c r="L201" i="1"/>
  <c r="L193" i="1"/>
  <c r="L185" i="1"/>
  <c r="L177" i="1"/>
  <c r="L169" i="1"/>
  <c r="L161" i="1"/>
  <c r="L153" i="1"/>
  <c r="L145" i="1"/>
  <c r="L141" i="1"/>
  <c r="L133" i="1"/>
  <c r="L125" i="1"/>
  <c r="L117" i="1"/>
  <c r="L109" i="1"/>
  <c r="L97" i="1"/>
  <c r="L2125" i="1"/>
  <c r="L1489" i="1"/>
  <c r="L1325" i="1"/>
  <c r="L917" i="1"/>
  <c r="L789" i="1"/>
  <c r="L661" i="1"/>
  <c r="L533" i="1"/>
  <c r="L369" i="1"/>
  <c r="L1896" i="1"/>
  <c r="L1892" i="1"/>
  <c r="L1880" i="1"/>
  <c r="L1876" i="1"/>
  <c r="L1864" i="1"/>
  <c r="L1860" i="1"/>
  <c r="L1848" i="1"/>
  <c r="L1844" i="1"/>
  <c r="L1832" i="1"/>
  <c r="L1828" i="1"/>
  <c r="L1816" i="1"/>
  <c r="L1812" i="1"/>
  <c r="L1800" i="1"/>
  <c r="L1796" i="1"/>
  <c r="L1784" i="1"/>
  <c r="L1780" i="1"/>
  <c r="L1768" i="1"/>
  <c r="L1764" i="1"/>
  <c r="L1752" i="1"/>
  <c r="L1748" i="1"/>
  <c r="L1736" i="1"/>
  <c r="L1732" i="1"/>
  <c r="L1720" i="1"/>
  <c r="L1716" i="1"/>
  <c r="L1704" i="1"/>
  <c r="L1700" i="1"/>
  <c r="L1692" i="1"/>
  <c r="L1684" i="1"/>
  <c r="L1676" i="1"/>
  <c r="L1672" i="1"/>
  <c r="L1664" i="1"/>
  <c r="L1660" i="1"/>
  <c r="L1656" i="1"/>
  <c r="L1648" i="1"/>
  <c r="L1644" i="1"/>
  <c r="L1636" i="1"/>
  <c r="L1628" i="1"/>
  <c r="L1620" i="1"/>
  <c r="L1612" i="1"/>
  <c r="L1608" i="1"/>
  <c r="L1600" i="1"/>
  <c r="L1596" i="1"/>
  <c r="L1592" i="1"/>
  <c r="L1584" i="1"/>
  <c r="L1580" i="1"/>
  <c r="L1572" i="1"/>
  <c r="L1564" i="1"/>
  <c r="L1556" i="1"/>
  <c r="L1548" i="1"/>
  <c r="L1544" i="1"/>
  <c r="L1536" i="1"/>
  <c r="L1532" i="1"/>
  <c r="L1528" i="1"/>
  <c r="L1520" i="1"/>
  <c r="L1516" i="1"/>
  <c r="L1508" i="1"/>
  <c r="L1500" i="1"/>
  <c r="L1492" i="1"/>
  <c r="L1484" i="1"/>
  <c r="L1480" i="1"/>
  <c r="L1472" i="1"/>
  <c r="L1468" i="1"/>
  <c r="L1464" i="1"/>
  <c r="L1456" i="1"/>
  <c r="L1452" i="1"/>
  <c r="L1444" i="1"/>
  <c r="L1436" i="1"/>
  <c r="L1428" i="1"/>
  <c r="L1420" i="1"/>
  <c r="L1416" i="1"/>
  <c r="L1408" i="1"/>
  <c r="L1404" i="1"/>
  <c r="L1400" i="1"/>
  <c r="L1392" i="1"/>
  <c r="L1388" i="1"/>
  <c r="L1384" i="1"/>
  <c r="L1376" i="1"/>
  <c r="L1372" i="1"/>
  <c r="L1368" i="1"/>
  <c r="L1364" i="1"/>
  <c r="L1360" i="1"/>
  <c r="L1356" i="1"/>
  <c r="L1352" i="1"/>
  <c r="L1348" i="1"/>
  <c r="L1344" i="1"/>
  <c r="L1340" i="1"/>
  <c r="L1336" i="1"/>
  <c r="L1332" i="1"/>
  <c r="L1324" i="1"/>
  <c r="L1320" i="1"/>
  <c r="L1308" i="1"/>
  <c r="L1304" i="1"/>
  <c r="L1300" i="1"/>
  <c r="L1292" i="1"/>
  <c r="L1288" i="1"/>
  <c r="L1284" i="1"/>
  <c r="L1280" i="1"/>
  <c r="L1276" i="1"/>
  <c r="L1272" i="1"/>
  <c r="L1268" i="1"/>
  <c r="L1264" i="1"/>
  <c r="L1260" i="1"/>
  <c r="L1256" i="1"/>
  <c r="L1252" i="1"/>
  <c r="L1240" i="1"/>
  <c r="L1236" i="1"/>
  <c r="L1224" i="1"/>
  <c r="L1216" i="1"/>
  <c r="L1208" i="1"/>
  <c r="L1200" i="1"/>
  <c r="L1196" i="1"/>
  <c r="L1192" i="1"/>
  <c r="L1188" i="1"/>
  <c r="L1184" i="1"/>
  <c r="L1176" i="1"/>
  <c r="L1172" i="1"/>
  <c r="L1168" i="1"/>
  <c r="L1164" i="1"/>
  <c r="L1160" i="1"/>
  <c r="L1156" i="1"/>
  <c r="L1152" i="1"/>
  <c r="L1148" i="1"/>
  <c r="L1144" i="1"/>
  <c r="L1140" i="1"/>
  <c r="L1136" i="1"/>
  <c r="L1132" i="1"/>
  <c r="L1128" i="1"/>
  <c r="L1124" i="1"/>
  <c r="L1120" i="1"/>
  <c r="L1116" i="1"/>
  <c r="L1112" i="1"/>
  <c r="L1108" i="1"/>
  <c r="L1104" i="1"/>
  <c r="L1100" i="1"/>
  <c r="L1096" i="1"/>
  <c r="L1092" i="1"/>
  <c r="L1088" i="1"/>
  <c r="L1084" i="1"/>
  <c r="L1080" i="1"/>
  <c r="L1076" i="1"/>
  <c r="L1072" i="1"/>
  <c r="L1068" i="1"/>
  <c r="L1064" i="1"/>
  <c r="L1060" i="1"/>
  <c r="L1056" i="1"/>
  <c r="L1052" i="1"/>
  <c r="L1048" i="1"/>
  <c r="L1044" i="1"/>
  <c r="L1040" i="1"/>
  <c r="L1036" i="1"/>
  <c r="L1032" i="1"/>
  <c r="L1028" i="1"/>
  <c r="L1024" i="1"/>
  <c r="L1020" i="1"/>
  <c r="L1016" i="1"/>
  <c r="L1012" i="1"/>
  <c r="L1008" i="1"/>
  <c r="L1004" i="1"/>
  <c r="L1000" i="1"/>
  <c r="L996" i="1"/>
  <c r="L992" i="1"/>
  <c r="L988" i="1"/>
  <c r="L984" i="1"/>
  <c r="L980" i="1"/>
  <c r="L976" i="1"/>
  <c r="L972" i="1"/>
  <c r="L968" i="1"/>
  <c r="L964" i="1"/>
  <c r="L960" i="1"/>
  <c r="L956" i="1"/>
  <c r="L952" i="1"/>
  <c r="L948" i="1"/>
  <c r="L944" i="1"/>
  <c r="L940" i="1"/>
  <c r="L936" i="1"/>
  <c r="L932" i="1"/>
  <c r="L928" i="1"/>
  <c r="L924" i="1"/>
  <c r="L920" i="1"/>
  <c r="L916" i="1"/>
  <c r="L912" i="1"/>
  <c r="L908" i="1"/>
  <c r="L904" i="1"/>
  <c r="L900" i="1"/>
  <c r="L896" i="1"/>
  <c r="L892" i="1"/>
  <c r="L888" i="1"/>
  <c r="L884" i="1"/>
  <c r="L880" i="1"/>
  <c r="L876" i="1"/>
  <c r="L872" i="1"/>
  <c r="L868" i="1"/>
  <c r="L864" i="1"/>
  <c r="L860" i="1"/>
  <c r="L856" i="1"/>
  <c r="L852" i="1"/>
  <c r="L848" i="1"/>
  <c r="L844" i="1"/>
  <c r="L840" i="1"/>
  <c r="L836" i="1"/>
  <c r="L832" i="1"/>
  <c r="L828" i="1"/>
  <c r="L824" i="1"/>
  <c r="L820" i="1"/>
  <c r="L816" i="1"/>
  <c r="L812" i="1"/>
  <c r="L808" i="1"/>
  <c r="L804" i="1"/>
  <c r="L800" i="1"/>
  <c r="L796" i="1"/>
  <c r="L792" i="1"/>
  <c r="L788" i="1"/>
  <c r="L784" i="1"/>
  <c r="L780" i="1"/>
  <c r="L776" i="1"/>
  <c r="L772" i="1"/>
  <c r="L768" i="1"/>
  <c r="L764" i="1"/>
  <c r="L760" i="1"/>
  <c r="L756" i="1"/>
  <c r="L752" i="1"/>
  <c r="L748" i="1"/>
  <c r="L744" i="1"/>
  <c r="L740" i="1"/>
  <c r="L736" i="1"/>
  <c r="L732" i="1"/>
  <c r="L728" i="1"/>
  <c r="L724" i="1"/>
  <c r="L720" i="1"/>
  <c r="L716" i="1"/>
  <c r="L712" i="1"/>
  <c r="L708" i="1"/>
  <c r="L704" i="1"/>
  <c r="L700" i="1"/>
  <c r="L696" i="1"/>
  <c r="L692" i="1"/>
  <c r="L688" i="1"/>
  <c r="L684" i="1"/>
  <c r="L680" i="1"/>
  <c r="L676" i="1"/>
  <c r="L672" i="1"/>
  <c r="L668" i="1"/>
  <c r="L664" i="1"/>
  <c r="L660" i="1"/>
  <c r="L656" i="1"/>
  <c r="L652" i="1"/>
  <c r="L648" i="1"/>
  <c r="L644" i="1"/>
  <c r="L640" i="1"/>
  <c r="L636" i="1"/>
  <c r="L632" i="1"/>
  <c r="L628" i="1"/>
  <c r="L624" i="1"/>
  <c r="L620" i="1"/>
  <c r="L1316" i="1"/>
  <c r="L1228" i="1"/>
  <c r="L1204" i="1"/>
  <c r="L1180" i="1"/>
  <c r="L1380" i="1"/>
  <c r="L1312" i="1"/>
  <c r="L1248" i="1"/>
  <c r="L616" i="1"/>
  <c r="L612" i="1"/>
  <c r="L608" i="1"/>
  <c r="L604" i="1"/>
  <c r="L600" i="1"/>
  <c r="L596" i="1"/>
  <c r="L592" i="1"/>
  <c r="L588" i="1"/>
  <c r="L584" i="1"/>
  <c r="L580" i="1"/>
  <c r="L576" i="1"/>
  <c r="L572" i="1"/>
  <c r="L568" i="1"/>
  <c r="L564" i="1"/>
  <c r="L560" i="1"/>
  <c r="L556" i="1"/>
  <c r="L552" i="1"/>
  <c r="L548" i="1"/>
  <c r="L544" i="1"/>
  <c r="L540" i="1"/>
  <c r="L536" i="1"/>
  <c r="L532" i="1"/>
  <c r="L528" i="1"/>
  <c r="L524" i="1"/>
  <c r="L520" i="1"/>
  <c r="L516" i="1"/>
  <c r="L512" i="1"/>
  <c r="L508" i="1"/>
  <c r="L504" i="1"/>
  <c r="L500" i="1"/>
  <c r="L496" i="1"/>
  <c r="L492" i="1"/>
  <c r="L488" i="1"/>
  <c r="L484" i="1"/>
  <c r="L480" i="1"/>
  <c r="L476" i="1"/>
  <c r="L472" i="1"/>
  <c r="L468" i="1"/>
  <c r="L464" i="1"/>
  <c r="L456" i="1"/>
  <c r="L448" i="1"/>
  <c r="L444" i="1"/>
  <c r="L436" i="1"/>
  <c r="L432" i="1"/>
  <c r="L424" i="1"/>
  <c r="L416" i="1"/>
  <c r="L412" i="1"/>
  <c r="L404" i="1"/>
  <c r="L400" i="1"/>
  <c r="L392" i="1"/>
  <c r="L384" i="1"/>
  <c r="L380" i="1"/>
  <c r="L372" i="1"/>
  <c r="L368" i="1"/>
  <c r="L360" i="1"/>
  <c r="L352" i="1"/>
  <c r="L348" i="1"/>
  <c r="L340" i="1"/>
  <c r="L336" i="1"/>
  <c r="L332" i="1"/>
  <c r="L320" i="1"/>
  <c r="L316" i="1"/>
  <c r="L312" i="1"/>
  <c r="L304" i="1"/>
  <c r="L300" i="1"/>
  <c r="L296" i="1"/>
  <c r="L292" i="1"/>
  <c r="L288" i="1"/>
  <c r="L284" i="1"/>
  <c r="L280" i="1"/>
  <c r="L276" i="1"/>
  <c r="L272" i="1"/>
  <c r="L268" i="1"/>
  <c r="L264" i="1"/>
  <c r="L260" i="1"/>
  <c r="L256" i="1"/>
  <c r="L252" i="1"/>
  <c r="L248" i="1"/>
  <c r="L240" i="1"/>
  <c r="L236" i="1"/>
  <c r="L228" i="1"/>
  <c r="L224" i="1"/>
  <c r="L220" i="1"/>
  <c r="L216" i="1"/>
  <c r="L212" i="1"/>
  <c r="L208" i="1"/>
  <c r="L204" i="1"/>
  <c r="L200" i="1"/>
  <c r="L196" i="1"/>
  <c r="L188" i="1"/>
  <c r="L184" i="1"/>
  <c r="L180" i="1"/>
  <c r="L176" i="1"/>
  <c r="L172" i="1"/>
  <c r="L168" i="1"/>
  <c r="L164" i="1"/>
  <c r="L156" i="1"/>
  <c r="L148" i="1"/>
  <c r="L144" i="1"/>
  <c r="L140" i="1"/>
  <c r="L136" i="1"/>
  <c r="L128" i="1"/>
  <c r="L124" i="1"/>
  <c r="L120" i="1"/>
  <c r="L116" i="1"/>
  <c r="L108" i="1"/>
  <c r="L104" i="1"/>
  <c r="L100" i="1"/>
  <c r="L96" i="1"/>
  <c r="L388" i="1"/>
  <c r="L420" i="1"/>
  <c r="L467" i="1"/>
  <c r="L459" i="1"/>
  <c r="L451" i="1"/>
  <c r="L443" i="1"/>
  <c r="L435" i="1"/>
  <c r="L427" i="1"/>
  <c r="L419" i="1"/>
  <c r="L411" i="1"/>
  <c r="L403" i="1"/>
  <c r="L395" i="1"/>
  <c r="L387" i="1"/>
  <c r="L379" i="1"/>
  <c r="L371" i="1"/>
  <c r="L363" i="1"/>
  <c r="L355" i="1"/>
  <c r="L347" i="1"/>
  <c r="L339" i="1"/>
  <c r="L295" i="1"/>
  <c r="L275" i="1"/>
  <c r="L231" i="1"/>
  <c r="L211" i="1"/>
  <c r="L167" i="1"/>
  <c r="L147" i="1"/>
  <c r="L463" i="1"/>
  <c r="L447" i="1"/>
  <c r="L431" i="1"/>
  <c r="L415" i="1"/>
  <c r="L399" i="1"/>
  <c r="L383" i="1"/>
  <c r="L367" i="1"/>
  <c r="L351" i="1"/>
  <c r="L259" i="1"/>
  <c r="L239" i="1"/>
  <c r="L179" i="1"/>
  <c r="G3" i="1" l="1"/>
  <c r="B3" i="1"/>
  <c r="C3" i="1"/>
  <c r="C4" i="1" l="1"/>
  <c r="G4" i="1"/>
  <c r="B4" i="1"/>
  <c r="C5" i="1" l="1"/>
  <c r="G5" i="1"/>
  <c r="B5" i="1"/>
  <c r="C6" i="1" l="1"/>
  <c r="G6" i="1"/>
  <c r="B6" i="1"/>
  <c r="G7" i="1" l="1"/>
  <c r="B7" i="1"/>
  <c r="C7" i="1"/>
  <c r="C8" i="1" l="1"/>
  <c r="G8" i="1"/>
  <c r="B8" i="1"/>
  <c r="C9" i="1" l="1"/>
  <c r="G9" i="1"/>
  <c r="B9" i="1"/>
  <c r="C10" i="1" l="1"/>
  <c r="G10" i="1"/>
  <c r="B10" i="1"/>
  <c r="G11" i="1" l="1"/>
  <c r="B11" i="1"/>
  <c r="C11" i="1"/>
  <c r="C12" i="1" l="1"/>
  <c r="G12" i="1"/>
  <c r="B12" i="1"/>
  <c r="C13" i="1" l="1"/>
  <c r="G13" i="1"/>
  <c r="B13" i="1"/>
  <c r="C14" i="1" l="1"/>
  <c r="G14" i="1"/>
  <c r="B14" i="1"/>
  <c r="G15" i="1" l="1"/>
  <c r="B15" i="1"/>
  <c r="C15" i="1"/>
  <c r="C16" i="1" l="1"/>
  <c r="G16" i="1"/>
  <c r="B16" i="1"/>
  <c r="C17" i="1" l="1"/>
  <c r="G17" i="1"/>
  <c r="B17" i="1"/>
  <c r="C18" i="1" l="1"/>
  <c r="G18" i="1"/>
  <c r="B18" i="1"/>
  <c r="G19" i="1" l="1"/>
  <c r="B19" i="1"/>
  <c r="C19" i="1"/>
  <c r="C20" i="1" l="1"/>
  <c r="G20" i="1"/>
  <c r="B20" i="1"/>
  <c r="C21" i="1" l="1"/>
  <c r="G21" i="1"/>
  <c r="B21" i="1"/>
  <c r="C22" i="1" l="1"/>
  <c r="G22" i="1"/>
  <c r="B22" i="1"/>
  <c r="G23" i="1" l="1"/>
  <c r="B23" i="1"/>
  <c r="C23" i="1"/>
  <c r="C24" i="1" l="1"/>
  <c r="G24" i="1"/>
  <c r="B24" i="1"/>
  <c r="C25" i="1" l="1"/>
  <c r="G25" i="1"/>
  <c r="B25" i="1"/>
  <c r="C26" i="1" l="1"/>
  <c r="G26" i="1"/>
  <c r="B26" i="1"/>
  <c r="G27" i="1" l="1"/>
  <c r="B27" i="1"/>
  <c r="C27" i="1"/>
  <c r="C28" i="1" l="1"/>
  <c r="G28" i="1"/>
  <c r="B28" i="1"/>
  <c r="C29" i="1" l="1"/>
  <c r="G29" i="1"/>
  <c r="B29" i="1"/>
  <c r="C30" i="1" l="1"/>
  <c r="G30" i="1"/>
  <c r="B30" i="1"/>
  <c r="G31" i="1" l="1"/>
  <c r="B31" i="1"/>
  <c r="C31" i="1"/>
  <c r="C32" i="1" l="1"/>
  <c r="G32" i="1"/>
  <c r="B32" i="1"/>
  <c r="C33" i="1" l="1"/>
  <c r="G33" i="1"/>
  <c r="B33" i="1"/>
  <c r="C34" i="1" l="1"/>
  <c r="G34" i="1"/>
  <c r="B34" i="1"/>
  <c r="G35" i="1" l="1"/>
  <c r="B35" i="1"/>
  <c r="C35" i="1"/>
  <c r="C36" i="1" l="1"/>
  <c r="G36" i="1"/>
  <c r="B36" i="1"/>
  <c r="C37" i="1" l="1"/>
  <c r="G37" i="1"/>
  <c r="B37" i="1"/>
  <c r="C38" i="1" l="1"/>
  <c r="G38" i="1"/>
  <c r="B38" i="1"/>
  <c r="G39" i="1" l="1"/>
  <c r="B39" i="1"/>
  <c r="C39" i="1"/>
  <c r="C40" i="1" l="1"/>
  <c r="G40" i="1"/>
  <c r="B40" i="1"/>
  <c r="C41" i="1" l="1"/>
  <c r="G41" i="1"/>
  <c r="B41" i="1"/>
  <c r="C42" i="1" l="1"/>
  <c r="G42" i="1"/>
  <c r="B42" i="1"/>
  <c r="G43" i="1" l="1"/>
  <c r="B43" i="1"/>
  <c r="C43" i="1"/>
  <c r="C44" i="1" l="1"/>
  <c r="G44" i="1"/>
  <c r="B44" i="1"/>
  <c r="C45" i="1" l="1"/>
  <c r="G45" i="1"/>
  <c r="B45" i="1"/>
  <c r="C46" i="1" l="1"/>
  <c r="G46" i="1"/>
  <c r="B46" i="1"/>
  <c r="G47" i="1" l="1"/>
  <c r="B47" i="1"/>
  <c r="C47" i="1"/>
  <c r="C48" i="1" l="1"/>
  <c r="G48" i="1"/>
  <c r="B48" i="1"/>
  <c r="C49" i="1" l="1"/>
  <c r="G49" i="1"/>
  <c r="B49" i="1"/>
  <c r="C50" i="1" l="1"/>
  <c r="G50" i="1"/>
  <c r="B50" i="1"/>
  <c r="G51" i="1" l="1"/>
  <c r="B51" i="1"/>
  <c r="C51" i="1"/>
  <c r="C52" i="1" l="1"/>
  <c r="G52" i="1"/>
  <c r="B52" i="1"/>
  <c r="C53" i="1" l="1"/>
  <c r="G53" i="1"/>
  <c r="B53" i="1"/>
  <c r="C54" i="1" l="1"/>
  <c r="G54" i="1"/>
  <c r="B54" i="1"/>
  <c r="G55" i="1" l="1"/>
  <c r="B55" i="1"/>
  <c r="C55" i="1"/>
  <c r="C56" i="1" l="1"/>
  <c r="G56" i="1"/>
  <c r="B56" i="1"/>
  <c r="C57" i="1" l="1"/>
  <c r="G57" i="1"/>
  <c r="B57" i="1"/>
  <c r="C58" i="1" l="1"/>
  <c r="G58" i="1"/>
  <c r="B58" i="1"/>
  <c r="G59" i="1" l="1"/>
  <c r="B59" i="1"/>
  <c r="C59" i="1"/>
  <c r="C60" i="1" l="1"/>
  <c r="G60" i="1"/>
  <c r="B60" i="1"/>
  <c r="C61" i="1" l="1"/>
  <c r="G61" i="1"/>
  <c r="B61" i="1"/>
  <c r="C62" i="1" l="1"/>
  <c r="G62" i="1"/>
  <c r="B62" i="1"/>
  <c r="G63" i="1" l="1"/>
  <c r="B63" i="1"/>
  <c r="C63" i="1"/>
  <c r="C64" i="1" l="1"/>
  <c r="G64" i="1"/>
  <c r="B64" i="1"/>
  <c r="C65" i="1" l="1"/>
  <c r="G65" i="1"/>
  <c r="B65" i="1"/>
  <c r="C66" i="1" l="1"/>
  <c r="G66" i="1"/>
  <c r="B66" i="1"/>
  <c r="G67" i="1" l="1"/>
  <c r="B67" i="1"/>
  <c r="C67" i="1"/>
  <c r="C68" i="1" l="1"/>
  <c r="G68" i="1"/>
  <c r="B68" i="1"/>
  <c r="C69" i="1" l="1"/>
  <c r="G69" i="1"/>
  <c r="B69" i="1"/>
  <c r="C70" i="1" l="1"/>
  <c r="G70" i="1"/>
  <c r="B70" i="1"/>
  <c r="G71" i="1" l="1"/>
  <c r="B71" i="1"/>
  <c r="C71" i="1"/>
  <c r="C72" i="1" l="1"/>
  <c r="G72" i="1"/>
  <c r="B72" i="1"/>
  <c r="C73" i="1" l="1"/>
  <c r="G73" i="1"/>
  <c r="B73" i="1"/>
  <c r="C74" i="1" l="1"/>
  <c r="G74" i="1"/>
  <c r="B74" i="1"/>
  <c r="G75" i="1" l="1"/>
  <c r="B75" i="1"/>
  <c r="C75" i="1"/>
  <c r="C76" i="1" l="1"/>
  <c r="G76" i="1"/>
  <c r="B76" i="1"/>
  <c r="C77" i="1" l="1"/>
  <c r="G77" i="1"/>
  <c r="B77" i="1"/>
  <c r="C78" i="1" l="1"/>
  <c r="G78" i="1"/>
  <c r="B78" i="1"/>
  <c r="G79" i="1" l="1"/>
  <c r="B79" i="1"/>
  <c r="C79" i="1"/>
  <c r="C80" i="1" l="1"/>
  <c r="G80" i="1"/>
  <c r="B80" i="1"/>
  <c r="C81" i="1" l="1"/>
  <c r="G81" i="1"/>
  <c r="B81" i="1"/>
  <c r="C82" i="1" l="1"/>
  <c r="G82" i="1"/>
  <c r="B82" i="1"/>
  <c r="G83" i="1" l="1"/>
  <c r="B83" i="1"/>
  <c r="C83" i="1"/>
  <c r="C84" i="1" l="1"/>
  <c r="G84" i="1"/>
  <c r="B84" i="1"/>
  <c r="C85" i="1" l="1"/>
  <c r="G85" i="1"/>
  <c r="B85" i="1"/>
  <c r="C86" i="1" l="1"/>
  <c r="G86" i="1"/>
  <c r="B86" i="1"/>
  <c r="G87" i="1" l="1"/>
  <c r="B87" i="1"/>
  <c r="C87" i="1"/>
  <c r="C88" i="1" l="1"/>
  <c r="G88" i="1"/>
  <c r="B88" i="1"/>
  <c r="C89" i="1" l="1"/>
  <c r="G89" i="1"/>
  <c r="B89" i="1"/>
  <c r="C90" i="1" l="1"/>
  <c r="G90" i="1"/>
  <c r="B90" i="1"/>
  <c r="G91" i="1" l="1"/>
  <c r="B91" i="1"/>
  <c r="C91" i="1"/>
  <c r="C92" i="1" l="1"/>
  <c r="G92" i="1"/>
  <c r="B92" i="1"/>
  <c r="C93" i="1" l="1"/>
  <c r="G93" i="1"/>
  <c r="B93" i="1"/>
  <c r="C94" i="1" l="1"/>
  <c r="G94" i="1"/>
  <c r="B9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A289F-0500-4E83-8D73-1AAF23626AC7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<sst xmlns="http://schemas.openxmlformats.org/spreadsheetml/2006/main" count="9813" uniqueCount="3387">
  <si>
    <t>VNMI1040185648</t>
  </si>
  <si>
    <t>Mineral Type</t>
  </si>
  <si>
    <t>Location</t>
  </si>
  <si>
    <t>MasonaryStone (Gitti)</t>
  </si>
  <si>
    <t>46.5 MT</t>
  </si>
  <si>
    <t>45.5 MT</t>
  </si>
  <si>
    <t>45 MT</t>
  </si>
  <si>
    <t>42.5 MT</t>
  </si>
  <si>
    <t>44.8 MT</t>
  </si>
  <si>
    <t>44 MT</t>
  </si>
  <si>
    <t>MAA DURGA STONE CRUSHING COMPANY</t>
  </si>
  <si>
    <t>Consignee Name</t>
  </si>
  <si>
    <t>Source Name</t>
  </si>
  <si>
    <t>CHADWAS(Chadwas/Bidasar/Sujangarh)</t>
  </si>
  <si>
    <t>Consignee Address</t>
  </si>
  <si>
    <t>Date &amp; Time of Confirmation</t>
  </si>
  <si>
    <t>Rawana No</t>
  </si>
  <si>
    <t>Net Mineral Weight</t>
  </si>
  <si>
    <t>TBTX1094797321</t>
  </si>
  <si>
    <t>TBTX1094794877</t>
  </si>
  <si>
    <t>TBTX1094794396</t>
  </si>
  <si>
    <t>TBTX1094794011</t>
  </si>
  <si>
    <t>TBTX1094721852</t>
  </si>
  <si>
    <t>TBTX1094763459</t>
  </si>
  <si>
    <t>TBTX1094763858</t>
  </si>
  <si>
    <t>TBTX1094938372</t>
  </si>
  <si>
    <t>TBTX1094931367</t>
  </si>
  <si>
    <t>TBTX1094930031</t>
  </si>
  <si>
    <t>TBTX1094910073</t>
  </si>
  <si>
    <t>TBTX1094901149</t>
  </si>
  <si>
    <t>TBTX1094892732</t>
  </si>
  <si>
    <t>TBTX1094872257</t>
  </si>
  <si>
    <t>TBTX1094864724</t>
  </si>
  <si>
    <t>TBTX1094861133</t>
  </si>
  <si>
    <t>TBTX1094859882</t>
  </si>
  <si>
    <t>TBTX1094697413</t>
  </si>
  <si>
    <t>TBTX1094697197</t>
  </si>
  <si>
    <t>TBTX1094721426</t>
  </si>
  <si>
    <t>TBTX1091484559</t>
  </si>
  <si>
    <t>TBTX1091435593</t>
  </si>
  <si>
    <t>TBTX1091413817</t>
  </si>
  <si>
    <t>TBTX1091428934</t>
  </si>
  <si>
    <t>TBTX1091409394</t>
  </si>
  <si>
    <t>TBTX1091470848</t>
  </si>
  <si>
    <t>TBTX1091409972</t>
  </si>
  <si>
    <t>TBTX1091455044</t>
  </si>
  <si>
    <t>TBTX1091456029</t>
  </si>
  <si>
    <t>TBTX1091461998</t>
  </si>
  <si>
    <t>TBTX1091455526</t>
  </si>
  <si>
    <t>TBTX1091428702</t>
  </si>
  <si>
    <t>TBTX1091484492</t>
  </si>
  <si>
    <t>TBTX1091428632</t>
  </si>
  <si>
    <t>TBTX1091461920</t>
  </si>
  <si>
    <t>TBTX1091484202</t>
  </si>
  <si>
    <t>TBTX1091428739</t>
  </si>
  <si>
    <t>TBTX1091484303</t>
  </si>
  <si>
    <t>TBTX1091461768</t>
  </si>
  <si>
    <t>TBTX1091455246</t>
  </si>
  <si>
    <t>TBTX1091455009</t>
  </si>
  <si>
    <t>TBTX1091429268</t>
  </si>
  <si>
    <t>TBTX1091470340</t>
  </si>
  <si>
    <t>TBTX1091461781</t>
  </si>
  <si>
    <t>TBTX1091484325</t>
  </si>
  <si>
    <t>TBTX1091484701</t>
  </si>
  <si>
    <t>TBTX1091470401</t>
  </si>
  <si>
    <t>TBTX1091470450</t>
  </si>
  <si>
    <t>TBTX1091455852</t>
  </si>
  <si>
    <t>TBTX1091471062</t>
  </si>
  <si>
    <t>TBTX1091435234</t>
  </si>
  <si>
    <t>TBTX1091435396</t>
  </si>
  <si>
    <t>TBTX1091577162</t>
  </si>
  <si>
    <t>TBTX1091579927</t>
  </si>
  <si>
    <t>TBTX1091589279</t>
  </si>
  <si>
    <t>TBTX1091615918</t>
  </si>
  <si>
    <t>TBTX1091587178</t>
  </si>
  <si>
    <t>TBTX1091612509</t>
  </si>
  <si>
    <t>TBTX1091651507</t>
  </si>
  <si>
    <t>TBTX1091598004</t>
  </si>
  <si>
    <t>TBTX1091597867</t>
  </si>
  <si>
    <t>TBTX1091569434</t>
  </si>
  <si>
    <t>TBTX1091600570</t>
  </si>
  <si>
    <t>TBTX1091634808</t>
  </si>
  <si>
    <t>TBTX1091563509</t>
  </si>
  <si>
    <t>TBTX1091563536</t>
  </si>
  <si>
    <t>TBTX1091597780</t>
  </si>
  <si>
    <t>TBTX1091615557</t>
  </si>
  <si>
    <t>TBTX1091616206</t>
  </si>
  <si>
    <t>TBTX1091622461</t>
  </si>
  <si>
    <t>TBTX1091635174</t>
  </si>
  <si>
    <t>TBTX1091589080</t>
  </si>
  <si>
    <t>TBTX1091600829</t>
  </si>
  <si>
    <t>TBTX1091615733</t>
  </si>
  <si>
    <t>TBTX1091546562</t>
  </si>
  <si>
    <t>TBTX1091622187</t>
  </si>
  <si>
    <t>TBTX1091622314</t>
  </si>
  <si>
    <t>TBTX1091651575</t>
  </si>
  <si>
    <t>TBTX1091579626</t>
  </si>
  <si>
    <t>TBTX1091635360</t>
  </si>
  <si>
    <t>TBTX1091635305</t>
  </si>
  <si>
    <t>TBTX1091587136</t>
  </si>
  <si>
    <t>TBTX1091577146</t>
  </si>
  <si>
    <t>TBTX1091580047</t>
  </si>
  <si>
    <t>TBTX1091588879</t>
  </si>
  <si>
    <t>TBTX1091599349</t>
  </si>
  <si>
    <t>TBTX1091634918</t>
  </si>
  <si>
    <t>TBTX1091604944</t>
  </si>
  <si>
    <t>TBTX1091600168</t>
  </si>
  <si>
    <t>TBTX1091622124</t>
  </si>
  <si>
    <t>TBTX1091563153</t>
  </si>
  <si>
    <t>TBTX1091651722</t>
  </si>
  <si>
    <t>TBTX1091615628</t>
  </si>
  <si>
    <t>TBTX1091615605</t>
  </si>
  <si>
    <t>TBTX1091600478</t>
  </si>
  <si>
    <t>TBTX1091247648</t>
  </si>
  <si>
    <t>TBTX1091265486</t>
  </si>
  <si>
    <t>TBTX1091247601</t>
  </si>
  <si>
    <t>TBTX1091229008</t>
  </si>
  <si>
    <t>TBTX1091246060</t>
  </si>
  <si>
    <t>TBTX1091248196</t>
  </si>
  <si>
    <t>TBTX1091228943</t>
  </si>
  <si>
    <t>TBTX1091229253</t>
  </si>
  <si>
    <t>TBTX1091229671</t>
  </si>
  <si>
    <t>TBTX1091190431</t>
  </si>
  <si>
    <t>TBTX1091408578</t>
  </si>
  <si>
    <t>TBTX1091247850</t>
  </si>
  <si>
    <t>TBTX1091229626</t>
  </si>
  <si>
    <t>TBTX1091230059</t>
  </si>
  <si>
    <t>TBTX1091192765</t>
  </si>
  <si>
    <t>TBTX1091303204</t>
  </si>
  <si>
    <t>TBTX1091228563</t>
  </si>
  <si>
    <t>TBTX1091285193</t>
  </si>
  <si>
    <t>TBTX1091303482</t>
  </si>
  <si>
    <t>TBTX1091298170</t>
  </si>
  <si>
    <t>TBTX1091229654</t>
  </si>
  <si>
    <t>TBTX1091230013</t>
  </si>
  <si>
    <t>TBTX1091258717</t>
  </si>
  <si>
    <t>TBTX1091248185</t>
  </si>
  <si>
    <t>TBTX1091246457</t>
  </si>
  <si>
    <t>TBTX1091246073</t>
  </si>
  <si>
    <t>TBTX1091285332</t>
  </si>
  <si>
    <t>TBTX1091285604</t>
  </si>
  <si>
    <t>TBTX1091258984</t>
  </si>
  <si>
    <t>TBTX1091258678</t>
  </si>
  <si>
    <t>TBTX1091196076</t>
  </si>
  <si>
    <t>TBTX1091230188</t>
  </si>
  <si>
    <t>TBTX1091285174</t>
  </si>
  <si>
    <t>TBTX1091290002</t>
  </si>
  <si>
    <t>TBTX1091319328</t>
  </si>
  <si>
    <t>TBTX1091210468</t>
  </si>
  <si>
    <t>TBTX1091228642</t>
  </si>
  <si>
    <t>TBTX1091199425</t>
  </si>
  <si>
    <t>TBTX1091229227</t>
  </si>
  <si>
    <t>TBTX1091204662</t>
  </si>
  <si>
    <t>TBTX1091865719</t>
  </si>
  <si>
    <t>TBTX1091861313</t>
  </si>
  <si>
    <t>TBTX1091861511</t>
  </si>
  <si>
    <t>TBTX1091861063</t>
  </si>
  <si>
    <t>TBTX1091860522</t>
  </si>
  <si>
    <t>TBTX1091845446</t>
  </si>
  <si>
    <t>TBTX1091816166</t>
  </si>
  <si>
    <t>TBTX1091838725</t>
  </si>
  <si>
    <t>TBTX1091777244</t>
  </si>
  <si>
    <t>TBTX1091793111</t>
  </si>
  <si>
    <t>TBTX1091777386</t>
  </si>
  <si>
    <t>TBTX1091802571</t>
  </si>
  <si>
    <t>TBTX1091815786</t>
  </si>
  <si>
    <t>TBTX1091776348</t>
  </si>
  <si>
    <t>TBTX1091776161</t>
  </si>
  <si>
    <t>TBTX1091776520</t>
  </si>
  <si>
    <t>TBTX1091778135</t>
  </si>
  <si>
    <t>TBTX1091794511</t>
  </si>
  <si>
    <t>TBTX1091793167</t>
  </si>
  <si>
    <t>TBTX1091794542</t>
  </si>
  <si>
    <t>TBTX1091815831</t>
  </si>
  <si>
    <t>TBTX1091824971</t>
  </si>
  <si>
    <t>TBTX1091845387</t>
  </si>
  <si>
    <t>TBTX1091839544</t>
  </si>
  <si>
    <t>TBTX1091860718</t>
  </si>
  <si>
    <t>TBTX1091860828</t>
  </si>
  <si>
    <t>TBTX1091861020</t>
  </si>
  <si>
    <t>TBTX1091876247</t>
  </si>
  <si>
    <t>TBTX1091865685</t>
  </si>
  <si>
    <t>TBTX1091892569</t>
  </si>
  <si>
    <t>TBTX1091897227</t>
  </si>
  <si>
    <t>TBTX1091775909</t>
  </si>
  <si>
    <t>TBTX1091776055</t>
  </si>
  <si>
    <t>TBTX1091766924</t>
  </si>
  <si>
    <t>TBTX1091731325</t>
  </si>
  <si>
    <t>TBTX1091719893</t>
  </si>
  <si>
    <t>TBTX1091725349</t>
  </si>
  <si>
    <t>TBTX1091704623</t>
  </si>
  <si>
    <t>TBTX1091658384</t>
  </si>
  <si>
    <t>TBTX1091934635</t>
  </si>
  <si>
    <t>TBTX1091934450</t>
  </si>
  <si>
    <t>TBTX1091748642</t>
  </si>
  <si>
    <t>TBTX1091733670</t>
  </si>
  <si>
    <t>TBTX1091733204</t>
  </si>
  <si>
    <t>TBTX1091729203</t>
  </si>
  <si>
    <t>TBTX1091707113</t>
  </si>
  <si>
    <t>TBTX1091704756</t>
  </si>
  <si>
    <t>TBTX1091699939</t>
  </si>
  <si>
    <t>TBTX1091697804</t>
  </si>
  <si>
    <t>TBTX1091697601</t>
  </si>
  <si>
    <t>TBTX1091677022</t>
  </si>
  <si>
    <t>TBTX1091677599</t>
  </si>
  <si>
    <t>TBTX1091703070</t>
  </si>
  <si>
    <t>TBTX1095224644</t>
  </si>
  <si>
    <t>TBTX1095171435</t>
  </si>
  <si>
    <t>TBTX1095170724</t>
  </si>
  <si>
    <t>TBTX1095207491</t>
  </si>
  <si>
    <t>TBTX1095206620</t>
  </si>
  <si>
    <t>TBTX1095089543</t>
  </si>
  <si>
    <t>TBTX1095088970</t>
  </si>
  <si>
    <t>TBTX1095082286</t>
  </si>
  <si>
    <t>TBTX1095063668</t>
  </si>
  <si>
    <t>TBTX1095054541</t>
  </si>
  <si>
    <t>TBTX1095145799</t>
  </si>
  <si>
    <t>TBTX1095145722</t>
  </si>
  <si>
    <t>TBTX1095137917</t>
  </si>
  <si>
    <t>TBTX1095137330</t>
  </si>
  <si>
    <t>TBTX1095132730</t>
  </si>
  <si>
    <t>TBTX1095129158</t>
  </si>
  <si>
    <t>TBTX1092341550</t>
  </si>
  <si>
    <t>TBTX1092341260</t>
  </si>
  <si>
    <t>TBTX1092372636</t>
  </si>
  <si>
    <t>TBTX1092407506</t>
  </si>
  <si>
    <t>TBTX1092426405</t>
  </si>
  <si>
    <t>TBTX1092425017</t>
  </si>
  <si>
    <t>TBTX1092455859</t>
  </si>
  <si>
    <t>TBTX1092368414</t>
  </si>
  <si>
    <t>TBTX1092393883</t>
  </si>
  <si>
    <t>TBTX1092411182</t>
  </si>
  <si>
    <t>TBTX1092424593</t>
  </si>
  <si>
    <t>TBTX1092426480</t>
  </si>
  <si>
    <t>TBTX1093246473</t>
  </si>
  <si>
    <t>TBTX1093246143</t>
  </si>
  <si>
    <t>TBTX1093245074</t>
  </si>
  <si>
    <t>TBTX1093245552</t>
  </si>
  <si>
    <t>TBTX1093308482</t>
  </si>
  <si>
    <t>TBTX1093308233</t>
  </si>
  <si>
    <t>TBTX1093308999</t>
  </si>
  <si>
    <t>TBTX1092949330</t>
  </si>
  <si>
    <t>TBTX1092949291</t>
  </si>
  <si>
    <t>TBTX1092949510</t>
  </si>
  <si>
    <t>TBTX1092949201</t>
  </si>
  <si>
    <t>TBTX1092956944</t>
  </si>
  <si>
    <t>TBTX1092957073</t>
  </si>
  <si>
    <t>TBTX1092997052</t>
  </si>
  <si>
    <t>TBTX1092967940</t>
  </si>
  <si>
    <t>TBTX1092957372</t>
  </si>
  <si>
    <t>TBTX1092968228</t>
  </si>
  <si>
    <t>TBTX1093084518</t>
  </si>
  <si>
    <t>TBTX1093070358</t>
  </si>
  <si>
    <t>TBTX1093084719</t>
  </si>
  <si>
    <t>TBTX1093070469</t>
  </si>
  <si>
    <t>TBTX1093070699</t>
  </si>
  <si>
    <t>TBTX1093084929</t>
  </si>
  <si>
    <t>TBTX1093073756</t>
  </si>
  <si>
    <t>TBTX1093084831</t>
  </si>
  <si>
    <t>TBTX1092949123</t>
  </si>
  <si>
    <t>TBTX1092949062</t>
  </si>
  <si>
    <t>TBTX1092076093</t>
  </si>
  <si>
    <t>TBTX1091519250</t>
  </si>
  <si>
    <t>TBTX1091500815</t>
  </si>
  <si>
    <t>TBTX1091543004</t>
  </si>
  <si>
    <t>TBTX1091501237</t>
  </si>
  <si>
    <t>TBTX1091515205</t>
  </si>
  <si>
    <t>TBTX1091500849</t>
  </si>
  <si>
    <t>TBTX1091495375</t>
  </si>
  <si>
    <t>TBTX1091493510</t>
  </si>
  <si>
    <t>TBTX1091501137</t>
  </si>
  <si>
    <t>TBTX1092063292</t>
  </si>
  <si>
    <t>TBTX1092042627</t>
  </si>
  <si>
    <t>TBTX1092103679</t>
  </si>
  <si>
    <t>TBTX1092075606</t>
  </si>
  <si>
    <t>TBTX1092063339</t>
  </si>
  <si>
    <t>TBTX1091541512</t>
  </si>
  <si>
    <t>TBTX1091541268</t>
  </si>
  <si>
    <t>TBTX1091495359</t>
  </si>
  <si>
    <t>TBTX1091500946</t>
  </si>
  <si>
    <t>TBTX1091493356</t>
  </si>
  <si>
    <t>TBTX1091493645</t>
  </si>
  <si>
    <t>TBTX1091540925</t>
  </si>
  <si>
    <t>TBTX1091541012</t>
  </si>
  <si>
    <t>TBTX1091563262</t>
  </si>
  <si>
    <t>TBTX1092042230</t>
  </si>
  <si>
    <t>TBTX1092088313</t>
  </si>
  <si>
    <t>TBTX1092075542</t>
  </si>
  <si>
    <t>TBTX1092103724</t>
  </si>
  <si>
    <t>TBTX1091493466</t>
  </si>
  <si>
    <t>TBTX1091519387</t>
  </si>
  <si>
    <t>TBTX1091519892</t>
  </si>
  <si>
    <t>TBTX1091501348</t>
  </si>
  <si>
    <t>TBTX1091542906</t>
  </si>
  <si>
    <t>TBTX1091493401</t>
  </si>
  <si>
    <t>TBTX1091519612</t>
  </si>
  <si>
    <t>TBTX1091622172</t>
  </si>
  <si>
    <t>TBTX1096751767</t>
  </si>
  <si>
    <t>TBTX1096748510</t>
  </si>
  <si>
    <t>TBTX1096748426</t>
  </si>
  <si>
    <t>TBTX1096790221</t>
  </si>
  <si>
    <t>TBTX1096790317</t>
  </si>
  <si>
    <t>TBTX1096791352</t>
  </si>
  <si>
    <t>TBTX1096790885</t>
  </si>
  <si>
    <t>TBTX1096843819</t>
  </si>
  <si>
    <t>TBTX1096843890</t>
  </si>
  <si>
    <t>TBTX1096861514</t>
  </si>
  <si>
    <t>TBTX1096861314</t>
  </si>
  <si>
    <t>TBTX1096751656</t>
  </si>
  <si>
    <t>MIAX1098379069</t>
  </si>
  <si>
    <t>MIAX1098379538</t>
  </si>
  <si>
    <t>MIAX1098379721</t>
  </si>
  <si>
    <t>MIAX1098379979</t>
  </si>
  <si>
    <t>MIAX1098380300</t>
  </si>
  <si>
    <t>MIAX1098565502</t>
  </si>
  <si>
    <t>MIAX1098565683</t>
  </si>
  <si>
    <t>MIAX1098566078</t>
  </si>
  <si>
    <t>MIAX1098378974</t>
  </si>
  <si>
    <t>MIAX1098378901</t>
  </si>
  <si>
    <t>MIAX1098368751</t>
  </si>
  <si>
    <t>MIAX1098368535</t>
  </si>
  <si>
    <t>MIAX1098368487</t>
  </si>
  <si>
    <t>SHYAM SUNDER BISHNOI</t>
  </si>
  <si>
    <t>PRAKASH</t>
  </si>
  <si>
    <t>Chak No 6 Kharicharnan / Kolayat / Bikaner</t>
  </si>
  <si>
    <t>Dhirera / Loonkaransar / Bikaner</t>
  </si>
  <si>
    <t>Gravel</t>
  </si>
  <si>
    <t>Murrum</t>
  </si>
  <si>
    <t>13.01 MT</t>
  </si>
  <si>
    <t>14.04 MT</t>
  </si>
  <si>
    <t>14.01 MT</t>
  </si>
  <si>
    <t>14.03 MT</t>
  </si>
  <si>
    <t>14 MT</t>
  </si>
  <si>
    <t>14.02 MT</t>
  </si>
  <si>
    <t>13.91 MT</t>
  </si>
  <si>
    <t>14.11 MT</t>
  </si>
  <si>
    <t>15.15 MT</t>
  </si>
  <si>
    <t>13.02 MT</t>
  </si>
  <si>
    <t>12.82 MT</t>
  </si>
  <si>
    <t>15.36 MT</t>
  </si>
  <si>
    <t>15.02 MT</t>
  </si>
  <si>
    <t>15.9 MT</t>
  </si>
  <si>
    <t>14.15 MT</t>
  </si>
  <si>
    <t>15.01 MT</t>
  </si>
  <si>
    <t>14.84 MT</t>
  </si>
  <si>
    <t>12.77 MT</t>
  </si>
  <si>
    <t>17.98 MT</t>
  </si>
  <si>
    <t>13.78 MT</t>
  </si>
  <si>
    <t>12.78 MT</t>
  </si>
  <si>
    <t>13.77 MT</t>
  </si>
  <si>
    <t>13.97 MT</t>
  </si>
  <si>
    <t>17 MT</t>
  </si>
  <si>
    <t>16.01 MT</t>
  </si>
  <si>
    <t>16.02 MT</t>
  </si>
  <si>
    <t>14.16 MT</t>
  </si>
  <si>
    <t>11.87 MT</t>
  </si>
  <si>
    <t>12.12 MT</t>
  </si>
  <si>
    <t>13.07 MT</t>
  </si>
  <si>
    <t>13 MT</t>
  </si>
  <si>
    <t>11.97 MT</t>
  </si>
  <si>
    <t>13.13 MT</t>
  </si>
  <si>
    <t>17.02 MT</t>
  </si>
  <si>
    <t>14.12 MT</t>
  </si>
  <si>
    <t>14.1 MT</t>
  </si>
  <si>
    <t>17.01 MT</t>
  </si>
  <si>
    <t>13.75 MT</t>
  </si>
  <si>
    <t>15.12 MT</t>
  </si>
  <si>
    <t>14.18 MT</t>
  </si>
  <si>
    <t>12.87 MT</t>
  </si>
  <si>
    <t>13.04 MT</t>
  </si>
  <si>
    <t>13.05 MT</t>
  </si>
  <si>
    <t>13.92 MT</t>
  </si>
  <si>
    <t>12.05 MT</t>
  </si>
  <si>
    <t>13.03 MT</t>
  </si>
  <si>
    <t>12.97 MT</t>
  </si>
  <si>
    <t>12.96 MT</t>
  </si>
  <si>
    <t>13.93 MT</t>
  </si>
  <si>
    <t>14.13 MT</t>
  </si>
  <si>
    <t>12.86 MT</t>
  </si>
  <si>
    <t>12.94 MT</t>
  </si>
  <si>
    <t>12.69 MT</t>
  </si>
  <si>
    <t>12.98 MT</t>
  </si>
  <si>
    <t>15.21 MT</t>
  </si>
  <si>
    <t>12.64 MT</t>
  </si>
  <si>
    <t>13.17 MT</t>
  </si>
  <si>
    <t>9.88 MT</t>
  </si>
  <si>
    <t>11.91 MT</t>
  </si>
  <si>
    <t>12 MT</t>
  </si>
  <si>
    <t>14.14 MT</t>
  </si>
  <si>
    <t>15.1 MT</t>
  </si>
  <si>
    <t>15.11 MT</t>
  </si>
  <si>
    <t>14.66 MT</t>
  </si>
  <si>
    <t>16.99 MT</t>
  </si>
  <si>
    <t>14.59 MT</t>
  </si>
  <si>
    <t>17.03 MT</t>
  </si>
  <si>
    <t>13.74 MT</t>
  </si>
  <si>
    <t>12.91 MT</t>
  </si>
  <si>
    <t>13.99 MT</t>
  </si>
  <si>
    <t>14.48 MT</t>
  </si>
  <si>
    <t>13.11 MT</t>
  </si>
  <si>
    <t>14.99 MT</t>
  </si>
  <si>
    <t>14.07 MT</t>
  </si>
  <si>
    <t>14.91 MT</t>
  </si>
  <si>
    <t>15.96 MT</t>
  </si>
  <si>
    <t>15.14 MT</t>
  </si>
  <si>
    <t>13.2 MT</t>
  </si>
  <si>
    <t>16.94 MT</t>
  </si>
  <si>
    <t>13.88 MT</t>
  </si>
  <si>
    <t>16.03 MT</t>
  </si>
  <si>
    <t>15.04 MT</t>
  </si>
  <si>
    <t>20.02 MT</t>
  </si>
  <si>
    <t>20.03 MT</t>
  </si>
  <si>
    <t>20.01 MT</t>
  </si>
  <si>
    <t>21.01 MT</t>
  </si>
  <si>
    <t>21.03 MT</t>
  </si>
  <si>
    <t>21.04 MT</t>
  </si>
  <si>
    <t>12.99 MT</t>
  </si>
  <si>
    <t>37.94 MT</t>
  </si>
  <si>
    <t>36.04 MT</t>
  </si>
  <si>
    <t>36.05 MT</t>
  </si>
  <si>
    <t>12.93 MT</t>
  </si>
  <si>
    <t>FOBO1038163792</t>
  </si>
  <si>
    <t>FOBO1038844049</t>
  </si>
  <si>
    <t>FOBO1037705128</t>
  </si>
  <si>
    <t>FOBO1037729652</t>
  </si>
  <si>
    <t>FOBO1037757981</t>
  </si>
  <si>
    <t>20.65 MT</t>
  </si>
  <si>
    <t>21.38 MT</t>
  </si>
  <si>
    <t>50.05 MT</t>
  </si>
  <si>
    <t>52.05 MT</t>
  </si>
  <si>
    <t>52.8 MT</t>
  </si>
  <si>
    <t>ZIGMA STONE CRUSHER</t>
  </si>
  <si>
    <t>SHREEBALAJI(Shribalaji/Nagaur/Nagaur)</t>
  </si>
  <si>
    <t>MEQS1036898975</t>
  </si>
  <si>
    <t>MEQS1036918703</t>
  </si>
  <si>
    <t>MEQS10368938246</t>
  </si>
  <si>
    <t>VNMI1037370667</t>
  </si>
  <si>
    <t>VNMI1037088198</t>
  </si>
  <si>
    <t>VNMI1037382939</t>
  </si>
  <si>
    <t>VNMI1037086831</t>
  </si>
  <si>
    <t>VNMI1037114127</t>
  </si>
  <si>
    <t>VNMI1037142206</t>
  </si>
  <si>
    <t>VNMI1037143292</t>
  </si>
  <si>
    <t>VNMI1037140899</t>
  </si>
  <si>
    <t>VNMI1037140696</t>
  </si>
  <si>
    <t>MEQS1037170473</t>
  </si>
  <si>
    <t>MEQS1037192004</t>
  </si>
  <si>
    <t>VNMI1037220893</t>
  </si>
  <si>
    <t>VNMI1037220966</t>
  </si>
  <si>
    <t>VNMI1037292996</t>
  </si>
  <si>
    <t>VNMI1037303508</t>
  </si>
  <si>
    <t>VNMI1037318651</t>
  </si>
  <si>
    <t>VNMI1037315450</t>
  </si>
  <si>
    <t>VNMI1037315387</t>
  </si>
  <si>
    <t>VNMI1037328611</t>
  </si>
  <si>
    <t>MLCF1037332143</t>
  </si>
  <si>
    <t>VNMI1037341703</t>
  </si>
  <si>
    <t>MLCF1037354025</t>
  </si>
  <si>
    <t>MEQS1037357803</t>
  </si>
  <si>
    <t>MLCF1037354153</t>
  </si>
  <si>
    <t>MLCF1037354181</t>
  </si>
  <si>
    <t>MEQS1037368937</t>
  </si>
  <si>
    <t>MLCF1037366208</t>
  </si>
  <si>
    <t>MLCF1037366240</t>
  </si>
  <si>
    <t>VNMI1037363024</t>
  </si>
  <si>
    <t>VNMI1037366136</t>
  </si>
  <si>
    <t>VNMI1037364431</t>
  </si>
  <si>
    <t>VNMI1037361148</t>
  </si>
  <si>
    <t>VNMI1037360712</t>
  </si>
  <si>
    <t>VNMI1037365402</t>
  </si>
  <si>
    <t>VNMI1037367919</t>
  </si>
  <si>
    <t>VNMI1037367876</t>
  </si>
  <si>
    <t>MEQS1037379117</t>
  </si>
  <si>
    <t>VNMI1037374636</t>
  </si>
  <si>
    <t>VNMI1037377799</t>
  </si>
  <si>
    <t>VNMI1037377669</t>
  </si>
  <si>
    <t>VNMI1037372469</t>
  </si>
  <si>
    <t>MLCF1037386665</t>
  </si>
  <si>
    <t>MLCF1037386754</t>
  </si>
  <si>
    <t>MLCF1037387292</t>
  </si>
  <si>
    <t>VNMI1037387632</t>
  </si>
  <si>
    <t>VNMI1037383358</t>
  </si>
  <si>
    <t>MEQS1037403708</t>
  </si>
  <si>
    <t>VNMI1037392707</t>
  </si>
  <si>
    <t>VNMI1037398729</t>
  </si>
  <si>
    <t>VNMI1037397162</t>
  </si>
  <si>
    <t>VNMI1037393151</t>
  </si>
  <si>
    <t>VNMI1037399102</t>
  </si>
  <si>
    <t>VNMI1037399022</t>
  </si>
  <si>
    <t>VNMI1037404196</t>
  </si>
  <si>
    <t>VNMI1037403411</t>
  </si>
  <si>
    <t>VNMI1037402981</t>
  </si>
  <si>
    <t>MEQS1037417809</t>
  </si>
  <si>
    <t>VNMI1037431017</t>
  </si>
  <si>
    <t>VNMI1037427208</t>
  </si>
  <si>
    <t>VNMI1037424830</t>
  </si>
  <si>
    <t>MLCF1037780535</t>
  </si>
  <si>
    <t>MLCF1037780458</t>
  </si>
  <si>
    <t>MLCF1037439934</t>
  </si>
  <si>
    <t>MLCF1037439969</t>
  </si>
  <si>
    <t>MLCF1037440030</t>
  </si>
  <si>
    <t>VNMI1037447883</t>
  </si>
  <si>
    <t>VNMI1037447799</t>
  </si>
  <si>
    <t>VNMI1037451256</t>
  </si>
  <si>
    <t>VNMI1037446448</t>
  </si>
  <si>
    <t>VNMI1037445838</t>
  </si>
  <si>
    <t>VNMI1037460155</t>
  </si>
  <si>
    <t>VNMI1037458570</t>
  </si>
  <si>
    <t>VNMI1037467669</t>
  </si>
  <si>
    <t>VNMI1037467322</t>
  </si>
  <si>
    <t>VNMI1037469010</t>
  </si>
  <si>
    <t>VNMI1037463917</t>
  </si>
  <si>
    <t>VNMI1037465724</t>
  </si>
  <si>
    <t>VNMI1037478139</t>
  </si>
  <si>
    <t>VNMI1037480332</t>
  </si>
  <si>
    <t>VNMI1037479279</t>
  </si>
  <si>
    <t>MLCF1037490256</t>
  </si>
  <si>
    <t>MLCF1037490233</t>
  </si>
  <si>
    <t>MLCF1037490168</t>
  </si>
  <si>
    <t>VNMI1037492094</t>
  </si>
  <si>
    <t>VNMI1037492614</t>
  </si>
  <si>
    <t>VNMI1037486654</t>
  </si>
  <si>
    <t>VNMI1037486467</t>
  </si>
  <si>
    <t>VNMI1037485705</t>
  </si>
  <si>
    <t>VNMI1037485366</t>
  </si>
  <si>
    <t>MLCF1037500930</t>
  </si>
  <si>
    <t>MLCF1037500998</t>
  </si>
  <si>
    <t>MLCF1037500721</t>
  </si>
  <si>
    <t>VNMI1037497015</t>
  </si>
  <si>
    <t>VNMI1037497094</t>
  </si>
  <si>
    <t>VNMI1037500803</t>
  </si>
  <si>
    <t>VNMI1037499349</t>
  </si>
  <si>
    <t>VNMI1037493867</t>
  </si>
  <si>
    <t>VNMI1037507637</t>
  </si>
  <si>
    <t>MLCF1037522351</t>
  </si>
  <si>
    <t>VNMI1037522674</t>
  </si>
  <si>
    <t>VNMI1037540505</t>
  </si>
  <si>
    <t>VNMI1037540673</t>
  </si>
  <si>
    <t>VNMI1037541757</t>
  </si>
  <si>
    <t>VNMI1037542245</t>
  </si>
  <si>
    <t>VNMI1037547075</t>
  </si>
  <si>
    <t>VNMI1037545487</t>
  </si>
  <si>
    <t>VNMI1037557800</t>
  </si>
  <si>
    <t>VNMI1037553772</t>
  </si>
  <si>
    <t>VNMI1037545580</t>
  </si>
  <si>
    <t>VNMI1037544739</t>
  </si>
  <si>
    <t>JEGT1037570762</t>
  </si>
  <si>
    <t>VNMI1037556125</t>
  </si>
  <si>
    <t>VNMI1037561268</t>
  </si>
  <si>
    <t>VNMI1037554512</t>
  </si>
  <si>
    <t>JEGT1037570731</t>
  </si>
  <si>
    <t>JEGT1037570884</t>
  </si>
  <si>
    <t>JEGT1037570660</t>
  </si>
  <si>
    <t>VNMI1037571433</t>
  </si>
  <si>
    <t>VNMI1037578177</t>
  </si>
  <si>
    <t>VNMI1037583733</t>
  </si>
  <si>
    <t>VNMI1037572476</t>
  </si>
  <si>
    <t>NJCL1037567315</t>
  </si>
  <si>
    <t>VNMI1037582024</t>
  </si>
  <si>
    <t>VNMI1037589189</t>
  </si>
  <si>
    <t>VNMI1037591768</t>
  </si>
  <si>
    <t>VNMI1037579952</t>
  </si>
  <si>
    <t>VNMI1037597870</t>
  </si>
  <si>
    <t>VNMI1037590338</t>
  </si>
  <si>
    <t>VNMI1037606216</t>
  </si>
  <si>
    <t>NJCL1037594994</t>
  </si>
  <si>
    <t>NJCL1037594885</t>
  </si>
  <si>
    <t>VNMI1037587666</t>
  </si>
  <si>
    <t>VNMI1037602866</t>
  </si>
  <si>
    <t>VNMI1037599607</t>
  </si>
  <si>
    <t>MEQS1037618303</t>
  </si>
  <si>
    <t>MEQS1037625540</t>
  </si>
  <si>
    <t>MEQS1037618349</t>
  </si>
  <si>
    <t>VNMI1037630224</t>
  </si>
  <si>
    <t>NJCL1037619053</t>
  </si>
  <si>
    <t>NJCL1037619969</t>
  </si>
  <si>
    <t>JEGT1037630983</t>
  </si>
  <si>
    <t>JEGT1037630957</t>
  </si>
  <si>
    <t>JEGT1037639386</t>
  </si>
  <si>
    <t>JEGT1037630202</t>
  </si>
  <si>
    <t>JEGT1037639302</t>
  </si>
  <si>
    <t>VNMI1037629183</t>
  </si>
  <si>
    <t>VNMI1037639474</t>
  </si>
  <si>
    <t>NJCL1037632927</t>
  </si>
  <si>
    <t>NJCL1037632800</t>
  </si>
  <si>
    <t>VNMI1037629755</t>
  </si>
  <si>
    <t>VNMI1037626822</t>
  </si>
  <si>
    <t>MEQS1037653007</t>
  </si>
  <si>
    <t>VNMI1037644046</t>
  </si>
  <si>
    <t>VNMI1037642839</t>
  </si>
  <si>
    <t>VNMI1037641138</t>
  </si>
  <si>
    <t>NJCL1037642111</t>
  </si>
  <si>
    <t>MEQS1037654537</t>
  </si>
  <si>
    <t>MEQS1037654336</t>
  </si>
  <si>
    <t>VNMI1037654032</t>
  </si>
  <si>
    <t>NJCL1037657700</t>
  </si>
  <si>
    <t>NJCL1037657783</t>
  </si>
  <si>
    <t>VNMI1037658800</t>
  </si>
  <si>
    <t>VNMI1037668752</t>
  </si>
  <si>
    <t>VNMI1037670661</t>
  </si>
  <si>
    <t>VNMI1037672468</t>
  </si>
  <si>
    <t>VNMI1037682582</t>
  </si>
  <si>
    <t>VNMI1037681511</t>
  </si>
  <si>
    <t>NJCL1037682330</t>
  </si>
  <si>
    <t>MEQS1037689502</t>
  </si>
  <si>
    <t>VNMI1037693516</t>
  </si>
  <si>
    <t>VNMI1037700993</t>
  </si>
  <si>
    <t>VNMI1037691428</t>
  </si>
  <si>
    <t>NJCL1037693685</t>
  </si>
  <si>
    <t>MEQS1037694546</t>
  </si>
  <si>
    <t>NJCL1037695404</t>
  </si>
  <si>
    <t>MEQS1037701618</t>
  </si>
  <si>
    <t>MEQS1037689943</t>
  </si>
  <si>
    <t>VNMI1037714986</t>
  </si>
  <si>
    <t>VNMI1037717443</t>
  </si>
  <si>
    <t>VNMI1037713640</t>
  </si>
  <si>
    <t>VNMI1037711646</t>
  </si>
  <si>
    <t>VNMI1037706293</t>
  </si>
  <si>
    <t>NJCL1037703818</t>
  </si>
  <si>
    <t>NJCL1037707881</t>
  </si>
  <si>
    <t>MEQS1037707697</t>
  </si>
  <si>
    <t>VNMI1037706640</t>
  </si>
  <si>
    <t>VNMI1037708712</t>
  </si>
  <si>
    <t>VNMI1037702467</t>
  </si>
  <si>
    <t>VNMI1037706196</t>
  </si>
  <si>
    <t>VNMI1037732843</t>
  </si>
  <si>
    <t>VNMI1037729425</t>
  </si>
  <si>
    <t>NJCL1037720565</t>
  </si>
  <si>
    <t>VNMI1037715845</t>
  </si>
  <si>
    <t>VNMI1037717982</t>
  </si>
  <si>
    <t>VNMI1037721933</t>
  </si>
  <si>
    <t>NJCL1037729054</t>
  </si>
  <si>
    <t>VNMI1037746535</t>
  </si>
  <si>
    <t>VNMI1037737196</t>
  </si>
  <si>
    <t>NJCL1037733578</t>
  </si>
  <si>
    <t>MEQS1037738965</t>
  </si>
  <si>
    <t>MEQS1037738362</t>
  </si>
  <si>
    <t>VNMI1037737370</t>
  </si>
  <si>
    <t>VNMI1037733271</t>
  </si>
  <si>
    <t>VNMI1037740371</t>
  </si>
  <si>
    <t>MEQS1037745941</t>
  </si>
  <si>
    <t>VNMI1037754566</t>
  </si>
  <si>
    <t>VNMI1037756215</t>
  </si>
  <si>
    <t>VNMI1037751845</t>
  </si>
  <si>
    <t>NJCL1037757708</t>
  </si>
  <si>
    <t>NJCL1037757869</t>
  </si>
  <si>
    <t>MEQS1037753483</t>
  </si>
  <si>
    <t>VNMI1037770290</t>
  </si>
  <si>
    <t>VNMI1037771358</t>
  </si>
  <si>
    <t>VNMI1037776652</t>
  </si>
  <si>
    <t>VNMI1037792674</t>
  </si>
  <si>
    <t>VNMI1037791339</t>
  </si>
  <si>
    <t>VNMI1037779827</t>
  </si>
  <si>
    <t>MEQS1037777762</t>
  </si>
  <si>
    <t>NJCL1037792708</t>
  </si>
  <si>
    <t>NJCL1037792550</t>
  </si>
  <si>
    <t>MEQS1037790577</t>
  </si>
  <si>
    <t>VNMI1037797951</t>
  </si>
  <si>
    <t>VNMI1037811716</t>
  </si>
  <si>
    <t>VNMI1037800611</t>
  </si>
  <si>
    <t>MEQS1037812641</t>
  </si>
  <si>
    <t>NJCL1037813255</t>
  </si>
  <si>
    <t>NJCL1037814208</t>
  </si>
  <si>
    <t>VNMI1037837038</t>
  </si>
  <si>
    <t>MLCF1037838661</t>
  </si>
  <si>
    <t>VNMI1037822071</t>
  </si>
  <si>
    <t>VNMI1037819301</t>
  </si>
  <si>
    <t>VNMI1037822584</t>
  </si>
  <si>
    <t>MLCF1037838709</t>
  </si>
  <si>
    <t>NJCL1037844312</t>
  </si>
  <si>
    <t>NJCL1037844201</t>
  </si>
  <si>
    <t>MLCF1037834748</t>
  </si>
  <si>
    <t>VNMI1037833902</t>
  </si>
  <si>
    <t>VNMI1037845822</t>
  </si>
  <si>
    <t>VNMI1037845918</t>
  </si>
  <si>
    <t>NJCL1037849399</t>
  </si>
  <si>
    <t>NJCL1037849754</t>
  </si>
  <si>
    <t>VNMI1037870460</t>
  </si>
  <si>
    <t>MEQS1037868723</t>
  </si>
  <si>
    <t>MEQS1037868839</t>
  </si>
  <si>
    <t>MEQS1037868651</t>
  </si>
  <si>
    <t>NJCL1037863227</t>
  </si>
  <si>
    <t>VNMI1037876167</t>
  </si>
  <si>
    <t>VNMI1037871846</t>
  </si>
  <si>
    <t>NJCL1037874105</t>
  </si>
  <si>
    <t>MEQS1036583990</t>
  </si>
  <si>
    <t>MEQS1036583962</t>
  </si>
  <si>
    <t>YHWX1037886626</t>
  </si>
  <si>
    <t>VNMI1037890630</t>
  </si>
  <si>
    <t>VNMI1037883672</t>
  </si>
  <si>
    <t>VNMI1037898294</t>
  </si>
  <si>
    <t>VNMI1037898187</t>
  </si>
  <si>
    <t>VNMI1037900822</t>
  </si>
  <si>
    <t>MEQS1037899394</t>
  </si>
  <si>
    <t>MEQS1037898232</t>
  </si>
  <si>
    <t>MEQS1037910586</t>
  </si>
  <si>
    <t>MEQS1037910710</t>
  </si>
  <si>
    <t>YHWX1037940743</t>
  </si>
  <si>
    <t>YHWX1037942017</t>
  </si>
  <si>
    <t>YHWX1037928005</t>
  </si>
  <si>
    <t>VNMI1037928958</t>
  </si>
  <si>
    <t>MEQS1037934628</t>
  </si>
  <si>
    <t>MEQS1037933940</t>
  </si>
  <si>
    <t>VNMI1037939163</t>
  </si>
  <si>
    <t>VNMI1037943438</t>
  </si>
  <si>
    <t>VNMI1037937322</t>
  </si>
  <si>
    <t>MEQS1037960464</t>
  </si>
  <si>
    <t>VNMI1037954821</t>
  </si>
  <si>
    <t>VNMI1037951726</t>
  </si>
  <si>
    <t>VNMI1037952943</t>
  </si>
  <si>
    <t>MLCF1037950473</t>
  </si>
  <si>
    <t>MLCF1037955564</t>
  </si>
  <si>
    <t>MLCF1037954963</t>
  </si>
  <si>
    <t>VNMI1037950377</t>
  </si>
  <si>
    <t>VNMI1037963278</t>
  </si>
  <si>
    <t>YHWS1037964894</t>
  </si>
  <si>
    <t>MLCF1037962544</t>
  </si>
  <si>
    <t>MLCF1037961395</t>
  </si>
  <si>
    <t>MLCF1037966603</t>
  </si>
  <si>
    <t>MEQS1037963977</t>
  </si>
  <si>
    <t>MEQS1037963710</t>
  </si>
  <si>
    <t>VNMI1037977444</t>
  </si>
  <si>
    <t>VNMI1037977570</t>
  </si>
  <si>
    <t>VNMI1037977757</t>
  </si>
  <si>
    <t>MLCF1037974126</t>
  </si>
  <si>
    <t>VNMI1037978167</t>
  </si>
  <si>
    <t>MLCF1037979225</t>
  </si>
  <si>
    <t>MLCF1037978115</t>
  </si>
  <si>
    <t>VNMI1037990061</t>
  </si>
  <si>
    <t>VNMI1037991283</t>
  </si>
  <si>
    <t>MLCF1037987433</t>
  </si>
  <si>
    <t>VNMI1037990216</t>
  </si>
  <si>
    <t>VNMI1038008115</t>
  </si>
  <si>
    <t>VNMI1038007271</t>
  </si>
  <si>
    <t>VNMI1038001328</t>
  </si>
  <si>
    <t>VNMI1038004138</t>
  </si>
  <si>
    <t>VNMI1038010530</t>
  </si>
  <si>
    <t>VNMI1038010584</t>
  </si>
  <si>
    <t>VNMI1038011043</t>
  </si>
  <si>
    <t>MEQS1038006145</t>
  </si>
  <si>
    <t>VNMI1038016199</t>
  </si>
  <si>
    <t>VNMI1038020081</t>
  </si>
  <si>
    <t>MLCF1038038763</t>
  </si>
  <si>
    <t>MLCF1038035843</t>
  </si>
  <si>
    <t>MLCF1038046606</t>
  </si>
  <si>
    <t>VNMI1038081356</t>
  </si>
  <si>
    <t>VNMI1038084097</t>
  </si>
  <si>
    <t>VNMI1038090520</t>
  </si>
  <si>
    <t>VNMI1037972655</t>
  </si>
  <si>
    <t>VNMI1037983088</t>
  </si>
  <si>
    <t>VNMI1038069080</t>
  </si>
  <si>
    <t>VNMI1038064853</t>
  </si>
  <si>
    <t>VNMI1038062659</t>
  </si>
  <si>
    <t>VNMI1038046815</t>
  </si>
  <si>
    <t>VNMI1038023718</t>
  </si>
  <si>
    <t>VNMI1037999684</t>
  </si>
  <si>
    <t>VNMI1037945828</t>
  </si>
  <si>
    <t>VNMI1037934395</t>
  </si>
  <si>
    <t>VNMI1037940839</t>
  </si>
  <si>
    <t>VNMI1037924870</t>
  </si>
  <si>
    <t>VNMI1037917817</t>
  </si>
  <si>
    <t>VNMI1037909752</t>
  </si>
  <si>
    <t>VNMI1037911040</t>
  </si>
  <si>
    <t>VNMI1037904901</t>
  </si>
  <si>
    <t>VNMI1037893572</t>
  </si>
  <si>
    <t>VNMI1037899006</t>
  </si>
  <si>
    <t>VNMI1037891868</t>
  </si>
  <si>
    <t>VNMI1037891127</t>
  </si>
  <si>
    <t>VNMI1037891239</t>
  </si>
  <si>
    <t>VNMI1037881125</t>
  </si>
  <si>
    <t>VNMI1037860549</t>
  </si>
  <si>
    <t>VNMI1037950217</t>
  </si>
  <si>
    <t>VNMI1037817113</t>
  </si>
  <si>
    <t>VNMI1037831888</t>
  </si>
  <si>
    <t>VNMI1037832085</t>
  </si>
  <si>
    <t>VNMI1037844069</t>
  </si>
  <si>
    <t>VNMI1037847547</t>
  </si>
  <si>
    <t>VNMI1037850435</t>
  </si>
  <si>
    <t>VNMI1037855145</t>
  </si>
  <si>
    <t>VNMI1037872002</t>
  </si>
  <si>
    <t>VNMI1038104641</t>
  </si>
  <si>
    <t>VNMI1038104314</t>
  </si>
  <si>
    <t>VNMI1038107633</t>
  </si>
  <si>
    <t>VNMI1038107067</t>
  </si>
  <si>
    <t>VNMI1037851896</t>
  </si>
  <si>
    <t>VNMI1037851996</t>
  </si>
  <si>
    <t>VNMI1037852024</t>
  </si>
  <si>
    <t>VNMI1037852046</t>
  </si>
  <si>
    <t>VNMI1037852077</t>
  </si>
  <si>
    <t>VNMI1037852112</t>
  </si>
  <si>
    <t>VNMI1037852147</t>
  </si>
  <si>
    <t>VNMI1037852177</t>
  </si>
  <si>
    <t>VNMI1037853374</t>
  </si>
  <si>
    <t>VNMI1037853421</t>
  </si>
  <si>
    <t>VNMI1037859632</t>
  </si>
  <si>
    <t>VNMI1037859763</t>
  </si>
  <si>
    <t>VNMI1037860351</t>
  </si>
  <si>
    <t>VNMI1037861507</t>
  </si>
  <si>
    <t>VNMI1037861679</t>
  </si>
  <si>
    <t>VNMI1037861758</t>
  </si>
  <si>
    <t>VNMI1037862748</t>
  </si>
  <si>
    <t>VNMI1037862816</t>
  </si>
  <si>
    <t>VNMI1037862885</t>
  </si>
  <si>
    <t>VNMI1037862963</t>
  </si>
  <si>
    <t>VNMI1037863058</t>
  </si>
  <si>
    <t>VNMI1037863143</t>
  </si>
  <si>
    <t>VNMI1038160108</t>
  </si>
  <si>
    <t>VNMI1038171687</t>
  </si>
  <si>
    <t>VNMI1038151645</t>
  </si>
  <si>
    <t>VNMI1038153275</t>
  </si>
  <si>
    <t>VNMI1038148957</t>
  </si>
  <si>
    <t>VNMI1038149742</t>
  </si>
  <si>
    <t>VNMI1038155826</t>
  </si>
  <si>
    <t>VNMI1038123041</t>
  </si>
  <si>
    <t>VNMI1038122160</t>
  </si>
  <si>
    <t>VNMI1038097178</t>
  </si>
  <si>
    <t>VNMI1038097402</t>
  </si>
  <si>
    <t>VNMI1038082071</t>
  </si>
  <si>
    <t>VNMI1038058552</t>
  </si>
  <si>
    <t>VNMI1038063728</t>
  </si>
  <si>
    <t>VNMI1038034845</t>
  </si>
  <si>
    <t>VNMI1038037536</t>
  </si>
  <si>
    <t>YHWX1038168133</t>
  </si>
  <si>
    <t>YHWX1038219292</t>
  </si>
  <si>
    <t>YHWX1038159912</t>
  </si>
  <si>
    <t>VNMI1038158442</t>
  </si>
  <si>
    <t>YHWX1038139070</t>
  </si>
  <si>
    <t>YHWX1038178656</t>
  </si>
  <si>
    <t>MLCF1038065491</t>
  </si>
  <si>
    <t>YHWX1038125395</t>
  </si>
  <si>
    <t>MLCF1038064141</t>
  </si>
  <si>
    <t>YHWX1038125709</t>
  </si>
  <si>
    <t>MLCF1038061477</t>
  </si>
  <si>
    <t>MLCF1038062949</t>
  </si>
  <si>
    <t>MLCF1038057440</t>
  </si>
  <si>
    <t>YHWX1038191521</t>
  </si>
  <si>
    <t>YHWX1038218615</t>
  </si>
  <si>
    <t>MLCF1038038574</t>
  </si>
  <si>
    <t>NJCL1037720895</t>
  </si>
  <si>
    <t>MLCF1038029340</t>
  </si>
  <si>
    <t>MLCF1038030840</t>
  </si>
  <si>
    <t>MEQS1038026000</t>
  </si>
  <si>
    <t>MEQS1038026204</t>
  </si>
  <si>
    <t>MEQS1038047019</t>
  </si>
  <si>
    <t>MEQS1038190271</t>
  </si>
  <si>
    <t>MEQS1038250998</t>
  </si>
  <si>
    <t>MEQS1038185109</t>
  </si>
  <si>
    <t>MEQS1038031668</t>
  </si>
  <si>
    <t>MEQS1038041425</t>
  </si>
  <si>
    <t>MEQS1038041501</t>
  </si>
  <si>
    <t>MEQS1038046998</t>
  </si>
  <si>
    <t>MEQS1038047221</t>
  </si>
  <si>
    <t>MEQS1038072729</t>
  </si>
  <si>
    <t>MEQS1038072595</t>
  </si>
  <si>
    <t>VNMI1038266879</t>
  </si>
  <si>
    <t>VNMI1038263309</t>
  </si>
  <si>
    <t>VNMI1038319720</t>
  </si>
  <si>
    <t>VNMI1038321825</t>
  </si>
  <si>
    <t>VNMI1038316226</t>
  </si>
  <si>
    <t>VNMI1038306487</t>
  </si>
  <si>
    <t>VNMI1038301761</t>
  </si>
  <si>
    <t>VNMI1038304132</t>
  </si>
  <si>
    <t>VNMI1038277185</t>
  </si>
  <si>
    <t>VNMI1038286469</t>
  </si>
  <si>
    <t>MLCF1038298339</t>
  </si>
  <si>
    <t>MLCF1038308224</t>
  </si>
  <si>
    <t>MLCF1038308787</t>
  </si>
  <si>
    <t>MLCF1038292508</t>
  </si>
  <si>
    <t>MLCF1038307150</t>
  </si>
  <si>
    <t>MEQS1038145125</t>
  </si>
  <si>
    <t>MEQS1037238652</t>
  </si>
  <si>
    <t>MEQS1038120068</t>
  </si>
  <si>
    <t>MEQS1038120042</t>
  </si>
  <si>
    <t>MLCF1038248593</t>
  </si>
  <si>
    <t>MLCF1038248243</t>
  </si>
  <si>
    <t>MLCF1038274568</t>
  </si>
  <si>
    <t>MLCF1038248752</t>
  </si>
  <si>
    <t>MLCF1038275806</t>
  </si>
  <si>
    <t>MLCF1038275953</t>
  </si>
  <si>
    <t>MLCF1038276097</t>
  </si>
  <si>
    <t>MLCF1038276701</t>
  </si>
  <si>
    <t>MLCF1038279305</t>
  </si>
  <si>
    <t>MLCF1038276447</t>
  </si>
  <si>
    <t>MLCF1038276622</t>
  </si>
  <si>
    <t>MLCF1038279692</t>
  </si>
  <si>
    <t>MLCF1038276200</t>
  </si>
  <si>
    <t>MLCF1038281367</t>
  </si>
  <si>
    <t>MLCF1038282522</t>
  </si>
  <si>
    <t>MLCF1038288904</t>
  </si>
  <si>
    <t>MLCF1038289211</t>
  </si>
  <si>
    <t>MLCF1038290252</t>
  </si>
  <si>
    <t>MLCF1038289302</t>
  </si>
  <si>
    <t>MLCF1038290108</t>
  </si>
  <si>
    <t>MLCF1038290057</t>
  </si>
  <si>
    <t>MLCF1038242986</t>
  </si>
  <si>
    <t>MLCF1038245168</t>
  </si>
  <si>
    <t>MLCF1038245842</t>
  </si>
  <si>
    <t>MLCF1038246984</t>
  </si>
  <si>
    <t>MLCF1038247162</t>
  </si>
  <si>
    <t>MLCF1038247605</t>
  </si>
  <si>
    <t>MLCF1038247768</t>
  </si>
  <si>
    <t>MLCF1038248126</t>
  </si>
  <si>
    <t>YHWX1038317361</t>
  </si>
  <si>
    <t>YHWX1038310453</t>
  </si>
  <si>
    <t>YHWX1038317736</t>
  </si>
  <si>
    <t>YHWX1038296064</t>
  </si>
  <si>
    <t>YHWX1038228651</t>
  </si>
  <si>
    <t>YHWX1038281011</t>
  </si>
  <si>
    <t>YHWX1038280652</t>
  </si>
  <si>
    <t>YHWX1038279389</t>
  </si>
  <si>
    <t>YHWX1038277246</t>
  </si>
  <si>
    <t>YHWX1038254760</t>
  </si>
  <si>
    <t>YHWX1038233268</t>
  </si>
  <si>
    <t>YHWX1038226600</t>
  </si>
  <si>
    <t>YHWX1038318122</t>
  </si>
  <si>
    <t>YHWX1038296124</t>
  </si>
  <si>
    <t>MLCF1037522309</t>
  </si>
  <si>
    <t>VNMI1038325306</t>
  </si>
  <si>
    <t>VNMI1038321471</t>
  </si>
  <si>
    <t>YHWX1038337004</t>
  </si>
  <si>
    <t>YHWX1038337599</t>
  </si>
  <si>
    <t>VNMI1038290204</t>
  </si>
  <si>
    <t>VNMI1038307816</t>
  </si>
  <si>
    <t>VNMI1038294698</t>
  </si>
  <si>
    <t>VNMI1038214546</t>
  </si>
  <si>
    <t>VNMI1038146809</t>
  </si>
  <si>
    <t>VNMI1038145126</t>
  </si>
  <si>
    <t>VNMI1038128836</t>
  </si>
  <si>
    <t>VNMI1038114163</t>
  </si>
  <si>
    <t>VNMI1038114390</t>
  </si>
  <si>
    <t>VNMI1038110323</t>
  </si>
  <si>
    <t>VNMI1038310129</t>
  </si>
  <si>
    <t>VNMI1038282344</t>
  </si>
  <si>
    <t>VNMI1038281723</t>
  </si>
  <si>
    <t>VNMI1038312678</t>
  </si>
  <si>
    <t>VNMI1038292995</t>
  </si>
  <si>
    <t>VNMI1038016956</t>
  </si>
  <si>
    <t>VNMI1038072008</t>
  </si>
  <si>
    <t>VNMI1038075445</t>
  </si>
  <si>
    <t>VNMI1038118192</t>
  </si>
  <si>
    <t>VNMI1038139487</t>
  </si>
  <si>
    <t>VNMI1038140756</t>
  </si>
  <si>
    <t>VNMI1038140821</t>
  </si>
  <si>
    <t>VNMI1038136479</t>
  </si>
  <si>
    <t>VNMI1038134003</t>
  </si>
  <si>
    <t>VNMI1038151730</t>
  </si>
  <si>
    <t>VNMI1038151906</t>
  </si>
  <si>
    <t>VNMI1038146695</t>
  </si>
  <si>
    <t>VNMI1038136866</t>
  </si>
  <si>
    <t>VNMI1038133691</t>
  </si>
  <si>
    <t>VNMI1038162451</t>
  </si>
  <si>
    <t>VNMI1037973966</t>
  </si>
  <si>
    <t>VNMI1038163848</t>
  </si>
  <si>
    <t>VNMI1037973821</t>
  </si>
  <si>
    <t>VNMI1038167785</t>
  </si>
  <si>
    <t>VNMI1037981016</t>
  </si>
  <si>
    <t>VNMI1037957487</t>
  </si>
  <si>
    <t>VNMI1038172357</t>
  </si>
  <si>
    <t>VNMI1038172483</t>
  </si>
  <si>
    <t>VNMI1038177583</t>
  </si>
  <si>
    <t>VNMI1038172104</t>
  </si>
  <si>
    <t>VNMI1038176244</t>
  </si>
  <si>
    <t>VNMI1038178668</t>
  </si>
  <si>
    <t>VNMI1038166628</t>
  </si>
  <si>
    <t>VNMI1038332402</t>
  </si>
  <si>
    <t>VNMI1037725499</t>
  </si>
  <si>
    <t>VNMI1038090665</t>
  </si>
  <si>
    <t>VNMI1038130071</t>
  </si>
  <si>
    <t>VNMI1038374207</t>
  </si>
  <si>
    <t>VNMI1038375920</t>
  </si>
  <si>
    <t>VNMI1038388775</t>
  </si>
  <si>
    <t>VNMI1038414361</t>
  </si>
  <si>
    <t>VNMI1038416039</t>
  </si>
  <si>
    <t>VNMI1038416186</t>
  </si>
  <si>
    <t>VNMI1038427614</t>
  </si>
  <si>
    <t>VNMI1038452543</t>
  </si>
  <si>
    <t>VNMI1038452714</t>
  </si>
  <si>
    <t>VNMI1038452805</t>
  </si>
  <si>
    <t>VNMI1038452962</t>
  </si>
  <si>
    <t>VNMI1038457295</t>
  </si>
  <si>
    <t>VNMI1038458472</t>
  </si>
  <si>
    <t>VNMI1038460792</t>
  </si>
  <si>
    <t>VNMI1038460904</t>
  </si>
  <si>
    <t>VNMI1038460934</t>
  </si>
  <si>
    <t>VNMI1038461716</t>
  </si>
  <si>
    <t>VNMI1038461745</t>
  </si>
  <si>
    <t>VNMI1038461842</t>
  </si>
  <si>
    <t>VNMI1038461911</t>
  </si>
  <si>
    <t>VNMI1038461995</t>
  </si>
  <si>
    <t>VNMI1038462030</t>
  </si>
  <si>
    <t>VNMI1038462096</t>
  </si>
  <si>
    <t>VNMI1038471530</t>
  </si>
  <si>
    <t>VNMI1038475336</t>
  </si>
  <si>
    <t>VNMI1038478225</t>
  </si>
  <si>
    <t>VNMI1038473301</t>
  </si>
  <si>
    <t>WOBU1037871105</t>
  </si>
  <si>
    <t>VNMI1038492850</t>
  </si>
  <si>
    <t>VNMI1038492842</t>
  </si>
  <si>
    <t>VNMI1038488648</t>
  </si>
  <si>
    <t>VNMI1038533218</t>
  </si>
  <si>
    <t>VNMI1038523100</t>
  </si>
  <si>
    <t>VNMI1038485187</t>
  </si>
  <si>
    <t>VNMI1038516063</t>
  </si>
  <si>
    <t>VNMI1038512503</t>
  </si>
  <si>
    <t>VNMI1038499799</t>
  </si>
  <si>
    <t>VNMI1038486373</t>
  </si>
  <si>
    <t>VNMI1038485849</t>
  </si>
  <si>
    <t>MLCF1038553304</t>
  </si>
  <si>
    <t>MLCF1038553355</t>
  </si>
  <si>
    <t>MLCF1038553435</t>
  </si>
  <si>
    <t>MLCF1038553527</t>
  </si>
  <si>
    <t>MLCF1038553577</t>
  </si>
  <si>
    <t>MLCF1038553703</t>
  </si>
  <si>
    <t>MLCF1038555291</t>
  </si>
  <si>
    <t>MLCF1038557215</t>
  </si>
  <si>
    <t>MLCF1038557664</t>
  </si>
  <si>
    <t>MLCF1038559202</t>
  </si>
  <si>
    <t>MLCF1038568322</t>
  </si>
  <si>
    <t>MLCF1038569293</t>
  </si>
  <si>
    <t>MLCF1038569394</t>
  </si>
  <si>
    <t>MLCF1038570085</t>
  </si>
  <si>
    <t>MLCF1038570186</t>
  </si>
  <si>
    <t>MLCF1038570248</t>
  </si>
  <si>
    <t>MLCF1038570396</t>
  </si>
  <si>
    <t>MLCF1038573550</t>
  </si>
  <si>
    <t>MLCF1038573741</t>
  </si>
  <si>
    <t>MLCF1038573889</t>
  </si>
  <si>
    <t>MLCF1038574774</t>
  </si>
  <si>
    <t>MLCF1038575773</t>
  </si>
  <si>
    <t>MLCF1038576509</t>
  </si>
  <si>
    <t>MLCF1038576813</t>
  </si>
  <si>
    <t>VNMI1038570436</t>
  </si>
  <si>
    <t>VNMI1038570513</t>
  </si>
  <si>
    <t>VNMI1038572462</t>
  </si>
  <si>
    <t>VNMI1038572865</t>
  </si>
  <si>
    <t>VNMI1038570295</t>
  </si>
  <si>
    <t>VNMI1038572908</t>
  </si>
  <si>
    <t>VNMI1038577700</t>
  </si>
  <si>
    <t>VNMI1038577762</t>
  </si>
  <si>
    <t>VNMI1038579501</t>
  </si>
  <si>
    <t>VNMI1038579538</t>
  </si>
  <si>
    <t>VNMI1038579817</t>
  </si>
  <si>
    <t>VNMI1038579838</t>
  </si>
  <si>
    <t>VNMI1038581380</t>
  </si>
  <si>
    <t>VNMI1038581447</t>
  </si>
  <si>
    <t>VNMI1038581508</t>
  </si>
  <si>
    <t>VNMI1038582421</t>
  </si>
  <si>
    <t>VNMI1038587165</t>
  </si>
  <si>
    <t>VNMI1038587204</t>
  </si>
  <si>
    <t>VNMI1038587313</t>
  </si>
  <si>
    <t>VNMI1038587414</t>
  </si>
  <si>
    <t>VNMI1038587527</t>
  </si>
  <si>
    <t>VNMI1038587613</t>
  </si>
  <si>
    <t>VNMI1038587693</t>
  </si>
  <si>
    <t>VNMI1038587905</t>
  </si>
  <si>
    <t>VNMI1038588059</t>
  </si>
  <si>
    <t>VNMI1038588175</t>
  </si>
  <si>
    <t>VNMI1038588252</t>
  </si>
  <si>
    <t>VNMI1038588495</t>
  </si>
  <si>
    <t>VNMI1038588494</t>
  </si>
  <si>
    <t>VNMI1038588496</t>
  </si>
  <si>
    <t>VNMI1038588899</t>
  </si>
  <si>
    <t>VNMI1038388841</t>
  </si>
  <si>
    <t>VNMI1038388261</t>
  </si>
  <si>
    <t>MLCF1038587570</t>
  </si>
  <si>
    <t>MLCF1038585726</t>
  </si>
  <si>
    <t>MLCF1038585626</t>
  </si>
  <si>
    <t>MLCF1038585493</t>
  </si>
  <si>
    <t>MLCF1038585258</t>
  </si>
  <si>
    <t>MLCF1038585152</t>
  </si>
  <si>
    <t>MLCF1038584634</t>
  </si>
  <si>
    <t>MLCF1038583915</t>
  </si>
  <si>
    <t>MLCF1038583746</t>
  </si>
  <si>
    <t>MLCF1038583025</t>
  </si>
  <si>
    <t>MLCF1038582375</t>
  </si>
  <si>
    <t>MLCF1038582706</t>
  </si>
  <si>
    <t>VNMI1038469835</t>
  </si>
  <si>
    <t>VNMI1038606774</t>
  </si>
  <si>
    <t>VNMI1038622561</t>
  </si>
  <si>
    <t>VNMI1038623002</t>
  </si>
  <si>
    <t>VNMI1038623885</t>
  </si>
  <si>
    <t>VNMI1038581952</t>
  </si>
  <si>
    <t>VNMI1038599128</t>
  </si>
  <si>
    <t>VNMI1038585936</t>
  </si>
  <si>
    <t>VNMI1038618425</t>
  </si>
  <si>
    <t>VNMI1038622462</t>
  </si>
  <si>
    <t>MEQS1038336597</t>
  </si>
  <si>
    <t>MEQS1038373529</t>
  </si>
  <si>
    <t>MEQS1038345039</t>
  </si>
  <si>
    <t>MEQS1038308881</t>
  </si>
  <si>
    <t>YHWX1038362944</t>
  </si>
  <si>
    <t>YHWX1038362612</t>
  </si>
  <si>
    <t>MLCF1038689040</t>
  </si>
  <si>
    <t>MLCF1038711546</t>
  </si>
  <si>
    <t>MLCF1038687207</t>
  </si>
  <si>
    <t>MLCF1038707232</t>
  </si>
  <si>
    <t>MLCF1038695913</t>
  </si>
  <si>
    <t>MLCF1038696714</t>
  </si>
  <si>
    <t>MLCF1038701643</t>
  </si>
  <si>
    <t>MLCF1038687120</t>
  </si>
  <si>
    <t>MLCF1038688969</t>
  </si>
  <si>
    <t>MLCF1038690941</t>
  </si>
  <si>
    <t>MLCF1038690005</t>
  </si>
  <si>
    <t>MLCF1038691082</t>
  </si>
  <si>
    <t>MLCF1038701727</t>
  </si>
  <si>
    <t>MLCF1038695637</t>
  </si>
  <si>
    <t>MLCF1038695205</t>
  </si>
  <si>
    <t>MLCF1038711016</t>
  </si>
  <si>
    <t>MLCF1038705960</t>
  </si>
  <si>
    <t>MLCF1038704331</t>
  </si>
  <si>
    <t>MLCF1038700421</t>
  </si>
  <si>
    <t>MLCF1038701887</t>
  </si>
  <si>
    <t>MLCF1038701814</t>
  </si>
  <si>
    <t>MLCF1038275995</t>
  </si>
  <si>
    <t>MLCF1038659031</t>
  </si>
  <si>
    <t>MLCF1038659604</t>
  </si>
  <si>
    <t>MLCF1038662439</t>
  </si>
  <si>
    <t>MLCF1038662597</t>
  </si>
  <si>
    <t>MLCF1038662711</t>
  </si>
  <si>
    <t>MLCF1038663708</t>
  </si>
  <si>
    <t>MLCF1038664124</t>
  </si>
  <si>
    <t>MLCF1038664342</t>
  </si>
  <si>
    <t>MLCF1038665203</t>
  </si>
  <si>
    <t>MLCF1038665483</t>
  </si>
  <si>
    <t>MLCF1038665845</t>
  </si>
  <si>
    <t>MLCF1038666022</t>
  </si>
  <si>
    <t>MLCF1038666574</t>
  </si>
  <si>
    <t>MLCF1038667265</t>
  </si>
  <si>
    <t>MLCF1038653110</t>
  </si>
  <si>
    <t>MLCF1038652999</t>
  </si>
  <si>
    <t>MLCF1038664362</t>
  </si>
  <si>
    <t>MLCF1038653315</t>
  </si>
  <si>
    <t>MLCF1038658297</t>
  </si>
  <si>
    <t>MLCF1038660253</t>
  </si>
  <si>
    <t>MLCF1038667011</t>
  </si>
  <si>
    <t>MLCF1038653224</t>
  </si>
  <si>
    <t>MLCF1038658597</t>
  </si>
  <si>
    <t>MLCF1038658482</t>
  </si>
  <si>
    <t>MLCF1038650966</t>
  </si>
  <si>
    <t>MLCF1038731300</t>
  </si>
  <si>
    <t>MLCF1038731639</t>
  </si>
  <si>
    <t>MLCF1038731895</t>
  </si>
  <si>
    <t>MLCF1038732216</t>
  </si>
  <si>
    <t>MLCF1038733026</t>
  </si>
  <si>
    <t>MLCF1038733308</t>
  </si>
  <si>
    <t>MLCF1038733783</t>
  </si>
  <si>
    <t>MLCF1038734156</t>
  </si>
  <si>
    <t>MLCF1038735338</t>
  </si>
  <si>
    <t>MLCF1038735895</t>
  </si>
  <si>
    <t>MLCF1038736449</t>
  </si>
  <si>
    <t>MLCF1038736642</t>
  </si>
  <si>
    <t>MLCF1038737349</t>
  </si>
  <si>
    <t>MLCF1038737753</t>
  </si>
  <si>
    <t>MLCF1038738607</t>
  </si>
  <si>
    <t>MLCF1038740234</t>
  </si>
  <si>
    <t>MLCF1038740389</t>
  </si>
  <si>
    <t>MLCF1038746165</t>
  </si>
  <si>
    <t>MLCF1038746823</t>
  </si>
  <si>
    <t>MLCF1038746909</t>
  </si>
  <si>
    <t>MLCF1038747482</t>
  </si>
  <si>
    <t>MLCF1038747644</t>
  </si>
  <si>
    <t>MLCF1038747779</t>
  </si>
  <si>
    <t>MLCF1038748175</t>
  </si>
  <si>
    <t>VNMI1038693390</t>
  </si>
  <si>
    <t>VNMI1038690979</t>
  </si>
  <si>
    <t>VNMI1038777335</t>
  </si>
  <si>
    <t>VNMI1038776290</t>
  </si>
  <si>
    <t>VNMI1038712470</t>
  </si>
  <si>
    <t>VNMI1038781315</t>
  </si>
  <si>
    <t>VNMI1038810161</t>
  </si>
  <si>
    <t>VNMI1038809811</t>
  </si>
  <si>
    <t>VNMI1038810508</t>
  </si>
  <si>
    <t>VNMI1038799052</t>
  </si>
  <si>
    <t>VNMI1038798785</t>
  </si>
  <si>
    <t>VNMI1038799214</t>
  </si>
  <si>
    <t>VNMI1038808586</t>
  </si>
  <si>
    <t>VNMI1038809028</t>
  </si>
  <si>
    <t>VNMI1038808149</t>
  </si>
  <si>
    <t>VNMI1038808881</t>
  </si>
  <si>
    <t>VNMI1037721992</t>
  </si>
  <si>
    <t>VNMI1037981073</t>
  </si>
  <si>
    <t>VNMI1038157128</t>
  </si>
  <si>
    <t>VNMI1038157310</t>
  </si>
  <si>
    <t>VNMI1038157410</t>
  </si>
  <si>
    <t>VNMI1038172405</t>
  </si>
  <si>
    <t>VNMI1038717437</t>
  </si>
  <si>
    <t>VNMI1038717503</t>
  </si>
  <si>
    <t>VNMI1038717577</t>
  </si>
  <si>
    <t>VNMI1038717869</t>
  </si>
  <si>
    <t>VNMI1038717952</t>
  </si>
  <si>
    <t>VNMI1038718045</t>
  </si>
  <si>
    <t>VNMI1038719034</t>
  </si>
  <si>
    <t>VNMI1038720742</t>
  </si>
  <si>
    <t>VNMI1038720801</t>
  </si>
  <si>
    <t>VNMI1038721262</t>
  </si>
  <si>
    <t>VNMI1038723738</t>
  </si>
  <si>
    <t>VNMI1038723858</t>
  </si>
  <si>
    <t>VNMI1038723956</t>
  </si>
  <si>
    <t>VNMI1038648954</t>
  </si>
  <si>
    <t>VNMI1038819020</t>
  </si>
  <si>
    <t>VNMI1038650544</t>
  </si>
  <si>
    <t>VNMI1038650390</t>
  </si>
  <si>
    <t>VNMI1038670292</t>
  </si>
  <si>
    <t>VNMI1038677771</t>
  </si>
  <si>
    <t>VNMI1038695400</t>
  </si>
  <si>
    <t>VNMI1038718853</t>
  </si>
  <si>
    <t>VNMI1038858275</t>
  </si>
  <si>
    <t>VNMI1038858328</t>
  </si>
  <si>
    <t>VNMI1038858823</t>
  </si>
  <si>
    <t>VNMI1038858875</t>
  </si>
  <si>
    <t>VNMI1038858929</t>
  </si>
  <si>
    <t>VNMI1038858968</t>
  </si>
  <si>
    <t>VNMI1038859010</t>
  </si>
  <si>
    <t>VNMI1038859056</t>
  </si>
  <si>
    <t>VNMI1038859093</t>
  </si>
  <si>
    <t>VNMI1038859169</t>
  </si>
  <si>
    <t>VNMI1038859216</t>
  </si>
  <si>
    <t>VNMI1038859257</t>
  </si>
  <si>
    <t>VNMI1038859912</t>
  </si>
  <si>
    <t>VNMI1038859946</t>
  </si>
  <si>
    <t>VNMI1038859985</t>
  </si>
  <si>
    <t>VNMI1038860007</t>
  </si>
  <si>
    <t>VNMI1038860051</t>
  </si>
  <si>
    <t>VNMI1038860079</t>
  </si>
  <si>
    <t>VNMI1038860131</t>
  </si>
  <si>
    <t>VNMI1038860243</t>
  </si>
  <si>
    <t>VNMI1038860764</t>
  </si>
  <si>
    <t>VNMI1038860791</t>
  </si>
  <si>
    <t>VNMI1038860808</t>
  </si>
  <si>
    <t>VNMI1038860836</t>
  </si>
  <si>
    <t>VNMI1038860855</t>
  </si>
  <si>
    <t>VNMI1038860873</t>
  </si>
  <si>
    <t>VNMI1038862002</t>
  </si>
  <si>
    <t>VNMI1038862048</t>
  </si>
  <si>
    <t>VNMI1038862097</t>
  </si>
  <si>
    <t>VNMI1038862143</t>
  </si>
  <si>
    <t>VNMI1038862998</t>
  </si>
  <si>
    <t>VNMI1038863068</t>
  </si>
  <si>
    <t>VNMI1038863136</t>
  </si>
  <si>
    <t>YHWX1038138525</t>
  </si>
  <si>
    <t>VNMI1038850059</t>
  </si>
  <si>
    <t>VNMI1038849987</t>
  </si>
  <si>
    <t>VNMI1038845127</t>
  </si>
  <si>
    <t>VNMI1038833705</t>
  </si>
  <si>
    <t>VNMI1038830854</t>
  </si>
  <si>
    <t>VNMI1038848418</t>
  </si>
  <si>
    <t>VNMI1038823847</t>
  </si>
  <si>
    <t>VNMI1039056639</t>
  </si>
  <si>
    <t>VNMI1038882102</t>
  </si>
  <si>
    <t>VNMI1038853812</t>
  </si>
  <si>
    <t>VNMI1038866207</t>
  </si>
  <si>
    <t>VNMI1038856627</t>
  </si>
  <si>
    <t>VNMI1038853858</t>
  </si>
  <si>
    <t>VNMI1038857298</t>
  </si>
  <si>
    <t>VNMI1038864926</t>
  </si>
  <si>
    <t>VNMI1038866259</t>
  </si>
  <si>
    <t>VNMI1038866687</t>
  </si>
  <si>
    <t>VNMI1039066802</t>
  </si>
  <si>
    <t>VNMI1039019732</t>
  </si>
  <si>
    <t>MEQS1037498015</t>
  </si>
  <si>
    <t>MEQS1036923896</t>
  </si>
  <si>
    <t>MEQS1036935333</t>
  </si>
  <si>
    <t>MEQS1037143206</t>
  </si>
  <si>
    <t>MEQS1037035653</t>
  </si>
  <si>
    <t>MEQS1037048993</t>
  </si>
  <si>
    <t>MEQS1037025805</t>
  </si>
  <si>
    <t>MEQS1037192015</t>
  </si>
  <si>
    <t>MEQS1036955587</t>
  </si>
  <si>
    <t>MEQS1036943310</t>
  </si>
  <si>
    <t>MEQS1037252586</t>
  </si>
  <si>
    <t>MEQS1037326269</t>
  </si>
  <si>
    <t>MEQS1037349415</t>
  </si>
  <si>
    <t>MEQS1037047735</t>
  </si>
  <si>
    <t>MEQS1036971748</t>
  </si>
  <si>
    <t>MEQS1037477045</t>
  </si>
  <si>
    <t>MEQS1037038404</t>
  </si>
  <si>
    <t>MEQS1037050324</t>
  </si>
  <si>
    <t>MEQS1037178870</t>
  </si>
  <si>
    <t>MEQS1037258254</t>
  </si>
  <si>
    <t>MEQS1037296324</t>
  </si>
  <si>
    <t>MEQS1036982934</t>
  </si>
  <si>
    <t>MEQS1036971679</t>
  </si>
  <si>
    <t>MEQS1037140518</t>
  </si>
  <si>
    <t>MEQS1037143257</t>
  </si>
  <si>
    <t>MEQS1037209302</t>
  </si>
  <si>
    <t>MEQS1037252224</t>
  </si>
  <si>
    <t>MEQS1036995263</t>
  </si>
  <si>
    <t>MEQS1037350885</t>
  </si>
  <si>
    <t>MEQS1037350952</t>
  </si>
  <si>
    <t>MEQS1036995327</t>
  </si>
  <si>
    <t>MEQS1037050230</t>
  </si>
  <si>
    <t>MEQS1037038512</t>
  </si>
  <si>
    <t>MEQS1037048932</t>
  </si>
  <si>
    <t>MEQS1037263751</t>
  </si>
  <si>
    <t>MEQS1036948308</t>
  </si>
  <si>
    <t>MEQS1036993501</t>
  </si>
  <si>
    <t>MEQS1037141828</t>
  </si>
  <si>
    <t>MEQS1036970848</t>
  </si>
  <si>
    <t>MEQS1037201015</t>
  </si>
  <si>
    <t>MEQS1036970914</t>
  </si>
  <si>
    <t>MEQS1037091270</t>
  </si>
  <si>
    <t>MEQS1036995187</t>
  </si>
  <si>
    <t>MEQS1037253121</t>
  </si>
  <si>
    <t>MEQS1036970775</t>
  </si>
  <si>
    <t>MEQS1036982794</t>
  </si>
  <si>
    <t>MEQS1036982999</t>
  </si>
  <si>
    <t>MEQS1036945324</t>
  </si>
  <si>
    <t>MEQS1037219429</t>
  </si>
  <si>
    <t>MEQS1036977682</t>
  </si>
  <si>
    <t>MEQS1037038362</t>
  </si>
  <si>
    <t>MEQS1037036617</t>
  </si>
  <si>
    <t>MEQS1037351003</t>
  </si>
  <si>
    <t>MEQS1037483560</t>
  </si>
  <si>
    <t>MEQS1037047799</t>
  </si>
  <si>
    <t>MEQS1037047857</t>
  </si>
  <si>
    <t>MEQS1037226720</t>
  </si>
  <si>
    <t>MEQS1037337496</t>
  </si>
  <si>
    <t>MEQS1037492811</t>
  </si>
  <si>
    <t>MEQS1037505154</t>
  </si>
  <si>
    <t>MEQS1037350762</t>
  </si>
  <si>
    <t>MEQS1037238673</t>
  </si>
  <si>
    <t>MEQS1037337555</t>
  </si>
  <si>
    <t>MEQS1037349232</t>
  </si>
  <si>
    <t>MEQS1037349299</t>
  </si>
  <si>
    <t>MEQS1037349359</t>
  </si>
  <si>
    <t>MEQS1037039947</t>
  </si>
  <si>
    <t>MEQS1037038454</t>
  </si>
  <si>
    <t>MEQS1036938246</t>
  </si>
  <si>
    <t>VNMI1039155660</t>
  </si>
  <si>
    <t>VNMI1039155700</t>
  </si>
  <si>
    <t>VNMI1039155739</t>
  </si>
  <si>
    <t>VNMI1039149156</t>
  </si>
  <si>
    <t>VNMI1039126954</t>
  </si>
  <si>
    <t>VNMI1039129696</t>
  </si>
  <si>
    <t>VNMI1039272505</t>
  </si>
  <si>
    <t>VNMI1039112278</t>
  </si>
  <si>
    <t>VNMI1039135306</t>
  </si>
  <si>
    <t>VNMI1039127338</t>
  </si>
  <si>
    <t>VNMI1039205576</t>
  </si>
  <si>
    <t>VNMI1039205637</t>
  </si>
  <si>
    <t>VNMI1039205685</t>
  </si>
  <si>
    <t>VNMI1039205933</t>
  </si>
  <si>
    <t>VNMI1039206045</t>
  </si>
  <si>
    <t>VNMI1039206209</t>
  </si>
  <si>
    <t>VNMI1039206247</t>
  </si>
  <si>
    <t>VNMI1039206378</t>
  </si>
  <si>
    <t>VNMI1039206438</t>
  </si>
  <si>
    <t>VNMI1039207603</t>
  </si>
  <si>
    <t>VNMI1039207620</t>
  </si>
  <si>
    <t>VNMI1039207643</t>
  </si>
  <si>
    <t>VNMI1039214064</t>
  </si>
  <si>
    <t>VNMI1039217994</t>
  </si>
  <si>
    <t>VNMI1039218032</t>
  </si>
  <si>
    <t>VNMI1039218082</t>
  </si>
  <si>
    <t>VNMI1039218116</t>
  </si>
  <si>
    <t>VNMI1039218716</t>
  </si>
  <si>
    <t>VNMI1039219625</t>
  </si>
  <si>
    <t>VNMI1039219636</t>
  </si>
  <si>
    <t>VNMI1039219649</t>
  </si>
  <si>
    <t>VNMI1039219714</t>
  </si>
  <si>
    <t>VNMI1039219732</t>
  </si>
  <si>
    <t>VNMI1039220888</t>
  </si>
  <si>
    <t>VNMI1039220950</t>
  </si>
  <si>
    <t>VNMI1039220995</t>
  </si>
  <si>
    <t>VNMI1039224350</t>
  </si>
  <si>
    <t>VNMI1039224405</t>
  </si>
  <si>
    <t>VNMI1039224574</t>
  </si>
  <si>
    <t>VNMI1039230153</t>
  </si>
  <si>
    <t>VNMI1039230930</t>
  </si>
  <si>
    <t>VNMI1039231018</t>
  </si>
  <si>
    <t>VNMI1039231056</t>
  </si>
  <si>
    <t>VNMI1039231092</t>
  </si>
  <si>
    <t>VNMI1039231133</t>
  </si>
  <si>
    <t>VNMI1039231174</t>
  </si>
  <si>
    <t>VNMI1039231224</t>
  </si>
  <si>
    <t>VNMI1039231252</t>
  </si>
  <si>
    <t>VNMI1039303080</t>
  </si>
  <si>
    <t>VNMI1039303152</t>
  </si>
  <si>
    <t>VNMI1039303218</t>
  </si>
  <si>
    <t>VNMI1039303296</t>
  </si>
  <si>
    <t>VNMI1039196523</t>
  </si>
  <si>
    <t>VNMI1039264361</t>
  </si>
  <si>
    <t>SHRI KARNI SECURITY SERVICES</t>
  </si>
  <si>
    <t>OGFR1092734793</t>
  </si>
  <si>
    <t>OGFR1092734827</t>
  </si>
  <si>
    <t>OGFR1093311905</t>
  </si>
  <si>
    <t>OGFR1093340876</t>
  </si>
  <si>
    <t>ESOZ1093343399</t>
  </si>
  <si>
    <t>OGFR1093323993</t>
  </si>
  <si>
    <t>OGFR1093387049</t>
  </si>
  <si>
    <t>ESOZ1093389726</t>
  </si>
  <si>
    <t>ESOZ1093389538</t>
  </si>
  <si>
    <t>ESOZ1093389478</t>
  </si>
  <si>
    <t>ESOZ1093496857</t>
  </si>
  <si>
    <t>ESOZ1093538412</t>
  </si>
  <si>
    <t>IWMS1093553390</t>
  </si>
  <si>
    <t>IWMS1093564738</t>
  </si>
  <si>
    <t>OGFR1093567017</t>
  </si>
  <si>
    <t>OGFR1093552180</t>
  </si>
  <si>
    <t>OGFR1093552160</t>
  </si>
  <si>
    <t>OGFR1093566995</t>
  </si>
  <si>
    <t>OFCL1093554487</t>
  </si>
  <si>
    <t>OGFR1093645100</t>
  </si>
  <si>
    <t>OGFR1093645162</t>
  </si>
  <si>
    <t>OGFR1093631690</t>
  </si>
  <si>
    <t>OGFR1093631620</t>
  </si>
  <si>
    <t>OFCL1093675453</t>
  </si>
  <si>
    <t>OGFR1093737839</t>
  </si>
  <si>
    <t>OGFR1093756218</t>
  </si>
  <si>
    <t>OGFR1093766591</t>
  </si>
  <si>
    <t>OGFR1093912309</t>
  </si>
  <si>
    <t>OGFR1093951136</t>
  </si>
  <si>
    <t>OGFR1093951307</t>
  </si>
  <si>
    <t>OGFR1093931376</t>
  </si>
  <si>
    <t>OGFR1093931391</t>
  </si>
  <si>
    <t>OGFR1093960536</t>
  </si>
  <si>
    <t>OGFR1093959841</t>
  </si>
  <si>
    <t>TEML1093955789</t>
  </si>
  <si>
    <t>IWMS1093982081</t>
  </si>
  <si>
    <t>IWMS1093989126</t>
  </si>
  <si>
    <t>IWMS1094004622</t>
  </si>
  <si>
    <t>ESOZ1093985389</t>
  </si>
  <si>
    <t>KMPB1093988369</t>
  </si>
  <si>
    <t>OGFR1094028355</t>
  </si>
  <si>
    <t>IWMS1094021703</t>
  </si>
  <si>
    <t>IWMS1094018358</t>
  </si>
  <si>
    <t>TEML1094025975</t>
  </si>
  <si>
    <t>IWMS1094022785</t>
  </si>
  <si>
    <t>ESOZ1094013022</t>
  </si>
  <si>
    <t>OFCL1094044903</t>
  </si>
  <si>
    <t>KMPB1094015656</t>
  </si>
  <si>
    <t>KMPB1094041854</t>
  </si>
  <si>
    <t>IWMS1094072373</t>
  </si>
  <si>
    <t>TEML1094058245</t>
  </si>
  <si>
    <t>IWMS1094061251</t>
  </si>
  <si>
    <t>TEML1094065394</t>
  </si>
  <si>
    <t>IWMS1094075035</t>
  </si>
  <si>
    <t>TEML1094058408</t>
  </si>
  <si>
    <t>KMPB1094076251</t>
  </si>
  <si>
    <t>IWMS1094118925</t>
  </si>
  <si>
    <t>KMPB1094137877</t>
  </si>
  <si>
    <t>OFCL1094129688</t>
  </si>
  <si>
    <t>ESOZ1094084401</t>
  </si>
  <si>
    <t>KMPB1094114399</t>
  </si>
  <si>
    <t>KMPB1094160978</t>
  </si>
  <si>
    <t>KMPB1094136711</t>
  </si>
  <si>
    <t>IWMS1094132230</t>
  </si>
  <si>
    <t>KMPB1094153988</t>
  </si>
  <si>
    <t>IWMS1094122850</t>
  </si>
  <si>
    <t>KMPB1094169182</t>
  </si>
  <si>
    <t>KMPB1094164948</t>
  </si>
  <si>
    <t>KMPB1094208437</t>
  </si>
  <si>
    <t>KMPB1094207880</t>
  </si>
  <si>
    <t>KMPB1094206729</t>
  </si>
  <si>
    <t>KMPB1094171163</t>
  </si>
  <si>
    <t>KMPB1094228067</t>
  </si>
  <si>
    <t>KMPB1094226163</t>
  </si>
  <si>
    <t>KMPB1094243704</t>
  </si>
  <si>
    <t>KMPB1094224329</t>
  </si>
  <si>
    <t>KMPB1094227629</t>
  </si>
  <si>
    <t>IWMS1094240546</t>
  </si>
  <si>
    <t>IWMS1094262964</t>
  </si>
  <si>
    <t>OFCL1094271637</t>
  </si>
  <si>
    <t>IWMS1094305929</t>
  </si>
  <si>
    <t>IWMS1094293798</t>
  </si>
  <si>
    <t>IWMS1094280806</t>
  </si>
  <si>
    <t>IWMS1094276689</t>
  </si>
  <si>
    <t>IWMS1094286287</t>
  </si>
  <si>
    <t>IWMS1094279826</t>
  </si>
  <si>
    <t>IWMS1094316221</t>
  </si>
  <si>
    <t>KMPB1094348810</t>
  </si>
  <si>
    <t>KMPB1094355338</t>
  </si>
  <si>
    <t>KMPB1094333146</t>
  </si>
  <si>
    <t>OFCL1094319874</t>
  </si>
  <si>
    <t>OFCL1094320058</t>
  </si>
  <si>
    <t>IWMS1094351058</t>
  </si>
  <si>
    <t>KMPB1094378707</t>
  </si>
  <si>
    <t>KMPB1094384899</t>
  </si>
  <si>
    <t>KMPB1094367212</t>
  </si>
  <si>
    <t>KMPB1094373558</t>
  </si>
  <si>
    <t>KMPB1094390737</t>
  </si>
  <si>
    <t>KMPB1094386585</t>
  </si>
  <si>
    <t>IWMS1094351304</t>
  </si>
  <si>
    <t>KMPB1094338859</t>
  </si>
  <si>
    <t>KMPB1094424432</t>
  </si>
  <si>
    <t>KMPB1094403789</t>
  </si>
  <si>
    <t>KMPB1094378482</t>
  </si>
  <si>
    <t>IWMS1094387462</t>
  </si>
  <si>
    <t>IWMS1094387486</t>
  </si>
  <si>
    <t>OGFR1094420592</t>
  </si>
  <si>
    <t>OFCL1094418151</t>
  </si>
  <si>
    <t>OGFR1094420635</t>
  </si>
  <si>
    <t>IWMS1094422078</t>
  </si>
  <si>
    <t>KMPB1094441761</t>
  </si>
  <si>
    <t>KMPB1094433042</t>
  </si>
  <si>
    <t>KMPB1094416679</t>
  </si>
  <si>
    <t>IWMS1094463457</t>
  </si>
  <si>
    <t>KMPB1094492027</t>
  </si>
  <si>
    <t>KMPB1094468966</t>
  </si>
  <si>
    <t>IWMS1094532801</t>
  </si>
  <si>
    <t>KMPB1094491763</t>
  </si>
  <si>
    <t>IWMS1094544142</t>
  </si>
  <si>
    <t>KMPB1094576001</t>
  </si>
  <si>
    <t>KMPB1094526115</t>
  </si>
  <si>
    <t>KMPB1094538801</t>
  </si>
  <si>
    <t>KMPB1094545527</t>
  </si>
  <si>
    <t>OGFR1094546208</t>
  </si>
  <si>
    <t>ESOZ1093528191</t>
  </si>
  <si>
    <t>OGFR1094537725</t>
  </si>
  <si>
    <t>KMPB1094536391</t>
  </si>
  <si>
    <t>KMPB1094571851</t>
  </si>
  <si>
    <t>IWMS1094582896</t>
  </si>
  <si>
    <t>KMPB1094626268</t>
  </si>
  <si>
    <t>IWMS1094582880</t>
  </si>
  <si>
    <t>KMPB1094644423</t>
  </si>
  <si>
    <t>IWMS1094689541</t>
  </si>
  <si>
    <t>KMPB1094716578</t>
  </si>
  <si>
    <t>KMPB1094716177</t>
  </si>
  <si>
    <t>KMPB1094688117</t>
  </si>
  <si>
    <t>IWMS1094736670</t>
  </si>
  <si>
    <t>IWMS1094737292</t>
  </si>
  <si>
    <t>KMPB1094722899</t>
  </si>
  <si>
    <t>KMPB1094774784</t>
  </si>
  <si>
    <t>KMPB1094763535</t>
  </si>
  <si>
    <t>KMPB1094765430</t>
  </si>
  <si>
    <t>KMPB1094811194</t>
  </si>
  <si>
    <t>KMPB1094792005</t>
  </si>
  <si>
    <t>KMPB1094766082</t>
  </si>
  <si>
    <t>KMPB1094793924</t>
  </si>
  <si>
    <t>IWMS1094767803</t>
  </si>
  <si>
    <t>IWMS1094769917</t>
  </si>
  <si>
    <t>OGFR1094827578</t>
  </si>
  <si>
    <t>IWMS1094814446</t>
  </si>
  <si>
    <t>IWMS1094814429</t>
  </si>
  <si>
    <t>KMPB1094813538</t>
  </si>
  <si>
    <t>OGFR1094828130</t>
  </si>
  <si>
    <t>OFCL1094874267</t>
  </si>
  <si>
    <t>KMPB1094855710</t>
  </si>
  <si>
    <t>KMPB1094839895</t>
  </si>
  <si>
    <t>KMPB1094842307</t>
  </si>
  <si>
    <t>KMPB1094849199</t>
  </si>
  <si>
    <t>KMPB1094861352</t>
  </si>
  <si>
    <t>KMPB1094868011</t>
  </si>
  <si>
    <t>KMPB1094902897</t>
  </si>
  <si>
    <t>KMPB1094889419</t>
  </si>
  <si>
    <t>KMPB1094868631</t>
  </si>
  <si>
    <t>KMPB1094868829</t>
  </si>
  <si>
    <t>KMPB1094872706</t>
  </si>
  <si>
    <t>KMPB1094874910</t>
  </si>
  <si>
    <t>KMPB1094895585</t>
  </si>
  <si>
    <t>KMPB1094908956</t>
  </si>
  <si>
    <t>KMPB1094912519</t>
  </si>
  <si>
    <t>KMPB1094915026</t>
  </si>
  <si>
    <t>KMPB1094914843</t>
  </si>
  <si>
    <t>KMPB1094944901</t>
  </si>
  <si>
    <t>IWMS1094940743</t>
  </si>
  <si>
    <t>TEML1094956688</t>
  </si>
  <si>
    <t>TEML1094956712</t>
  </si>
  <si>
    <t>TEML1094957908</t>
  </si>
  <si>
    <t>TEML1094958328</t>
  </si>
  <si>
    <t>TEML1094958453</t>
  </si>
  <si>
    <t>KMPB1094927942</t>
  </si>
  <si>
    <t>KMPB1094997578</t>
  </si>
  <si>
    <t>TEML1094993449</t>
  </si>
  <si>
    <t>IWMS1094947816</t>
  </si>
  <si>
    <t>TEML1094956673</t>
  </si>
  <si>
    <t>KMPB1094983212</t>
  </si>
  <si>
    <t>KMPB1094985407</t>
  </si>
  <si>
    <t>KMPB1094983340</t>
  </si>
  <si>
    <t>KMPB1094933662</t>
  </si>
  <si>
    <t>KMPB1094940592</t>
  </si>
  <si>
    <t>KMPB1094941623</t>
  </si>
  <si>
    <t>KMPB1094946182</t>
  </si>
  <si>
    <t>KMPB1094974462</t>
  </si>
  <si>
    <t>KMPB1094987417</t>
  </si>
  <si>
    <t>KMPB1095034477</t>
  </si>
  <si>
    <t>TEML1094992480</t>
  </si>
  <si>
    <t>TEML1094989796</t>
  </si>
  <si>
    <t>TEML1094988295</t>
  </si>
  <si>
    <t>KMPB1094999564</t>
  </si>
  <si>
    <t>KMPB1095003880</t>
  </si>
  <si>
    <t>KMPB1094996427</t>
  </si>
  <si>
    <t>KMPB1094990739</t>
  </si>
  <si>
    <t>KMPB1094993619</t>
  </si>
  <si>
    <t>KMPB1094996497</t>
  </si>
  <si>
    <t>KMPB1095066720</t>
  </si>
  <si>
    <t>IWMS1095045054</t>
  </si>
  <si>
    <t>IWMS1095064019</t>
  </si>
  <si>
    <t>KMPB1095027509</t>
  </si>
  <si>
    <t>KMPB1095026381</t>
  </si>
  <si>
    <t>IWMS1095074392</t>
  </si>
  <si>
    <t>KMPB1095096344</t>
  </si>
  <si>
    <t>IWMS1095092685</t>
  </si>
  <si>
    <t>IWMS1095092728</t>
  </si>
  <si>
    <t>KMPB1095104370</t>
  </si>
  <si>
    <t>KMPB1095117049</t>
  </si>
  <si>
    <t>KMPB1095091575</t>
  </si>
  <si>
    <t>KMPB1095102517</t>
  </si>
  <si>
    <t>KMPB1095100840</t>
  </si>
  <si>
    <t>KMPB1095139785</t>
  </si>
  <si>
    <t>KMPB1095143272</t>
  </si>
  <si>
    <t>KMPB1095137576</t>
  </si>
  <si>
    <t>OGFR1095181982</t>
  </si>
  <si>
    <t>KMPB1095149114</t>
  </si>
  <si>
    <t>KMPB1095149006</t>
  </si>
  <si>
    <t>KMPB1095172852</t>
  </si>
  <si>
    <t>KMPB1095167619</t>
  </si>
  <si>
    <t>IWMS1095147504</t>
  </si>
  <si>
    <t>OGFR1095203419</t>
  </si>
  <si>
    <t>KMPB1095192936</t>
  </si>
  <si>
    <t>KMPB1095195967</t>
  </si>
  <si>
    <t>KMPB1095193709</t>
  </si>
  <si>
    <t>KMPB1095185149</t>
  </si>
  <si>
    <t>KMPB1095193795</t>
  </si>
  <si>
    <t>KMPB1095199879</t>
  </si>
  <si>
    <t>IWMS1095177319</t>
  </si>
  <si>
    <t>IWMS1095202412</t>
  </si>
  <si>
    <t>IWMS1095177446</t>
  </si>
  <si>
    <t>IWMS1095202422</t>
  </si>
  <si>
    <t>KMPB1095273169</t>
  </si>
  <si>
    <t>KMPB1095227325</t>
  </si>
  <si>
    <t>KMPB1095260966</t>
  </si>
  <si>
    <t>IWMS1095228008</t>
  </si>
  <si>
    <t>KMPB1095272620</t>
  </si>
  <si>
    <t>KMPB1095315079</t>
  </si>
  <si>
    <t>KMPB1095290371</t>
  </si>
  <si>
    <t>KMPB1095278207</t>
  </si>
  <si>
    <t>KMPB1095272736</t>
  </si>
  <si>
    <t>KMPB1095267972</t>
  </si>
  <si>
    <t>IWMS1095286534</t>
  </si>
  <si>
    <t>KMPB1095347378</t>
  </si>
  <si>
    <t>KMPB1095347400</t>
  </si>
  <si>
    <t>KMPB1095382906</t>
  </si>
  <si>
    <t>KMPB1095421639</t>
  </si>
  <si>
    <t>KMPB1095423680</t>
  </si>
  <si>
    <t>KMPB1095424764</t>
  </si>
  <si>
    <t>KMPB1095422002</t>
  </si>
  <si>
    <t>IWMS1095448196</t>
  </si>
  <si>
    <t>IWMS1095448227</t>
  </si>
  <si>
    <t>KMPB1095449858</t>
  </si>
  <si>
    <t>KMPB1095456460</t>
  </si>
  <si>
    <t>KMPB1095450761</t>
  </si>
  <si>
    <t>KMPB1095460927</t>
  </si>
  <si>
    <t>KMPB1095485538</t>
  </si>
  <si>
    <t>IWMS1095472180</t>
  </si>
  <si>
    <t>KMPB1095504189</t>
  </si>
  <si>
    <t>KMPB1095540405</t>
  </si>
  <si>
    <t>KMPB1095503287</t>
  </si>
  <si>
    <t>KMPB1095498439</t>
  </si>
  <si>
    <t>KMPB1095576160</t>
  </si>
  <si>
    <t>KMPB1095575100</t>
  </si>
  <si>
    <t>KMPB1095574657</t>
  </si>
  <si>
    <t>OGFR1095626695</t>
  </si>
  <si>
    <t>OGFR1095626527</t>
  </si>
  <si>
    <t>OGFR1095626489</t>
  </si>
  <si>
    <t>OGFR1095625509</t>
  </si>
  <si>
    <t>OGFR1095624386</t>
  </si>
  <si>
    <t>OGFR1095624326</t>
  </si>
  <si>
    <t>OGFR1095624282</t>
  </si>
  <si>
    <t>OGFR1095621188</t>
  </si>
  <si>
    <t>OGFR1095620852</t>
  </si>
  <si>
    <t>OGFR1095620580</t>
  </si>
  <si>
    <t>OGFR1095619222</t>
  </si>
  <si>
    <t>OGFR1095618940</t>
  </si>
  <si>
    <t>OGFR1095616251</t>
  </si>
  <si>
    <t>OGFR1095615621</t>
  </si>
  <si>
    <t>TEML1095576172</t>
  </si>
  <si>
    <t>TEML1095582527</t>
  </si>
  <si>
    <t>TEML1095570051</t>
  </si>
  <si>
    <t>TEML1095572282</t>
  </si>
  <si>
    <t>TEML1095589311</t>
  </si>
  <si>
    <t>TEML1095585818</t>
  </si>
  <si>
    <t>TEML1095581924</t>
  </si>
  <si>
    <t>IWMS1095630943</t>
  </si>
  <si>
    <t>IWMS1095630702</t>
  </si>
  <si>
    <t>IWMS1095630649</t>
  </si>
  <si>
    <t>IWMS1095630719</t>
  </si>
  <si>
    <t>IWMS1095629374</t>
  </si>
  <si>
    <t>IWMS1095629386</t>
  </si>
  <si>
    <t>IWMS1095629403</t>
  </si>
  <si>
    <t>IWMS1095629130</t>
  </si>
  <si>
    <t>KMPB1095621943</t>
  </si>
  <si>
    <t>TEML1095604884</t>
  </si>
  <si>
    <t>KMPB1095662168</t>
  </si>
  <si>
    <t>KMPB1095684290</t>
  </si>
  <si>
    <t>KMPB1095712806</t>
  </si>
  <si>
    <t>KMPB1095469473</t>
  </si>
  <si>
    <t>KMPB1095604666</t>
  </si>
  <si>
    <t>KMPB1095563344</t>
  </si>
  <si>
    <t>KMPB1095542453</t>
  </si>
  <si>
    <t>KMPB1095564597</t>
  </si>
  <si>
    <t>KMPB1095538715</t>
  </si>
  <si>
    <t>KMPB1095597638</t>
  </si>
  <si>
    <t>KMPB1095540110</t>
  </si>
  <si>
    <t>KMPB1095533493</t>
  </si>
  <si>
    <t>IWMS1095373449</t>
  </si>
  <si>
    <t>KMPB1095447579</t>
  </si>
  <si>
    <t>KMPB1095388142</t>
  </si>
  <si>
    <t>KMPB1095374169</t>
  </si>
  <si>
    <t>KMPB1095377288</t>
  </si>
  <si>
    <t>KMPB1095375338</t>
  </si>
  <si>
    <t>KMPB1095385566</t>
  </si>
  <si>
    <t>KMPB1095360023</t>
  </si>
  <si>
    <t>KMPB1095397411</t>
  </si>
  <si>
    <t>KMPB1095412673</t>
  </si>
  <si>
    <t>KMPB1095445360</t>
  </si>
  <si>
    <t>IWMS1095340194</t>
  </si>
  <si>
    <t>IWMS1095206913</t>
  </si>
  <si>
    <t>IWMS1095200196</t>
  </si>
  <si>
    <t>KMPB1095093539</t>
  </si>
  <si>
    <t>IWMS1095225152</t>
  </si>
  <si>
    <t>KMPB1095251201</t>
  </si>
  <si>
    <t>KMPB1095237576</t>
  </si>
  <si>
    <t>KMPB1095033698</t>
  </si>
  <si>
    <t>KMPB1095236175</t>
  </si>
  <si>
    <t>KMPB1095033564</t>
  </si>
  <si>
    <t>KMPB1095035959</t>
  </si>
  <si>
    <t>KMPB1095035031</t>
  </si>
  <si>
    <t>KMPB1095067060</t>
  </si>
  <si>
    <t>KMPB1095068467</t>
  </si>
  <si>
    <t>KMPB1095105991</t>
  </si>
  <si>
    <t>KMPB1095218896</t>
  </si>
  <si>
    <t>KMPB1095247929</t>
  </si>
  <si>
    <t>KMPB1095610824</t>
  </si>
  <si>
    <t>KMPB1095664769</t>
  </si>
  <si>
    <t>KMPB1095730912</t>
  </si>
  <si>
    <t>IWMS1095498333</t>
  </si>
  <si>
    <t>IWMS1095631163</t>
  </si>
  <si>
    <t>IWMS1095617076</t>
  </si>
  <si>
    <t>IWMS1095699903</t>
  </si>
  <si>
    <t>KMPB1095718052</t>
  </si>
  <si>
    <t>KMPB1095655765</t>
  </si>
  <si>
    <t>KMPB1095624019</t>
  </si>
  <si>
    <t>KMPB1095622186</t>
  </si>
  <si>
    <t>KMPB1095615901</t>
  </si>
  <si>
    <t>KMPB1095667428</t>
  </si>
  <si>
    <t>KMPB1095695300</t>
  </si>
  <si>
    <t>KMPB1095696147</t>
  </si>
  <si>
    <t>KMPB1095698659</t>
  </si>
  <si>
    <t>KMPB1095701600</t>
  </si>
  <si>
    <t>KMPB1095704630</t>
  </si>
  <si>
    <t>KMPB1095700587</t>
  </si>
  <si>
    <t>KMPB1095709120</t>
  </si>
  <si>
    <t>KMPB1095730382</t>
  </si>
  <si>
    <t>TEML1095581829</t>
  </si>
  <si>
    <t>TEML1095577634</t>
  </si>
  <si>
    <t>TEML1095548104</t>
  </si>
  <si>
    <t>TEML1095545361</t>
  </si>
  <si>
    <t>TEML1095543733</t>
  </si>
  <si>
    <t>TEML1095624772</t>
  </si>
  <si>
    <t>TEML1095548424</t>
  </si>
  <si>
    <t>TEML1094998067</t>
  </si>
  <si>
    <t>TEML1095619591</t>
  </si>
  <si>
    <t>TEML1095000410</t>
  </si>
  <si>
    <t>TEML1095000400</t>
  </si>
  <si>
    <t>TEML1095030109</t>
  </si>
  <si>
    <t>TEML1095000201</t>
  </si>
  <si>
    <t>KMPB1095876726</t>
  </si>
  <si>
    <t>KMPB1095762653</t>
  </si>
  <si>
    <t>KMPB1095653575</t>
  </si>
  <si>
    <t>KMPB1095755047</t>
  </si>
  <si>
    <t>KMPB1095754662</t>
  </si>
  <si>
    <t>KMPB1095706140</t>
  </si>
  <si>
    <t>KMPB1095652082</t>
  </si>
  <si>
    <t>KMPB1095708711</t>
  </si>
  <si>
    <t>KMPB1095919176</t>
  </si>
  <si>
    <t>KMPB1095347387</t>
  </si>
  <si>
    <t>KMPB1095880833</t>
  </si>
  <si>
    <t>KMPB1095950778</t>
  </si>
  <si>
    <t>OGFR1095705519</t>
  </si>
  <si>
    <t>OGFR1095750962</t>
  </si>
  <si>
    <t>OGFR1095688629</t>
  </si>
  <si>
    <t>OGFR1095594352</t>
  </si>
  <si>
    <t>KMPB1096066787</t>
  </si>
  <si>
    <t>KMPB1096066670</t>
  </si>
  <si>
    <t>KMPB1096068049</t>
  </si>
  <si>
    <t>KMPB1096068659</t>
  </si>
  <si>
    <t>KMPB1096071689</t>
  </si>
  <si>
    <t>KMPB1096072966</t>
  </si>
  <si>
    <t>KMPB1096061214</t>
  </si>
  <si>
    <t>KMPB1096051597</t>
  </si>
  <si>
    <t>KMPB1096054432</t>
  </si>
  <si>
    <t>KMPB1095993744</t>
  </si>
  <si>
    <t>KMPB1095992470</t>
  </si>
  <si>
    <t>KMPB1095991506</t>
  </si>
  <si>
    <t>KMPB1095886755</t>
  </si>
  <si>
    <t>KMPB1095795487</t>
  </si>
  <si>
    <t>KMPB1095782298</t>
  </si>
  <si>
    <t>KMPB1095793052</t>
  </si>
  <si>
    <t>KMPB1095810285</t>
  </si>
  <si>
    <t>KMPB1095810383</t>
  </si>
  <si>
    <t>KMPB1095825910</t>
  </si>
  <si>
    <t>KMPB1095867124</t>
  </si>
  <si>
    <t>KMPB1095875712</t>
  </si>
  <si>
    <t>KMPB1095787605</t>
  </si>
  <si>
    <t>KMPB1095877387</t>
  </si>
  <si>
    <t>KMPB1095877469</t>
  </si>
  <si>
    <t>KMPB1095879978</t>
  </si>
  <si>
    <t>KMPB1095921440</t>
  </si>
  <si>
    <t>IWMS1095545262</t>
  </si>
  <si>
    <t>IWMS1095545279</t>
  </si>
  <si>
    <t>ESOZ1096027405</t>
  </si>
  <si>
    <t>ESOZ1096096539</t>
  </si>
  <si>
    <t>ESOZ1096127980</t>
  </si>
  <si>
    <t>ESOZ1096152984</t>
  </si>
  <si>
    <t>IWMS1094135568</t>
  </si>
  <si>
    <t>KMPB1096284735</t>
  </si>
  <si>
    <t>KMPB1096412932</t>
  </si>
  <si>
    <t>KMPB1096275189</t>
  </si>
  <si>
    <t>KMPB1095952088</t>
  </si>
  <si>
    <t>KMPB1095948546</t>
  </si>
  <si>
    <t>KMPB1095914399</t>
  </si>
  <si>
    <t>KMPB1095884253</t>
  </si>
  <si>
    <t>KMPB1096000573</t>
  </si>
  <si>
    <t>KMPB1096033045</t>
  </si>
  <si>
    <t>KMPB1096065030</t>
  </si>
  <si>
    <t>KMPB1096033135</t>
  </si>
  <si>
    <t>KMPB1095952934</t>
  </si>
  <si>
    <t>KMPB1095958020</t>
  </si>
  <si>
    <t>KMPB1095957940</t>
  </si>
  <si>
    <t>KMPB1095957567</t>
  </si>
  <si>
    <t>KMPB1095959905</t>
  </si>
  <si>
    <t>KMPB1095958365</t>
  </si>
  <si>
    <t>KMPB1095962264</t>
  </si>
  <si>
    <t>KMPB1095964835</t>
  </si>
  <si>
    <t>KMPB1095990974</t>
  </si>
  <si>
    <t>IWMS1096236745</t>
  </si>
  <si>
    <t>IWMS1095645600</t>
  </si>
  <si>
    <t>IWMS1095577309</t>
  </si>
  <si>
    <t>ESOZ1096237136</t>
  </si>
  <si>
    <t>ESOZ1096100641</t>
  </si>
  <si>
    <t>ESOZ1096105275</t>
  </si>
  <si>
    <t>ESOZ1096100439</t>
  </si>
  <si>
    <t>ESOZ1096053455</t>
  </si>
  <si>
    <t>ESOZ1096058760</t>
  </si>
  <si>
    <t>ESOZ1096063080</t>
  </si>
  <si>
    <t>ESOZ1096098773</t>
  </si>
  <si>
    <t>ESOZ1096221206</t>
  </si>
  <si>
    <t>ESOZ1096227360</t>
  </si>
  <si>
    <t>ESOZ1096229000</t>
  </si>
  <si>
    <t>ESOZ1096194567</t>
  </si>
  <si>
    <t>ESOZ1096233889</t>
  </si>
  <si>
    <t>ESOZ1096230580</t>
  </si>
  <si>
    <t>ESOZ1096133446</t>
  </si>
  <si>
    <t>ESOZ1096147917</t>
  </si>
  <si>
    <t>ESOZ1096152457</t>
  </si>
  <si>
    <t>ESOZ1096198832</t>
  </si>
  <si>
    <t>ESOZ1096139443</t>
  </si>
  <si>
    <t>ESOZ1096155562</t>
  </si>
  <si>
    <t>IWMS1096138540</t>
  </si>
  <si>
    <t>IWMS1096180740</t>
  </si>
  <si>
    <t>IWMS1096180608</t>
  </si>
  <si>
    <t>IWMS1096180647</t>
  </si>
  <si>
    <t>IWMS1095753804</t>
  </si>
  <si>
    <t>IWMS1095792273</t>
  </si>
  <si>
    <t>IWMS1095911962</t>
  </si>
  <si>
    <t>IWMS1095912065</t>
  </si>
  <si>
    <t>IWMS1095912112</t>
  </si>
  <si>
    <t>IWMS1095959716</t>
  </si>
  <si>
    <t>IWMS1095960051</t>
  </si>
  <si>
    <t>IWMS1095960134</t>
  </si>
  <si>
    <t>IWMS1096031455</t>
  </si>
  <si>
    <t>IWMS1096031479</t>
  </si>
  <si>
    <t>IWMS1096031508</t>
  </si>
  <si>
    <t>IWMS1096065296</t>
  </si>
  <si>
    <t>IWMS1096065328</t>
  </si>
  <si>
    <t>KMPB1096448693</t>
  </si>
  <si>
    <t>KMPB1096465479</t>
  </si>
  <si>
    <t>KMPB1096510300</t>
  </si>
  <si>
    <t>KMPB1096496356</t>
  </si>
  <si>
    <t>KMPB1096318638</t>
  </si>
  <si>
    <t>KMPB1095838728</t>
  </si>
  <si>
    <t>KMPB1095810933</t>
  </si>
  <si>
    <t>KMPB1096120469</t>
  </si>
  <si>
    <t>KMPB1096140572</t>
  </si>
  <si>
    <t>KMPB1096216939</t>
  </si>
  <si>
    <t>KMPB1096297300</t>
  </si>
  <si>
    <t>KMPB1096558367</t>
  </si>
  <si>
    <t>KMPB1096149124</t>
  </si>
  <si>
    <t>KMPB1096142393</t>
  </si>
  <si>
    <t>KMPB1096138208</t>
  </si>
  <si>
    <t>KMPB1096137607</t>
  </si>
  <si>
    <t>KMPB1096120205</t>
  </si>
  <si>
    <t>KMPB1096149477</t>
  </si>
  <si>
    <t>KMPB1096150257</t>
  </si>
  <si>
    <t>KMPB1096226651</t>
  </si>
  <si>
    <t>KMPB1096216260</t>
  </si>
  <si>
    <t>KMPB1096224771</t>
  </si>
  <si>
    <t>KMPB1096223360</t>
  </si>
  <si>
    <t>KMPB1096240241</t>
  </si>
  <si>
    <t>KMPB1096261291</t>
  </si>
  <si>
    <t>KMPB1096113533</t>
  </si>
  <si>
    <t>KMPB1096110315</t>
  </si>
  <si>
    <t>KMPB1096111280</t>
  </si>
  <si>
    <t>KMPB1096104108</t>
  </si>
  <si>
    <t>KMPB1096104489</t>
  </si>
  <si>
    <t>KMPB1096102570</t>
  </si>
  <si>
    <t>KMPB1096100022</t>
  </si>
  <si>
    <t>KMPB1096275062</t>
  </si>
  <si>
    <t>KMPB1096097576</t>
  </si>
  <si>
    <t>KMPB1096317317</t>
  </si>
  <si>
    <t>KMPB1096348380</t>
  </si>
  <si>
    <t>KMPB1096321923</t>
  </si>
  <si>
    <t>KMPB1096404863</t>
  </si>
  <si>
    <t>KMPB1096425602</t>
  </si>
  <si>
    <t>KMPB1096484267</t>
  </si>
  <si>
    <t>KMPB1096487187</t>
  </si>
  <si>
    <t>KMPB1096488916</t>
  </si>
  <si>
    <t>KMPB1096146242</t>
  </si>
  <si>
    <t>KMPB1096100537</t>
  </si>
  <si>
    <t>KMPB1096034436</t>
  </si>
  <si>
    <t>KMPB1096002331</t>
  </si>
  <si>
    <t>KMPB1096058059</t>
  </si>
  <si>
    <t>KMPB1095952547</t>
  </si>
  <si>
    <t>KMPB1095877728</t>
  </si>
  <si>
    <t>KMPB1095845037</t>
  </si>
  <si>
    <t>KMPB1095798052</t>
  </si>
  <si>
    <t>KMPB1095753466</t>
  </si>
  <si>
    <t>KMPB1095724766</t>
  </si>
  <si>
    <t>KMPB1095426904</t>
  </si>
  <si>
    <t>KMPB1095563727</t>
  </si>
  <si>
    <t>KMPB1095316791</t>
  </si>
  <si>
    <t>KMPB1095368826</t>
  </si>
  <si>
    <t>KMPB1095401717</t>
  </si>
  <si>
    <t>KMPB1096706986</t>
  </si>
  <si>
    <t>KMPB1096541436</t>
  </si>
  <si>
    <t>KMPB1096591887</t>
  </si>
  <si>
    <t>KMPB1096657588</t>
  </si>
  <si>
    <t>KMPB1096661644</t>
  </si>
  <si>
    <t>KMPB1096659109</t>
  </si>
  <si>
    <t>KMPB1096658953</t>
  </si>
  <si>
    <t>KMPB1096657130</t>
  </si>
  <si>
    <t>KMPB1096654481</t>
  </si>
  <si>
    <t>KMPB1096629349</t>
  </si>
  <si>
    <t>KMPB1096592319</t>
  </si>
  <si>
    <t>KMPB1096589118</t>
  </si>
  <si>
    <t>KMPB1096588336</t>
  </si>
  <si>
    <t>KMPB1096581698</t>
  </si>
  <si>
    <t>KMPB1096581020</t>
  </si>
  <si>
    <t>KMPB1096570985</t>
  </si>
  <si>
    <t>KMPB1096550949</t>
  </si>
  <si>
    <t>KMPB1096316518</t>
  </si>
  <si>
    <t>KMPB1096457337</t>
  </si>
  <si>
    <t>KMPB1096438905</t>
  </si>
  <si>
    <t>KMPB1096531625</t>
  </si>
  <si>
    <t>KMPB1096697273</t>
  </si>
  <si>
    <t>KMPB1096675472</t>
  </si>
  <si>
    <t>KMPB1096798697</t>
  </si>
  <si>
    <t>IWMS1095709645</t>
  </si>
  <si>
    <t>IWMS1096069033</t>
  </si>
  <si>
    <t>KMPB1096671219</t>
  </si>
  <si>
    <t>KMPB1096614573</t>
  </si>
  <si>
    <t>KMPB1096547950</t>
  </si>
  <si>
    <t>KMPB1096580584</t>
  </si>
  <si>
    <t>KMPB1096889588</t>
  </si>
  <si>
    <t>ESOZ1093929606</t>
  </si>
  <si>
    <t>KMPB1097139041</t>
  </si>
  <si>
    <t>KMPB1096886640</t>
  </si>
  <si>
    <t>KMPB1096886976</t>
  </si>
  <si>
    <t>KMPB1096886166</t>
  </si>
  <si>
    <t>KMPB1096919068</t>
  </si>
  <si>
    <t>KMPB1096919991</t>
  </si>
  <si>
    <t>KMPB1096930329</t>
  </si>
  <si>
    <t>KMPB1096939273</t>
  </si>
  <si>
    <t>KMPB1096930892</t>
  </si>
  <si>
    <t>KMPB1096939461</t>
  </si>
  <si>
    <t>KMPB1097009330</t>
  </si>
  <si>
    <t>KMPB1097011414</t>
  </si>
  <si>
    <t>KMPB1097007982</t>
  </si>
  <si>
    <t>KMPB1097014866</t>
  </si>
  <si>
    <t>KMPB1097009039</t>
  </si>
  <si>
    <t>KMPB1097053055</t>
  </si>
  <si>
    <t>KMPB1097067093</t>
  </si>
  <si>
    <t>KMPB1096748256</t>
  </si>
  <si>
    <t>KMPB1096748353</t>
  </si>
  <si>
    <t>KMPB1096750412</t>
  </si>
  <si>
    <t>KMPB1096776097</t>
  </si>
  <si>
    <t>KMPB1096839223</t>
  </si>
  <si>
    <t>KMPB1096837800</t>
  </si>
  <si>
    <t>KMPB1096845739</t>
  </si>
  <si>
    <t>KMPB1097424496</t>
  </si>
  <si>
    <t>KMPB1097385174</t>
  </si>
  <si>
    <t>KMPB1097332070</t>
  </si>
  <si>
    <t>KMPB1097305506</t>
  </si>
  <si>
    <t>KMPB1097141872</t>
  </si>
  <si>
    <t>KMPB1097106332</t>
  </si>
  <si>
    <t>KMPB1097333924</t>
  </si>
  <si>
    <t>KMPB1097340018</t>
  </si>
  <si>
    <t>KMPB1097340866</t>
  </si>
  <si>
    <t>KMPB1097343219</t>
  </si>
  <si>
    <t>KMPB1097343592</t>
  </si>
  <si>
    <t>KMPB1097338962</t>
  </si>
  <si>
    <t>KMPB1097337900</t>
  </si>
  <si>
    <t>KMPB1097343153</t>
  </si>
  <si>
    <t>KMPB1097307141</t>
  </si>
  <si>
    <t>KMPB1097284573</t>
  </si>
  <si>
    <t>KMPB1097309148</t>
  </si>
  <si>
    <t>KMPB1097265873</t>
  </si>
  <si>
    <t>KMPB1097231170</t>
  </si>
  <si>
    <t>KMPB1097225242</t>
  </si>
  <si>
    <t>KMPB1097195940</t>
  </si>
  <si>
    <t>KMPB1097233485</t>
  </si>
  <si>
    <t>KMPB1097254242</t>
  </si>
  <si>
    <t>KMPB1097245007</t>
  </si>
  <si>
    <t>KMPB1097278652</t>
  </si>
  <si>
    <t>KMPB1097245067</t>
  </si>
  <si>
    <t>KMPB1097275195</t>
  </si>
  <si>
    <t>KMPB1097278274</t>
  </si>
  <si>
    <t>KMPB1097277728</t>
  </si>
  <si>
    <t>KMPB1097197359</t>
  </si>
  <si>
    <t>KMPB1097194405</t>
  </si>
  <si>
    <t>KMPB1097194116</t>
  </si>
  <si>
    <t>KMPB1097192075</t>
  </si>
  <si>
    <t>KMPB1097187154</t>
  </si>
  <si>
    <t>KMPB1097183530</t>
  </si>
  <si>
    <t>KMPB1097182464</t>
  </si>
  <si>
    <t>KMPB1097181745</t>
  </si>
  <si>
    <t>KMPB1097168836</t>
  </si>
  <si>
    <t>KMPB1097188316</t>
  </si>
  <si>
    <t>KMPB1097154270</t>
  </si>
  <si>
    <t>KMPB1097153983</t>
  </si>
  <si>
    <t>KMPB1097153472</t>
  </si>
  <si>
    <t>KMPB1097114457</t>
  </si>
  <si>
    <t>KMPB1097130310</t>
  </si>
  <si>
    <t>KMPB1097150929</t>
  </si>
  <si>
    <t>KMPB1097151010</t>
  </si>
  <si>
    <t>KMPB1097114350</t>
  </si>
  <si>
    <t>KMPB1097126494</t>
  </si>
  <si>
    <t>KMPB1097130584</t>
  </si>
  <si>
    <t>KMPB1097145254</t>
  </si>
  <si>
    <t>KMPB1097150419</t>
  </si>
  <si>
    <t>KMPB1097090177</t>
  </si>
  <si>
    <t>KMPB1097090644</t>
  </si>
  <si>
    <t>KMPB1097101666</t>
  </si>
  <si>
    <t>KMPB1097092224</t>
  </si>
  <si>
    <t>KMPB1097092422</t>
  </si>
  <si>
    <t>KMPB1097095480</t>
  </si>
  <si>
    <t>KMPB1097096098</t>
  </si>
  <si>
    <t>KMPB1097100025</t>
  </si>
  <si>
    <t>IWMS1097335439</t>
  </si>
  <si>
    <t>IWMS1097302729</t>
  </si>
  <si>
    <t>IWMS1097335271</t>
  </si>
  <si>
    <t>IWMS1097335387</t>
  </si>
  <si>
    <t>IWMS1097302997</t>
  </si>
  <si>
    <t>IWMS1097302872</t>
  </si>
  <si>
    <t>IWMS1097276025</t>
  </si>
  <si>
    <t>IWMS1097276067</t>
  </si>
  <si>
    <t>IWMS1097276093</t>
  </si>
  <si>
    <t>IWMS1097383352</t>
  </si>
  <si>
    <t>IWMS1097384374</t>
  </si>
  <si>
    <t>IWMS1097383317</t>
  </si>
  <si>
    <t>IWMS1096538893</t>
  </si>
  <si>
    <t>IWMS1096587453</t>
  </si>
  <si>
    <t>IWMS1096670010</t>
  </si>
  <si>
    <t>IWMS1096750650</t>
  </si>
  <si>
    <t>IWMS1096750725</t>
  </si>
  <si>
    <t>IWMS1096750785</t>
  </si>
  <si>
    <t>IWMS1096792344</t>
  </si>
  <si>
    <t>IWMS1096792420</t>
  </si>
  <si>
    <t>IWMS1096792493</t>
  </si>
  <si>
    <t>IWMS1096839746</t>
  </si>
  <si>
    <t>IWMS1096839827</t>
  </si>
  <si>
    <t>TEML1096890745</t>
  </si>
  <si>
    <t>ESOZ1096893709</t>
  </si>
  <si>
    <t>TEML1096930243</t>
  </si>
  <si>
    <t>TEML1096930848</t>
  </si>
  <si>
    <t>IWMS1096936565</t>
  </si>
  <si>
    <t>IWMS1096969001</t>
  </si>
  <si>
    <t>IWMS1096969041</t>
  </si>
  <si>
    <t>IWMS1096975209</t>
  </si>
  <si>
    <t>IWMS1097004280</t>
  </si>
  <si>
    <t>IWMS1097004313</t>
  </si>
  <si>
    <t>IWMS1097004350</t>
  </si>
  <si>
    <t>IWMS1097051465</t>
  </si>
  <si>
    <t>IWMS1097051504</t>
  </si>
  <si>
    <t>IWMS1097051549</t>
  </si>
  <si>
    <t>IWMS1097098947</t>
  </si>
  <si>
    <t>IWMS1097099016</t>
  </si>
  <si>
    <t>IWMS1097099885</t>
  </si>
  <si>
    <t>IWMS1097138088</t>
  </si>
  <si>
    <t>IWMS1097138116</t>
  </si>
  <si>
    <t>IWMS1097139706</t>
  </si>
  <si>
    <t>IWMS1097186483</t>
  </si>
  <si>
    <t>IWMS1097187046</t>
  </si>
  <si>
    <t>IWMS1097189298</t>
  </si>
  <si>
    <t>IWMS1097235614</t>
  </si>
  <si>
    <t>IWMS1097235739</t>
  </si>
  <si>
    <t>IWMS1097236131</t>
  </si>
  <si>
    <t>IWMS1096587980</t>
  </si>
  <si>
    <t>IWMS1096613482</t>
  </si>
  <si>
    <t>IWMS1096533806</t>
  </si>
  <si>
    <t>IWMS1096533855</t>
  </si>
  <si>
    <t>IWMS1096587425</t>
  </si>
  <si>
    <t>IWMS1096587493</t>
  </si>
  <si>
    <t>KMPB1097682316</t>
  </si>
  <si>
    <t>KMPB1097681687</t>
  </si>
  <si>
    <t>KMPB1097681534</t>
  </si>
  <si>
    <t>KMPB1097646607</t>
  </si>
  <si>
    <t>KMPB1097646994</t>
  </si>
  <si>
    <t>KMPB1097650359</t>
  </si>
  <si>
    <t>KMPB1097653707</t>
  </si>
  <si>
    <t>KMPB1097646421</t>
  </si>
  <si>
    <t>KMPB1097643328</t>
  </si>
  <si>
    <t>KMPB1097638246</t>
  </si>
  <si>
    <t>KMPB1097637914</t>
  </si>
  <si>
    <t>KMPB1097454664</t>
  </si>
  <si>
    <t>KMPB1097447352</t>
  </si>
  <si>
    <t>KMPB1097446268</t>
  </si>
  <si>
    <t>KMPB1097460267</t>
  </si>
  <si>
    <t>KMPB1097445713</t>
  </si>
  <si>
    <t>KMPB1097452482</t>
  </si>
  <si>
    <t>KMPB1097630693</t>
  </si>
  <si>
    <t>KMPB1097502629</t>
  </si>
  <si>
    <t>KMPB1097503628</t>
  </si>
  <si>
    <t>KMPB1097504547</t>
  </si>
  <si>
    <t>KMPB1097504742</t>
  </si>
  <si>
    <t>KMPB1097518925</t>
  </si>
  <si>
    <t>KMPB1097552422</t>
  </si>
  <si>
    <t>KMPB1097551651</t>
  </si>
  <si>
    <t>KMPB1097445061</t>
  </si>
  <si>
    <t>KMPB1097553897</t>
  </si>
  <si>
    <t>KMPB1097553824</t>
  </si>
  <si>
    <t>KMPB1097554141</t>
  </si>
  <si>
    <t>KMPB1097554361</t>
  </si>
  <si>
    <t>KMPB1097555956</t>
  </si>
  <si>
    <t>KMPB1097559509</t>
  </si>
  <si>
    <t>KMPB1097597103</t>
  </si>
  <si>
    <t>KMPB1097597630</t>
  </si>
  <si>
    <t>KMPB1097597780</t>
  </si>
  <si>
    <t>KMPB1097600571</t>
  </si>
  <si>
    <t>KMPB1097601245</t>
  </si>
  <si>
    <t>KMPB1097605740</t>
  </si>
  <si>
    <t>KMPB1097600197</t>
  </si>
  <si>
    <t>KMPB1097600372</t>
  </si>
  <si>
    <t>KMPB1097599891</t>
  </si>
  <si>
    <t>KMPB1097600080</t>
  </si>
  <si>
    <t>KMPB1097600798</t>
  </si>
  <si>
    <t>KMPB1097601074</t>
  </si>
  <si>
    <t>KMPB1097627033</t>
  </si>
  <si>
    <t>KMPB1097502376</t>
  </si>
  <si>
    <t>KMPB1097499012</t>
  </si>
  <si>
    <t>KMPB1097498694</t>
  </si>
  <si>
    <t>KMPB1097475608</t>
  </si>
  <si>
    <t>KMPB1097492848</t>
  </si>
  <si>
    <t>KMPB1097492778</t>
  </si>
  <si>
    <t>KMPB1097495512</t>
  </si>
  <si>
    <t>KMPB1097599414</t>
  </si>
  <si>
    <t>KMPB1097636949</t>
  </si>
  <si>
    <t>KMPB1097874890</t>
  </si>
  <si>
    <t>KMPB1096704170</t>
  </si>
  <si>
    <t>KMPB1097194872</t>
  </si>
  <si>
    <t>KMPB1097434786</t>
  </si>
  <si>
    <t>KMPB1097475160</t>
  </si>
  <si>
    <t>KMPB1097560594</t>
  </si>
  <si>
    <t>KMPB1097599723</t>
  </si>
  <si>
    <t>KMPB1097774364</t>
  </si>
  <si>
    <t>KMPB1097744016</t>
  </si>
  <si>
    <t>KMPB1097741215</t>
  </si>
  <si>
    <t>KMPB1097739567</t>
  </si>
  <si>
    <t>KMPB1097732858</t>
  </si>
  <si>
    <t>KMPB1097726529</t>
  </si>
  <si>
    <t>KMPB1097725804</t>
  </si>
  <si>
    <t>KMPB1097705814</t>
  </si>
  <si>
    <t>KMPB1097701234</t>
  </si>
  <si>
    <t>KMPB1097693310</t>
  </si>
  <si>
    <t>KMPB1097692870</t>
  </si>
  <si>
    <t>KMPB1097692033</t>
  </si>
  <si>
    <t>KMPB1097689829</t>
  </si>
  <si>
    <t>KMPB1097686604</t>
  </si>
  <si>
    <t>KMPB1097685383</t>
  </si>
  <si>
    <t>KMPB1097683234</t>
  </si>
  <si>
    <t>KMPB1097682957</t>
  </si>
  <si>
    <t>KMPB1097682812</t>
  </si>
  <si>
    <t>KMPB1097419773</t>
  </si>
  <si>
    <t>KMPB1097416228</t>
  </si>
  <si>
    <t>KMPB1097415993</t>
  </si>
  <si>
    <t>KMPB1097412034</t>
  </si>
  <si>
    <t>TEML1097106945</t>
  </si>
  <si>
    <t>TEML1097106995</t>
  </si>
  <si>
    <t>TEML1097066339</t>
  </si>
  <si>
    <t>IWMS1097388875</t>
  </si>
  <si>
    <t>IWMS1097388853</t>
  </si>
  <si>
    <t>TEML1097349397</t>
  </si>
  <si>
    <t>TEML1097350890</t>
  </si>
  <si>
    <t>TEML1097140993</t>
  </si>
  <si>
    <t>TEML1097096773</t>
  </si>
  <si>
    <t>TEML1097106911</t>
  </si>
  <si>
    <t>IWMS1097014974</t>
  </si>
  <si>
    <t>IWMS1097088768</t>
  </si>
  <si>
    <t>IWMS1097140789</t>
  </si>
  <si>
    <t>TEML1097109953</t>
  </si>
  <si>
    <t>IWMS1098421943</t>
  </si>
  <si>
    <t>IWMS1098421873</t>
  </si>
  <si>
    <t>IWMS1098421374</t>
  </si>
  <si>
    <t>IWMS1098417508</t>
  </si>
  <si>
    <t>IWMS1098416468</t>
  </si>
  <si>
    <t>IWMS1098416392</t>
  </si>
  <si>
    <t>IWMS1098409192</t>
  </si>
  <si>
    <t>IWMS1098409246</t>
  </si>
  <si>
    <t>IWMS1098402997</t>
  </si>
  <si>
    <t>IWMS1098405158</t>
  </si>
  <si>
    <t>IWMS1098403722</t>
  </si>
  <si>
    <t>IWMS1098384359</t>
  </si>
  <si>
    <t>IWMS1098384940</t>
  </si>
  <si>
    <t>KMPB1098424283</t>
  </si>
  <si>
    <t>KMPB1098702500</t>
  </si>
  <si>
    <t>KMPB1098673596</t>
  </si>
  <si>
    <t>KMPB1098090448</t>
  </si>
  <si>
    <t>KMPB1098376663</t>
  </si>
  <si>
    <t>KMPB1098449151</t>
  </si>
  <si>
    <t>KMPB1098506318</t>
  </si>
  <si>
    <t>KMPB1098373104</t>
  </si>
  <si>
    <t>KMPB1098129168</t>
  </si>
  <si>
    <t>KMPB1098086892</t>
  </si>
  <si>
    <t>KMPB1098047794</t>
  </si>
  <si>
    <t>KMPB1098008043</t>
  </si>
  <si>
    <t>KMPB1097446794</t>
  </si>
  <si>
    <t>KMPB1098531633</t>
  </si>
  <si>
    <t>KMPB1098571908</t>
  </si>
  <si>
    <t>KMPB1098648528</t>
  </si>
  <si>
    <t>KMPB1098883412</t>
  </si>
  <si>
    <t>KMPB1098960058</t>
  </si>
  <si>
    <t>KMPB1098986847</t>
  </si>
  <si>
    <t>KMPB1099081930</t>
  </si>
  <si>
    <t>KMPB1099113190</t>
  </si>
  <si>
    <t>KMPB1099346349</t>
  </si>
  <si>
    <t>KMPB1099408103</t>
  </si>
  <si>
    <t>KMPB1099236606</t>
  </si>
  <si>
    <t>KMPB1099207502</t>
  </si>
  <si>
    <t>KMPB1099144383</t>
  </si>
  <si>
    <t>KMPB1099442907</t>
  </si>
  <si>
    <t>Silica Sand</t>
  </si>
  <si>
    <t>M/s SHREE VISHNU MINERALS</t>
  </si>
  <si>
    <t>Mokha Charnan / Kolayat / Bikaner</t>
  </si>
  <si>
    <t>MANOJ NAYAK</t>
  </si>
  <si>
    <t>Gangapura Chak No.7 / Kolayat / Bikaner</t>
  </si>
  <si>
    <t>J.V MINES AND MINERALS</t>
  </si>
  <si>
    <t>Golari / Kolayat / Bikaner</t>
  </si>
  <si>
    <t>S.R.MINES AND MINERLS</t>
  </si>
  <si>
    <t>Indo Ka Bala / Kolayat / Bikaner</t>
  </si>
  <si>
    <t>ANIL KUMAR KHICHER</t>
  </si>
  <si>
    <t>Kishnasar / Nokha / Bikaner</t>
  </si>
  <si>
    <t>GUDHA ASSOCIATES</t>
  </si>
  <si>
    <t>Samorakhi / Kolayat / Bikaner</t>
  </si>
  <si>
    <t>YHWX1037964894</t>
  </si>
  <si>
    <t>ADWAITH AGGREGATE SOLUTIONS</t>
  </si>
  <si>
    <t>KHASRA NO. 942/779 HANUMAN NAGAR (Hanuman Nagar/Nagaur/Nagaur)</t>
  </si>
  <si>
    <t>KHASRA NO. 910/801 HANUMAN NAGAR (Hanuman Nagar/Nagaur/Nagaur)</t>
  </si>
  <si>
    <t>BALAJI STONE CRUSHURE_</t>
  </si>
  <si>
    <t>SHRI BALAJI 2022 (Shribalaji/Nagaur/Nagaur)</t>
  </si>
  <si>
    <t>Jagdamba Stone Crusher</t>
  </si>
  <si>
    <t>Jagdamba Stone Crusher(Kodasar Bidavtaan/Sujangarh/Churu)</t>
  </si>
  <si>
    <t>M/s Sidhi Vinayak Aggregates Private Limated</t>
  </si>
  <si>
    <t>Barsingo Ka Bas Lohawat()</t>
  </si>
  <si>
    <t>Cressure Name</t>
  </si>
  <si>
    <t>Address</t>
  </si>
  <si>
    <t>VNMI</t>
  </si>
  <si>
    <t>21.4 MT</t>
  </si>
  <si>
    <t>20.87 MT</t>
  </si>
  <si>
    <t>20.63 MT</t>
  </si>
  <si>
    <t>53.8 MT</t>
  </si>
  <si>
    <t>21.1 MT</t>
  </si>
  <si>
    <t>50.16 MT</t>
  </si>
  <si>
    <t>20.08 MT</t>
  </si>
  <si>
    <t>20.83 MT</t>
  </si>
  <si>
    <t>20.85 MT</t>
  </si>
  <si>
    <t>19.73 MT</t>
  </si>
  <si>
    <t>19.92 MT</t>
  </si>
  <si>
    <t>20.94 MT</t>
  </si>
  <si>
    <t>19.62 MT</t>
  </si>
  <si>
    <t>21.16 MT</t>
  </si>
  <si>
    <t>52.82 MT</t>
  </si>
  <si>
    <t>56.36 MT</t>
  </si>
  <si>
    <t>19.96 MT</t>
  </si>
  <si>
    <t>53.53 MT</t>
  </si>
  <si>
    <t>53.62 MT</t>
  </si>
  <si>
    <t>50.98 MT</t>
  </si>
  <si>
    <t>52.07 MT</t>
  </si>
  <si>
    <t>45.2 MT</t>
  </si>
  <si>
    <t>52.62 MT</t>
  </si>
  <si>
    <t>45.6 MT</t>
  </si>
  <si>
    <t>21.45 MT</t>
  </si>
  <si>
    <t>57.38 MT</t>
  </si>
  <si>
    <t>21.71 MT</t>
  </si>
  <si>
    <t>59.055 MT</t>
  </si>
  <si>
    <t>58.555 MT</t>
  </si>
  <si>
    <t>57.68 MT</t>
  </si>
  <si>
    <t>61.57 MT</t>
  </si>
  <si>
    <t>57.25 MT</t>
  </si>
  <si>
    <t>60.5 MT</t>
  </si>
  <si>
    <t>59.73 MT</t>
  </si>
  <si>
    <t>58.31 MT</t>
  </si>
  <si>
    <t>52.33 MT</t>
  </si>
  <si>
    <t>20.82 MT</t>
  </si>
  <si>
    <t>60.65 MT</t>
  </si>
  <si>
    <t>57.66 MT</t>
  </si>
  <si>
    <t>58.06 MT</t>
  </si>
  <si>
    <t>46.28 MT</t>
  </si>
  <si>
    <t>57.855 MT</t>
  </si>
  <si>
    <t>59.355 MT</t>
  </si>
  <si>
    <t>47.025 MT</t>
  </si>
  <si>
    <t>58.35 MT</t>
  </si>
  <si>
    <t>59.33 MT</t>
  </si>
  <si>
    <t>21.21 MT</t>
  </si>
  <si>
    <t>52.2 MT</t>
  </si>
  <si>
    <t>60.99 MT</t>
  </si>
  <si>
    <t>57.41 MT</t>
  </si>
  <si>
    <t>48.23 MT</t>
  </si>
  <si>
    <t>56.34 MT</t>
  </si>
  <si>
    <t>53.98 MT</t>
  </si>
  <si>
    <t>59.41 MT</t>
  </si>
  <si>
    <t>59.38 MT</t>
  </si>
  <si>
    <t>57.92 MT</t>
  </si>
  <si>
    <t>55.58 MT</t>
  </si>
  <si>
    <t>50.22 MT</t>
  </si>
  <si>
    <t>21.09 MT</t>
  </si>
  <si>
    <t>53.14 MT</t>
  </si>
  <si>
    <t>57.03 MT</t>
  </si>
  <si>
    <t>58.53 MT</t>
  </si>
  <si>
    <t>57.005 MT</t>
  </si>
  <si>
    <t>56.505 MT</t>
  </si>
  <si>
    <t>46.325 MT</t>
  </si>
  <si>
    <t>35.77 MT</t>
  </si>
  <si>
    <t>35.47 MT</t>
  </si>
  <si>
    <t>21.31 MT</t>
  </si>
  <si>
    <t>21.96 MT</t>
  </si>
  <si>
    <t>71.11 MT</t>
  </si>
  <si>
    <t>70.66 MT</t>
  </si>
  <si>
    <t>70.09 MT</t>
  </si>
  <si>
    <t>76.41 MT</t>
  </si>
  <si>
    <t>56.51 MT</t>
  </si>
  <si>
    <t>52.94 MT</t>
  </si>
  <si>
    <t>60.97 MT</t>
  </si>
  <si>
    <t>53.7 MT</t>
  </si>
  <si>
    <t>51.12 MT</t>
  </si>
  <si>
    <t>56.62 MT</t>
  </si>
  <si>
    <t>44.825 MT</t>
  </si>
  <si>
    <t>58.68 MT</t>
  </si>
  <si>
    <t>56.18 MT</t>
  </si>
  <si>
    <t>57.9 MT</t>
  </si>
  <si>
    <t>58.07 MT</t>
  </si>
  <si>
    <t>73.08 MT</t>
  </si>
  <si>
    <t>76.32 MT</t>
  </si>
  <si>
    <t>51.43 MT</t>
  </si>
  <si>
    <t>56.48 MT</t>
  </si>
  <si>
    <t>56.28 MT</t>
  </si>
  <si>
    <t>57.405 MT</t>
  </si>
  <si>
    <t>46.025 MT</t>
  </si>
  <si>
    <t>75.87 MT</t>
  </si>
  <si>
    <t>71.31 MT</t>
  </si>
  <si>
    <t>72.4 MT</t>
  </si>
  <si>
    <t>56.46 MT</t>
  </si>
  <si>
    <t>54.14 MT</t>
  </si>
  <si>
    <t>60.78 MT</t>
  </si>
  <si>
    <t>59.05 MT</t>
  </si>
  <si>
    <t>35.69 MT</t>
  </si>
  <si>
    <t>58.84 MT</t>
  </si>
  <si>
    <t>62.1 MT</t>
  </si>
  <si>
    <t>58.19 MT</t>
  </si>
  <si>
    <t>61.12 MT</t>
  </si>
  <si>
    <t>57.53 MT</t>
  </si>
  <si>
    <t>57.4 MT</t>
  </si>
  <si>
    <t>59.39 MT</t>
  </si>
  <si>
    <t>57.56 MT</t>
  </si>
  <si>
    <t>51.98 MT</t>
  </si>
  <si>
    <t>53.86 MT</t>
  </si>
  <si>
    <t>20.69 MT</t>
  </si>
  <si>
    <t>55.71 MT</t>
  </si>
  <si>
    <t>50.54 MT</t>
  </si>
  <si>
    <t>53.37 MT</t>
  </si>
  <si>
    <t>17.47 MT</t>
  </si>
  <si>
    <t>53.29 MT</t>
  </si>
  <si>
    <t>37.45 MT</t>
  </si>
  <si>
    <t>54.5 MT</t>
  </si>
  <si>
    <t>62.83 MT</t>
  </si>
  <si>
    <t>62.06 MT</t>
  </si>
  <si>
    <t>53.61 MT</t>
  </si>
  <si>
    <t>54.58 MT</t>
  </si>
  <si>
    <t>56.45 MT</t>
  </si>
  <si>
    <t>59.58 MT</t>
  </si>
  <si>
    <t>46.46 MT</t>
  </si>
  <si>
    <t>53.47 MT</t>
  </si>
  <si>
    <t>20.18 MT</t>
  </si>
  <si>
    <t>53.65 MT</t>
  </si>
  <si>
    <t>60.94 MT</t>
  </si>
  <si>
    <t>58.88 MT</t>
  </si>
  <si>
    <t>57.78 MT</t>
  </si>
  <si>
    <t>54.42 MT</t>
  </si>
  <si>
    <t>50.17 MT</t>
  </si>
  <si>
    <t>51.97 MT</t>
  </si>
  <si>
    <t>20.75 MT</t>
  </si>
  <si>
    <t>21.19 MT</t>
  </si>
  <si>
    <t>21.42 MT</t>
  </si>
  <si>
    <t>59.59 MT</t>
  </si>
  <si>
    <t>56.88 MT</t>
  </si>
  <si>
    <t>24.6 MT</t>
  </si>
  <si>
    <t>17.57 MT</t>
  </si>
  <si>
    <t>57.14 MT</t>
  </si>
  <si>
    <t>55.74 MT</t>
  </si>
  <si>
    <t>17.37 MT</t>
  </si>
  <si>
    <t>55.93 MT</t>
  </si>
  <si>
    <t>57.69 MT</t>
  </si>
  <si>
    <t>56.58 MT</t>
  </si>
  <si>
    <t>54.07 MT</t>
  </si>
  <si>
    <t>49.55 MT</t>
  </si>
  <si>
    <t>21.47 MT</t>
  </si>
  <si>
    <t>21.44 MT</t>
  </si>
  <si>
    <t>52.96 MT</t>
  </si>
  <si>
    <t>57.58 MT</t>
  </si>
  <si>
    <t>21.15 MT</t>
  </si>
  <si>
    <t>21.12 MT</t>
  </si>
  <si>
    <t>56.93 MT</t>
  </si>
  <si>
    <t>57.13 MT</t>
  </si>
  <si>
    <t>67.21 MT</t>
  </si>
  <si>
    <t>52.1 MT</t>
  </si>
  <si>
    <t>51.11 MT</t>
  </si>
  <si>
    <t>35.89 MT</t>
  </si>
  <si>
    <t>55.48 MT</t>
  </si>
  <si>
    <t>52.97 MT</t>
  </si>
  <si>
    <t>20.13 MT</t>
  </si>
  <si>
    <t>54.74 MT</t>
  </si>
  <si>
    <t>57.64 MT</t>
  </si>
  <si>
    <t>53.85 MT</t>
  </si>
  <si>
    <t>55.98 MT</t>
  </si>
  <si>
    <t>20.77 MT</t>
  </si>
  <si>
    <t>20.23 MT</t>
  </si>
  <si>
    <t>53.82 MT</t>
  </si>
  <si>
    <t>59.14 MT</t>
  </si>
  <si>
    <t>57.32 MT</t>
  </si>
  <si>
    <t>59.56 MT</t>
  </si>
  <si>
    <t>61.84 MT</t>
  </si>
  <si>
    <t>54.39 MT</t>
  </si>
  <si>
    <t>52.38 MT</t>
  </si>
  <si>
    <t>20.74 MT</t>
  </si>
  <si>
    <t>58.48 MT</t>
  </si>
  <si>
    <t>52.51 MT</t>
  </si>
  <si>
    <t>61.48 MT</t>
  </si>
  <si>
    <t>53.78 MT</t>
  </si>
  <si>
    <t>62.12 MT</t>
  </si>
  <si>
    <t>62.04 MT</t>
  </si>
  <si>
    <t>57.43 MT</t>
  </si>
  <si>
    <t>60.04 MT</t>
  </si>
  <si>
    <t>61.47 MT</t>
  </si>
  <si>
    <t>51.42 MT</t>
  </si>
  <si>
    <t>60.07 MT</t>
  </si>
  <si>
    <t>63.15 MT</t>
  </si>
  <si>
    <t>56.98 MT</t>
  </si>
  <si>
    <t>21.08 MT</t>
  </si>
  <si>
    <t>20.76 MT</t>
  </si>
  <si>
    <t>58.41 MT</t>
  </si>
  <si>
    <t>61.64 MT</t>
  </si>
  <si>
    <t>58.3 MT</t>
  </si>
  <si>
    <t>20.86 MT</t>
  </si>
  <si>
    <t>51.74 MT</t>
  </si>
  <si>
    <t>53.26 MT</t>
  </si>
  <si>
    <t>51.77 MT</t>
  </si>
  <si>
    <t>56.08 MT</t>
  </si>
  <si>
    <t>20.73 MT</t>
  </si>
  <si>
    <t>38.43 MT</t>
  </si>
  <si>
    <t>59.61 MT</t>
  </si>
  <si>
    <t>62.57 MT</t>
  </si>
  <si>
    <t>63.02 MT</t>
  </si>
  <si>
    <t>21.53 MT</t>
  </si>
  <si>
    <t>58.28 MT</t>
  </si>
  <si>
    <t>57.08 MT</t>
  </si>
  <si>
    <t>21.74 MT</t>
  </si>
  <si>
    <t>19.28 MT</t>
  </si>
  <si>
    <t>55.63 MT</t>
  </si>
  <si>
    <t>21.24 MT</t>
  </si>
  <si>
    <t>57.23 MT</t>
  </si>
  <si>
    <t>21.07 MT</t>
  </si>
  <si>
    <t>21.37 MT</t>
  </si>
  <si>
    <t>56.83 MT</t>
  </si>
  <si>
    <t>20.09 MT</t>
  </si>
  <si>
    <t>19.98 MT</t>
  </si>
  <si>
    <t>59.54 MT</t>
  </si>
  <si>
    <t>17.41 MT</t>
  </si>
  <si>
    <t>21.17 MT</t>
  </si>
  <si>
    <t>19.91 MT</t>
  </si>
  <si>
    <t>19.36 MT</t>
  </si>
  <si>
    <t>53.33 MT</t>
  </si>
  <si>
    <t>19.99 MT</t>
  </si>
  <si>
    <t>19.79 MT</t>
  </si>
  <si>
    <t>21.05 MT</t>
  </si>
  <si>
    <t>50.97 MT</t>
  </si>
  <si>
    <t>59.7 MT</t>
  </si>
  <si>
    <t>21.26 MT</t>
  </si>
  <si>
    <t>21.27 MT</t>
  </si>
  <si>
    <t>20.06 MT</t>
  </si>
  <si>
    <t>21.57 MT</t>
  </si>
  <si>
    <t>20.71 MT</t>
  </si>
  <si>
    <t>21.58 MT</t>
  </si>
  <si>
    <t>20.51 MT</t>
  </si>
  <si>
    <t>17.97 MT</t>
  </si>
  <si>
    <t>19.85 MT</t>
  </si>
  <si>
    <t>58.08 MT</t>
  </si>
  <si>
    <t>20.8 MT</t>
  </si>
  <si>
    <t>20.43 MT</t>
  </si>
  <si>
    <t>21.8 MT</t>
  </si>
  <si>
    <t>21.06 MT</t>
  </si>
  <si>
    <t>57 MT</t>
  </si>
  <si>
    <t>20.34 MT</t>
  </si>
  <si>
    <t>59.09 MT</t>
  </si>
  <si>
    <t>19.8 MT</t>
  </si>
  <si>
    <t>62.84 MT</t>
  </si>
  <si>
    <t>19.9 MT</t>
  </si>
  <si>
    <t>20.93 MT</t>
  </si>
  <si>
    <t>21.75 MT</t>
  </si>
  <si>
    <t>60.805 MT</t>
  </si>
  <si>
    <t>47 MT</t>
  </si>
  <si>
    <t>60.98 MT</t>
  </si>
  <si>
    <t>21.22 MT</t>
  </si>
  <si>
    <t>21.02 MT</t>
  </si>
  <si>
    <t>21.11 MT</t>
  </si>
  <si>
    <t>45.075 MT</t>
  </si>
  <si>
    <t>19.94 MT</t>
  </si>
  <si>
    <t>61.505 MT</t>
  </si>
  <si>
    <t>62.54 MT</t>
  </si>
  <si>
    <t>20.11 MT</t>
  </si>
  <si>
    <t>60.48 MT</t>
  </si>
  <si>
    <t>20.19 MT</t>
  </si>
  <si>
    <t>20.26 MT</t>
  </si>
  <si>
    <t>20.95 MT</t>
  </si>
  <si>
    <t>19.82 MT</t>
  </si>
  <si>
    <t>21.5 MT</t>
  </si>
  <si>
    <t>21.41 MT</t>
  </si>
  <si>
    <t>20.78 MT</t>
  </si>
  <si>
    <t>19.67 MT</t>
  </si>
  <si>
    <t>60.39 MT</t>
  </si>
  <si>
    <t>61.315 MT</t>
  </si>
  <si>
    <t>57.905 MT</t>
  </si>
  <si>
    <t>61.92 MT</t>
  </si>
  <si>
    <t>64.59 MT</t>
  </si>
  <si>
    <t>58.16 MT</t>
  </si>
  <si>
    <t>62.44 MT</t>
  </si>
  <si>
    <t>51.06 MT</t>
  </si>
  <si>
    <t>62.27 MT</t>
  </si>
  <si>
    <t>57.93 MT</t>
  </si>
  <si>
    <t>58.86 MT</t>
  </si>
  <si>
    <t>59.97 MT</t>
  </si>
  <si>
    <t>60.26 MT</t>
  </si>
  <si>
    <t>63.4 MT</t>
  </si>
  <si>
    <t>59.53 MT</t>
  </si>
  <si>
    <t>61.9 MT</t>
  </si>
  <si>
    <t>60.05 MT</t>
  </si>
  <si>
    <t>45.88 MT</t>
  </si>
  <si>
    <t>61.34 MT</t>
  </si>
  <si>
    <t>62.13 MT</t>
  </si>
  <si>
    <t>64.1 MT</t>
  </si>
  <si>
    <t>62.52 MT</t>
  </si>
  <si>
    <t>60.64 MT</t>
  </si>
  <si>
    <t>61.46 MT</t>
  </si>
  <si>
    <t>61.97 MT</t>
  </si>
  <si>
    <t>59.69 MT</t>
  </si>
  <si>
    <t>60.74 MT</t>
  </si>
  <si>
    <t>20.48 MT</t>
  </si>
  <si>
    <t>58.05 MT</t>
  </si>
  <si>
    <t>60.87 MT</t>
  </si>
  <si>
    <t>59.95 MT</t>
  </si>
  <si>
    <t>64.5 MT</t>
  </si>
  <si>
    <t>62.15 MT</t>
  </si>
  <si>
    <t>58.69 MT</t>
  </si>
  <si>
    <t>17.9 MT</t>
  </si>
  <si>
    <t>18.79 MT</t>
  </si>
  <si>
    <t>17.93 MT</t>
  </si>
  <si>
    <t>18.67 MT</t>
  </si>
  <si>
    <t>17.78 MT</t>
  </si>
  <si>
    <t>18.69 MT</t>
  </si>
  <si>
    <t>17.85 MT</t>
  </si>
  <si>
    <t>18.84 MT</t>
  </si>
  <si>
    <t>18.93 MT</t>
  </si>
  <si>
    <t>17.95 MT</t>
  </si>
  <si>
    <t>18.98 MT</t>
  </si>
  <si>
    <t>18.11 MT</t>
  </si>
  <si>
    <t>18.99 MT</t>
  </si>
  <si>
    <t>18.12 MT</t>
  </si>
  <si>
    <t>18.81 MT</t>
  </si>
  <si>
    <t>17.8 MT</t>
  </si>
  <si>
    <t>17.79 MT</t>
  </si>
  <si>
    <t>17.43 MT</t>
  </si>
  <si>
    <t>20.04 MT</t>
  </si>
  <si>
    <t>21.48 MT</t>
  </si>
  <si>
    <t>21.33 MT</t>
  </si>
  <si>
    <t>20.47 MT</t>
  </si>
  <si>
    <t>19.75 MT</t>
  </si>
  <si>
    <t>21.13 MT</t>
  </si>
  <si>
    <t>19.27 MT</t>
  </si>
  <si>
    <t>18.32 MT</t>
  </si>
  <si>
    <t>18.86 MT</t>
  </si>
  <si>
    <t>18.36 MT</t>
  </si>
  <si>
    <t>47.05 MT</t>
  </si>
  <si>
    <t>55.25 MT</t>
  </si>
  <si>
    <t>54.98 MT</t>
  </si>
  <si>
    <t>56.13 MT</t>
  </si>
  <si>
    <t>56.23 MT</t>
  </si>
  <si>
    <t>62.29 MT</t>
  </si>
  <si>
    <t>59.805 MT</t>
  </si>
  <si>
    <t>54.88 MT</t>
  </si>
  <si>
    <t>54.63 MT</t>
  </si>
  <si>
    <t>60.205 MT</t>
  </si>
  <si>
    <t>56.155 MT</t>
  </si>
  <si>
    <t>19.47 MT</t>
  </si>
  <si>
    <t>19.83 MT</t>
  </si>
  <si>
    <t>20.56 MT</t>
  </si>
  <si>
    <t>21.54 MT</t>
  </si>
  <si>
    <t>20.88 MT</t>
  </si>
  <si>
    <t>20.97 MT</t>
  </si>
  <si>
    <t>20.62 MT</t>
  </si>
  <si>
    <t>20.55 MT</t>
  </si>
  <si>
    <t>19.53 MT</t>
  </si>
  <si>
    <t>19.87 MT</t>
  </si>
  <si>
    <t>20.98 MT</t>
  </si>
  <si>
    <t>20.16 MT</t>
  </si>
  <si>
    <t>22.14 MT</t>
  </si>
  <si>
    <t>20.33 MT</t>
  </si>
  <si>
    <t>20.2 MT</t>
  </si>
  <si>
    <t>20.605 MT</t>
  </si>
  <si>
    <t>21.43 MT</t>
  </si>
  <si>
    <t>21.455 MT</t>
  </si>
  <si>
    <t>20.35 MT</t>
  </si>
  <si>
    <t>36.225 MT</t>
  </si>
  <si>
    <t>17.22 MT</t>
  </si>
  <si>
    <t>20.31 MT</t>
  </si>
  <si>
    <t>19.03 MT</t>
  </si>
  <si>
    <t>19.38 MT</t>
  </si>
  <si>
    <t>63.98 MT</t>
  </si>
  <si>
    <t>21.465 MT</t>
  </si>
  <si>
    <t>46.52 MT</t>
  </si>
  <si>
    <t>62.55 MT</t>
  </si>
  <si>
    <t>62.655 MT</t>
  </si>
  <si>
    <t>49.58 MT</t>
  </si>
  <si>
    <t>63.355 MT</t>
  </si>
  <si>
    <t>63.94 MT</t>
  </si>
  <si>
    <t>63.28 MT</t>
  </si>
  <si>
    <t>14.45 MT</t>
  </si>
  <si>
    <t>39.425 MT</t>
  </si>
  <si>
    <t>50.19 MT</t>
  </si>
  <si>
    <t>63.63 MT</t>
  </si>
  <si>
    <t>36.95 MT</t>
  </si>
  <si>
    <t>65.215 MT</t>
  </si>
  <si>
    <t>48.87 MT</t>
  </si>
  <si>
    <t>43.33 MT</t>
  </si>
  <si>
    <t>64.08 MT</t>
  </si>
  <si>
    <t>61.4 MT</t>
  </si>
  <si>
    <t>39.025 MT</t>
  </si>
  <si>
    <t>41.9 MT</t>
  </si>
  <si>
    <t>43.785 MT</t>
  </si>
  <si>
    <t>48.465 MT</t>
  </si>
  <si>
    <t>21.405 MT</t>
  </si>
  <si>
    <t>63.93 MT</t>
  </si>
  <si>
    <t>64.38 MT</t>
  </si>
  <si>
    <t>55.18 MT</t>
  </si>
  <si>
    <t>59.15 MT</t>
  </si>
  <si>
    <t>57.28 MT</t>
  </si>
  <si>
    <t>59.845 MT</t>
  </si>
  <si>
    <t>55.745 MT</t>
  </si>
  <si>
    <t>19.6 MT</t>
  </si>
  <si>
    <t>53.08 MT</t>
  </si>
  <si>
    <t>45.67 MT</t>
  </si>
  <si>
    <t>56.38 MT</t>
  </si>
  <si>
    <t>21.32 MT</t>
  </si>
  <si>
    <t>20 MT</t>
  </si>
  <si>
    <t>57.83 MT</t>
  </si>
  <si>
    <t>58.38 MT</t>
  </si>
  <si>
    <t>21.29 MT</t>
  </si>
  <si>
    <t>64.65 MT</t>
  </si>
  <si>
    <t>45.48 MT</t>
  </si>
  <si>
    <t>21.35 MT</t>
  </si>
  <si>
    <t>64.24 MT</t>
  </si>
  <si>
    <t>60.91 MT</t>
  </si>
  <si>
    <t>59.98 MT</t>
  </si>
  <si>
    <t>57.67 MT</t>
  </si>
  <si>
    <t>59.19 MT</t>
  </si>
  <si>
    <t>45.82 MT</t>
  </si>
  <si>
    <t>57.44 MT</t>
  </si>
  <si>
    <t>61.72 MT</t>
  </si>
  <si>
    <t>51.93 MT</t>
  </si>
  <si>
    <t>55.05 MT</t>
  </si>
  <si>
    <t>58.22 MT</t>
  </si>
  <si>
    <t>21.23 MT</t>
  </si>
  <si>
    <t>58.4 MT</t>
  </si>
  <si>
    <t>48.42 MT</t>
  </si>
  <si>
    <t>57.96 MT</t>
  </si>
  <si>
    <t>60.86 MT</t>
  </si>
  <si>
    <t>46.83 MT</t>
  </si>
  <si>
    <t>59.76 MT</t>
  </si>
  <si>
    <t>61.7 MT</t>
  </si>
  <si>
    <t>21.39 MT</t>
  </si>
  <si>
    <t>17.35 MT</t>
  </si>
  <si>
    <t>55.68 MT</t>
  </si>
  <si>
    <t>58.94 MT</t>
  </si>
  <si>
    <t>45.99 MT</t>
  </si>
  <si>
    <t>53.25 MT</t>
  </si>
  <si>
    <t>63.36 MT</t>
  </si>
  <si>
    <t>56.53 MT</t>
  </si>
  <si>
    <t>44.62 MT</t>
  </si>
  <si>
    <t>61.91 MT</t>
  </si>
  <si>
    <t>63.79 MT</t>
  </si>
  <si>
    <t>60.66 MT</t>
  </si>
  <si>
    <t>38.64 MT</t>
  </si>
  <si>
    <t>43.86 MT</t>
  </si>
  <si>
    <t>16.79 MT</t>
  </si>
  <si>
    <t>20.58 MT</t>
  </si>
  <si>
    <t>20.72 MT</t>
  </si>
  <si>
    <t>64.07 MT</t>
  </si>
  <si>
    <t>21.2 MT</t>
  </si>
  <si>
    <t>20.84 MT</t>
  </si>
  <si>
    <t>60.53 MT</t>
  </si>
  <si>
    <t>20.91 MT</t>
  </si>
  <si>
    <t>20.99 MT</t>
  </si>
  <si>
    <t>59.9 MT</t>
  </si>
  <si>
    <t>60.1 MT</t>
  </si>
  <si>
    <t>55.31 MT</t>
  </si>
  <si>
    <t>59.92 MT</t>
  </si>
  <si>
    <t>57.8 MT</t>
  </si>
  <si>
    <t>43.26 MT</t>
  </si>
  <si>
    <t>60.52 MT</t>
  </si>
  <si>
    <t>43.9 MT</t>
  </si>
  <si>
    <t>40.9 MT</t>
  </si>
  <si>
    <t>65.03 MT</t>
  </si>
  <si>
    <t>59.88 MT</t>
  </si>
  <si>
    <t>16.7 MT</t>
  </si>
  <si>
    <t>57.48 MT</t>
  </si>
  <si>
    <t>63.08 MT</t>
  </si>
  <si>
    <t>63.18 MT</t>
  </si>
  <si>
    <t>63.68 MT</t>
  </si>
  <si>
    <t>17.775 MT</t>
  </si>
  <si>
    <t>17.695 MT</t>
  </si>
  <si>
    <t>62.455 MT</t>
  </si>
  <si>
    <t>16.675 MT</t>
  </si>
  <si>
    <t>61.105 MT</t>
  </si>
  <si>
    <t>40.18 MT</t>
  </si>
  <si>
    <t>35.98 MT</t>
  </si>
  <si>
    <t>20.1 MT</t>
  </si>
  <si>
    <t>20.29 MT</t>
  </si>
  <si>
    <t>38.55 MT</t>
  </si>
  <si>
    <t>41.59 MT</t>
  </si>
  <si>
    <t>38.72 MT</t>
  </si>
  <si>
    <t>41.74 MT</t>
  </si>
  <si>
    <t>20.17 MT</t>
  </si>
  <si>
    <t>35.83 MT</t>
  </si>
  <si>
    <t>41.53 MT</t>
  </si>
  <si>
    <t>41.87 MT</t>
  </si>
  <si>
    <t>35.64 MT</t>
  </si>
  <si>
    <t>41.78 MT</t>
  </si>
  <si>
    <t>41.77 MT</t>
  </si>
  <si>
    <t>35.6 MT</t>
  </si>
  <si>
    <t>41.75 MT</t>
  </si>
  <si>
    <t>41.63 MT</t>
  </si>
  <si>
    <t>41.85 MT</t>
  </si>
  <si>
    <t>16.495 MT</t>
  </si>
  <si>
    <t>16.665 MT</t>
  </si>
  <si>
    <t>17.7 MT</t>
  </si>
  <si>
    <t>16.725 MT</t>
  </si>
  <si>
    <t>17.72 MT</t>
  </si>
  <si>
    <t>63.365 MT</t>
  </si>
  <si>
    <t>61.555 MT</t>
  </si>
  <si>
    <t>16.775 MT</t>
  </si>
  <si>
    <t>64.965 MT</t>
  </si>
  <si>
    <t>20.92 MT</t>
  </si>
  <si>
    <t>21.28 MT</t>
  </si>
  <si>
    <t>19.54 MT</t>
  </si>
  <si>
    <t>59 MT</t>
  </si>
  <si>
    <t>56.39 MT</t>
  </si>
  <si>
    <t>57.75 MT</t>
  </si>
  <si>
    <t>57.34 MT</t>
  </si>
  <si>
    <t>20.45 MT</t>
  </si>
  <si>
    <t>63.3 MT</t>
  </si>
  <si>
    <t>36.005 MT</t>
  </si>
  <si>
    <t>66.08 MT</t>
  </si>
  <si>
    <t>66.28 MT</t>
  </si>
  <si>
    <t>66.43 MT</t>
  </si>
  <si>
    <t>63.48 MT</t>
  </si>
  <si>
    <t>21.49 MT</t>
  </si>
  <si>
    <t>65.105 MT</t>
  </si>
  <si>
    <t>65.88 MT</t>
  </si>
  <si>
    <t>60.28 MT</t>
  </si>
  <si>
    <t>61.405 MT</t>
  </si>
  <si>
    <t>21.515 MT</t>
  </si>
  <si>
    <t>64.205 MT</t>
  </si>
  <si>
    <t>41.215 MT</t>
  </si>
  <si>
    <t>65 MT</t>
  </si>
  <si>
    <t>65.38 MT</t>
  </si>
  <si>
    <t>62.755 MT</t>
  </si>
  <si>
    <t>63.225 MT</t>
  </si>
  <si>
    <t>64.18 MT</t>
  </si>
  <si>
    <t>64.78 MT</t>
  </si>
  <si>
    <t>63.405 MT</t>
  </si>
  <si>
    <t>62.405 MT</t>
  </si>
  <si>
    <t>16.715 MT</t>
  </si>
  <si>
    <t>56.755 MT</t>
  </si>
  <si>
    <t>21.565 MT</t>
  </si>
  <si>
    <t>16.75 MT</t>
  </si>
  <si>
    <t>63.78 MT</t>
  </si>
  <si>
    <t>67.405 MT</t>
  </si>
  <si>
    <t>16.64 MT</t>
  </si>
  <si>
    <t>62.08 MT</t>
  </si>
  <si>
    <t>64.805 MT</t>
  </si>
  <si>
    <t>63.955 MT</t>
  </si>
  <si>
    <t>62.43 MT</t>
  </si>
  <si>
    <t>67.73 MT</t>
  </si>
  <si>
    <t>21.055 MT</t>
  </si>
  <si>
    <t>27.68 MT</t>
  </si>
  <si>
    <t>66.755 MT</t>
  </si>
  <si>
    <t>64.055 MT</t>
  </si>
  <si>
    <t>62.705 MT</t>
  </si>
  <si>
    <t>63.875 MT</t>
  </si>
  <si>
    <t>18.925 MT</t>
  </si>
  <si>
    <t>64.755 MT</t>
  </si>
  <si>
    <t>64.175 MT</t>
  </si>
  <si>
    <t>61.155 MT</t>
  </si>
  <si>
    <t>64.655 MT</t>
  </si>
  <si>
    <t>58.73 MT</t>
  </si>
  <si>
    <t>19.08 MT</t>
  </si>
  <si>
    <t>18.75 MT</t>
  </si>
  <si>
    <t>19.12 MT</t>
  </si>
  <si>
    <t>58.09 MT</t>
  </si>
  <si>
    <t>21.36 MT</t>
  </si>
  <si>
    <t>51.94 MT</t>
  </si>
  <si>
    <t>17.36 MT</t>
  </si>
  <si>
    <t>17.3 MT</t>
  </si>
  <si>
    <t>22.42 MT</t>
  </si>
  <si>
    <t>17.11 MT</t>
  </si>
  <si>
    <t>17.32 MT</t>
  </si>
  <si>
    <t>21.25 MT</t>
  </si>
  <si>
    <t>14.63 MT</t>
  </si>
  <si>
    <t>60.76 MT</t>
  </si>
  <si>
    <t>58.99 MT</t>
  </si>
  <si>
    <t>16.15 MT</t>
  </si>
  <si>
    <t>15.95 MT</t>
  </si>
  <si>
    <t>57.94 MT</t>
  </si>
  <si>
    <t>58.03 MT</t>
  </si>
  <si>
    <t>58.55 MT</t>
  </si>
  <si>
    <t>21.52 MT</t>
  </si>
  <si>
    <t>21.55 MT</t>
  </si>
  <si>
    <t>21.51 MT</t>
  </si>
  <si>
    <t>21.56 MT</t>
  </si>
  <si>
    <t>59.67 MT</t>
  </si>
  <si>
    <t>15.75 MT</t>
  </si>
  <si>
    <t>61.41 MT</t>
  </si>
  <si>
    <t>16.93 MT</t>
  </si>
  <si>
    <t>59.27 MT</t>
  </si>
  <si>
    <t>58.04 MT</t>
  </si>
  <si>
    <t>16.62 MT</t>
  </si>
  <si>
    <t>17.04 MT</t>
  </si>
  <si>
    <t>58.44 MT</t>
  </si>
  <si>
    <t>14.34 MT</t>
  </si>
  <si>
    <t>19.21 MT</t>
  </si>
  <si>
    <t>21.97 MT</t>
  </si>
  <si>
    <t>21.18 MT</t>
  </si>
  <si>
    <t>20.9 MT</t>
  </si>
  <si>
    <t>21.91 MT</t>
  </si>
  <si>
    <t>24.57 MT</t>
  </si>
  <si>
    <t>22.04 MT</t>
  </si>
  <si>
    <t>19.74 MT</t>
  </si>
  <si>
    <t>19.97 MT</t>
  </si>
  <si>
    <t>21.6 MT</t>
  </si>
  <si>
    <t>20.81 MT</t>
  </si>
  <si>
    <t>20.89 MT</t>
  </si>
  <si>
    <t>22.5 MT</t>
  </si>
  <si>
    <t>22.28 MT</t>
  </si>
  <si>
    <t>20.37 MT</t>
  </si>
  <si>
    <t>19.64 MT</t>
  </si>
  <si>
    <t>19.89 MT</t>
  </si>
  <si>
    <t>17.49 MT</t>
  </si>
  <si>
    <t>20.79 MT</t>
  </si>
  <si>
    <t>15.61 MT</t>
  </si>
  <si>
    <t>21.98 MT</t>
  </si>
  <si>
    <t>14.97 MT</t>
  </si>
  <si>
    <t>21 MT</t>
  </si>
  <si>
    <t>22.91 MT</t>
  </si>
  <si>
    <t>21.59 MT</t>
  </si>
  <si>
    <t>21.3 MT</t>
  </si>
  <si>
    <t>56.24 MT</t>
  </si>
  <si>
    <t>58.29 MT</t>
  </si>
  <si>
    <t>58.59 MT</t>
  </si>
  <si>
    <t>21.46 MT</t>
  </si>
  <si>
    <t>21.14 MT</t>
  </si>
  <si>
    <t>15 MT</t>
  </si>
  <si>
    <t>19.48 MT</t>
  </si>
  <si>
    <t>15.03 MT</t>
  </si>
  <si>
    <t>20.05 MT</t>
  </si>
  <si>
    <t>18.5 MT</t>
  </si>
  <si>
    <t>18.8 MT</t>
  </si>
  <si>
    <t>38.24 MT</t>
  </si>
  <si>
    <t>38.2 MT</t>
  </si>
  <si>
    <t>38.23 MT</t>
  </si>
  <si>
    <t>38.86 MT</t>
  </si>
  <si>
    <t>38.44 MT</t>
  </si>
  <si>
    <t>38.19 MT</t>
  </si>
  <si>
    <t>38.45 MT</t>
  </si>
  <si>
    <t>37.92 MT</t>
  </si>
  <si>
    <t>38.48 MT</t>
  </si>
  <si>
    <t>20.5 MT</t>
  </si>
  <si>
    <t>38.28 MT</t>
  </si>
  <si>
    <t>21.95 MT</t>
  </si>
  <si>
    <t>16.42 MT</t>
  </si>
  <si>
    <t>17.27 MT</t>
  </si>
  <si>
    <t>12.45 MT</t>
  </si>
  <si>
    <t>18.95 MT</t>
  </si>
  <si>
    <t>36.1 MT</t>
  </si>
  <si>
    <t>17.82 MT</t>
  </si>
  <si>
    <t>35.7 MT</t>
  </si>
  <si>
    <t>22.4 MT</t>
  </si>
  <si>
    <t>20.25 MT</t>
  </si>
  <si>
    <t>35.74 MT</t>
  </si>
  <si>
    <t>20.68 MT</t>
  </si>
  <si>
    <t>21.78 MT</t>
  </si>
  <si>
    <t>41.08 MT</t>
  </si>
  <si>
    <t>15.13 MT</t>
  </si>
  <si>
    <t>35.78 MT</t>
  </si>
  <si>
    <t>22.2 MT</t>
  </si>
  <si>
    <t>17.5 MT</t>
  </si>
  <si>
    <t>38.34 MT</t>
  </si>
  <si>
    <t>37.18 MT</t>
  </si>
  <si>
    <t>38.69 MT</t>
  </si>
  <si>
    <t>38.1 MT</t>
  </si>
  <si>
    <t>36.17 MT</t>
  </si>
  <si>
    <t>16.5 MT</t>
  </si>
  <si>
    <t>38.38 MT</t>
  </si>
  <si>
    <t>22.05 MT</t>
  </si>
  <si>
    <t>20.035 MT</t>
  </si>
  <si>
    <t>40.5 MT</t>
  </si>
  <si>
    <t>40.2 MT</t>
  </si>
  <si>
    <t>14.72 MT</t>
  </si>
  <si>
    <t>41.03 MT</t>
  </si>
  <si>
    <t>20.41 MT</t>
  </si>
  <si>
    <t>39.77 MT</t>
  </si>
  <si>
    <t>21.68 MT</t>
  </si>
  <si>
    <t>16.45 MT</t>
  </si>
  <si>
    <t>75.265 MT</t>
  </si>
  <si>
    <t>74.865 MT</t>
  </si>
  <si>
    <t>16.48 MT</t>
  </si>
  <si>
    <t>39.96 MT</t>
  </si>
  <si>
    <t>77.41 MT</t>
  </si>
  <si>
    <t>76.91 MT</t>
  </si>
  <si>
    <t>41.91 MT</t>
  </si>
  <si>
    <t>35.91 MT</t>
  </si>
  <si>
    <t>40.49 MT</t>
  </si>
  <si>
    <t>39.99 MT</t>
  </si>
  <si>
    <t>41.935 MT</t>
  </si>
  <si>
    <t>35.935 MT</t>
  </si>
  <si>
    <t>38.68 MT</t>
  </si>
  <si>
    <t>38.6 MT</t>
  </si>
  <si>
    <t>38.7 MT</t>
  </si>
  <si>
    <t>38.01 MT</t>
  </si>
  <si>
    <t>38.32 MT</t>
  </si>
  <si>
    <t>38.18 MT</t>
  </si>
  <si>
    <t>36.205 MT</t>
  </si>
  <si>
    <t>65.005 MT</t>
  </si>
  <si>
    <t>70.05 MT</t>
  </si>
  <si>
    <t>72.705 MT</t>
  </si>
  <si>
    <t>75.2 MT</t>
  </si>
  <si>
    <t>74.6 MT</t>
  </si>
  <si>
    <t>74.3 MT</t>
  </si>
  <si>
    <t>39.95 MT</t>
  </si>
  <si>
    <t>36.62 MT</t>
  </si>
  <si>
    <t>41.8 MT</t>
  </si>
  <si>
    <t>9.74 MT</t>
  </si>
  <si>
    <t>40.88 MT</t>
  </si>
  <si>
    <t>18.1 MT</t>
  </si>
  <si>
    <t>19 MT</t>
  </si>
  <si>
    <t>38.35 MT</t>
  </si>
  <si>
    <t>38.21 MT</t>
  </si>
  <si>
    <t>20.46 MT</t>
  </si>
  <si>
    <t>38.71 MT</t>
  </si>
  <si>
    <t>38.25 MT</t>
  </si>
  <si>
    <t>36.52 MT</t>
  </si>
  <si>
    <t>37.81 MT</t>
  </si>
  <si>
    <t>38.11 MT</t>
  </si>
  <si>
    <t>38.82 MT</t>
  </si>
  <si>
    <t>20.015 MT</t>
  </si>
  <si>
    <t>9.14 MT</t>
  </si>
  <si>
    <t>21.9 MT</t>
  </si>
  <si>
    <t>40.75 MT</t>
  </si>
  <si>
    <t>21.83 MT</t>
  </si>
  <si>
    <t>17.38 MT</t>
  </si>
  <si>
    <t>19.41 MT</t>
  </si>
  <si>
    <t>18 MT</t>
  </si>
  <si>
    <t>12.4 MT</t>
  </si>
  <si>
    <t>18.15 MT</t>
  </si>
  <si>
    <t>19.59 MT</t>
  </si>
  <si>
    <t>19.46 MT</t>
  </si>
  <si>
    <t>12.35 MT</t>
  </si>
  <si>
    <t>19.13 MT</t>
  </si>
  <si>
    <t>39.9 MT</t>
  </si>
  <si>
    <t>39.8 MT</t>
  </si>
  <si>
    <t>39.98 MT</t>
  </si>
  <si>
    <t>40 MT</t>
  </si>
  <si>
    <t>39.85 MT</t>
  </si>
  <si>
    <t>20.57 MT</t>
  </si>
  <si>
    <t>39.65 MT</t>
  </si>
  <si>
    <t>40.55 MT</t>
  </si>
  <si>
    <t>36.88 MT</t>
  </si>
  <si>
    <t>22.88 MT</t>
  </si>
  <si>
    <t>37.35 MT</t>
  </si>
  <si>
    <t>39.86 MT</t>
  </si>
  <si>
    <t>39.39 MT</t>
  </si>
  <si>
    <t>38.09 MT</t>
  </si>
  <si>
    <t>38.07 MT</t>
  </si>
  <si>
    <t>18.05 MT</t>
  </si>
  <si>
    <t>16.46 MT</t>
  </si>
  <si>
    <t>15.65 MT</t>
  </si>
  <si>
    <t>16 MT</t>
  </si>
  <si>
    <t>15.2 MT</t>
  </si>
  <si>
    <t>39.97 MT</t>
  </si>
  <si>
    <t>39.985 MT</t>
  </si>
  <si>
    <t>39.999 MT</t>
  </si>
  <si>
    <t>39.15 MT</t>
  </si>
  <si>
    <t>39.12 MT</t>
  </si>
  <si>
    <t>39.37 MT</t>
  </si>
  <si>
    <t>39.4 MT</t>
  </si>
  <si>
    <t>15.5 MT</t>
  </si>
  <si>
    <t>19.33 MT</t>
  </si>
  <si>
    <t>19.95 MT</t>
  </si>
  <si>
    <t>37.68 MT</t>
  </si>
  <si>
    <t>38.16 MT</t>
  </si>
  <si>
    <t>38.66 MT</t>
  </si>
  <si>
    <t>38.31 MT</t>
  </si>
  <si>
    <t>15.035 MT</t>
  </si>
  <si>
    <t>17.045 MT</t>
  </si>
  <si>
    <t>39.965 MT</t>
  </si>
  <si>
    <t>35.9 MT</t>
  </si>
  <si>
    <t>39.2 MT</t>
  </si>
  <si>
    <t>22.18 MT</t>
  </si>
  <si>
    <t>35.95 MT</t>
  </si>
  <si>
    <t>39.25 MT</t>
  </si>
  <si>
    <t>17.065 MT</t>
  </si>
  <si>
    <t>39.935 MT</t>
  </si>
  <si>
    <t>NIRMA CONSTRUCTION COMPANY</t>
  </si>
  <si>
    <t>MANJUR CONSTRUCTION COMPANY</t>
  </si>
  <si>
    <t>RAVIRAJ INFRA</t>
  </si>
  <si>
    <t>JYOTI CONSTRUCTION COMPANY</t>
  </si>
  <si>
    <t>ANU CONSTRUCTION COMPANY</t>
  </si>
  <si>
    <t>KISHAN CONSTRUCTION COMPANY</t>
  </si>
  <si>
    <t>AAI MAA CONSTRUCTION</t>
  </si>
  <si>
    <t>SHRI KARNI SECURITY SERVICES COMPANY</t>
  </si>
  <si>
    <t>Expire On</t>
  </si>
  <si>
    <t>Confirm</t>
  </si>
  <si>
    <t>TBTX1099899222</t>
  </si>
  <si>
    <t>13.997 MT</t>
  </si>
  <si>
    <t>EJDZ1040270678</t>
  </si>
  <si>
    <t>EJDZ1040271324</t>
  </si>
  <si>
    <t>EJDZ1040272129</t>
  </si>
  <si>
    <t>EJDZ1040272668</t>
  </si>
  <si>
    <t>EJDZ1040273094</t>
  </si>
  <si>
    <t>EJDZ1040273569</t>
  </si>
  <si>
    <t>EJDZ1040274253</t>
  </si>
  <si>
    <t>EJDZ1040274729</t>
  </si>
  <si>
    <t>EJDZ1040275401</t>
  </si>
  <si>
    <t>EJDZ1040276024</t>
  </si>
  <si>
    <t>EJDZ1040276789</t>
  </si>
  <si>
    <t>EJDZ1040277433</t>
  </si>
  <si>
    <t>EJDZ1040278239</t>
  </si>
  <si>
    <t>EJDZ1040278774</t>
  </si>
  <si>
    <t>EJDZ1040279517</t>
  </si>
  <si>
    <t>EJDZ1040279972</t>
  </si>
  <si>
    <t>EJDZ1040280763</t>
  </si>
  <si>
    <t>EJDZ1040281544</t>
  </si>
  <si>
    <t>EJDZ1040282282</t>
  </si>
  <si>
    <t>EJDZ1040282815</t>
  </si>
  <si>
    <t>EJDZ1040283431</t>
  </si>
  <si>
    <t>EJDZ1040284024</t>
  </si>
  <si>
    <t>EJDZ1040284679</t>
  </si>
  <si>
    <t>EJDZ1040285261</t>
  </si>
  <si>
    <t>EJDZ1040286006</t>
  </si>
  <si>
    <t>EJDZ1040286677</t>
  </si>
  <si>
    <t>EJDZ1040287169</t>
  </si>
  <si>
    <t>EJDZ1040287917</t>
  </si>
  <si>
    <t>EJDZ1040288483</t>
  </si>
  <si>
    <t>EJDZ1040289163</t>
  </si>
  <si>
    <t>EJDZ1040289770</t>
  </si>
  <si>
    <t>EJDZ1040290308</t>
  </si>
  <si>
    <t>EJDZ1040291072</t>
  </si>
  <si>
    <t>EJDZ1040291771</t>
  </si>
  <si>
    <t>EJDZ1040292537</t>
  </si>
  <si>
    <t>EJDZ1040293054</t>
  </si>
  <si>
    <t>EJDZ1040293647</t>
  </si>
  <si>
    <t>EJDZ1040294304</t>
  </si>
  <si>
    <t>EJDZ1040294947</t>
  </si>
  <si>
    <t>EJDZ1040295644</t>
  </si>
  <si>
    <t>EJDZ1040296392</t>
  </si>
  <si>
    <t>40.78 MT</t>
  </si>
  <si>
    <t>36.61 MT</t>
  </si>
  <si>
    <t>40.54 MT</t>
  </si>
  <si>
    <t>41.31 MT</t>
  </si>
  <si>
    <t>42.51 MT</t>
  </si>
  <si>
    <t>36.82 MT</t>
  </si>
  <si>
    <t>43.17 MT</t>
  </si>
  <si>
    <t>39.28 MT</t>
  </si>
  <si>
    <t>43.03 MT</t>
  </si>
  <si>
    <t>40.42 MT</t>
  </si>
  <si>
    <t>36.55 MT</t>
  </si>
  <si>
    <t>42.54 MT</t>
  </si>
  <si>
    <t>38.03 MT</t>
  </si>
  <si>
    <t>39.41 MT</t>
  </si>
  <si>
    <t>43.37 MT</t>
  </si>
  <si>
    <t>37.09 MT</t>
  </si>
  <si>
    <t>38.75 MT</t>
  </si>
  <si>
    <t>39.34 MT</t>
  </si>
  <si>
    <t>40.72 MT</t>
  </si>
  <si>
    <t>43.8 MT</t>
  </si>
  <si>
    <t>38.62 MT</t>
  </si>
  <si>
    <t>39.1 MT</t>
  </si>
  <si>
    <t>42.94 MT</t>
  </si>
  <si>
    <t>38.74 MT</t>
  </si>
  <si>
    <t>38.17 MT</t>
  </si>
  <si>
    <t>40.13 MT</t>
  </si>
  <si>
    <t>40.93 MT</t>
  </si>
  <si>
    <t>41.26 MT</t>
  </si>
  <si>
    <t>42.49 MT</t>
  </si>
  <si>
    <t>36.42 MT</t>
  </si>
  <si>
    <t>39.94 MT</t>
  </si>
  <si>
    <t>40.17 MT</t>
  </si>
  <si>
    <t>42.3 MT</t>
  </si>
  <si>
    <t>42.29 MT</t>
  </si>
  <si>
    <t>39.72 MT</t>
  </si>
  <si>
    <t>Nxxxx xxxxxxxxxxxx xxxxxxy</t>
  </si>
  <si>
    <t>4xxxxx xxxxxx xxxxxxxx xxxxxxx</t>
  </si>
  <si>
    <t>Kxxxxxxxx xxxxxxxx xxxxxxxx xxx.</t>
  </si>
  <si>
    <t>RAMA STONE CRUSHER</t>
  </si>
  <si>
    <t>LODHSAR(Lodhsar/Sujangarh/Churu)</t>
  </si>
  <si>
    <t>36.46 MT</t>
  </si>
  <si>
    <t>KMPB1101241504</t>
  </si>
  <si>
    <t>KMPB1101238387</t>
  </si>
  <si>
    <t>KMPB1101217811</t>
  </si>
  <si>
    <t>KMPB1101215781</t>
  </si>
  <si>
    <t>KMPB1101212362</t>
  </si>
  <si>
    <t>KMPB1101174973</t>
  </si>
  <si>
    <t>KMPB1101168549</t>
  </si>
  <si>
    <t>KMPB1101168090</t>
  </si>
  <si>
    <t>KMPB1101166056</t>
  </si>
  <si>
    <t>KMPB1101164021</t>
  </si>
  <si>
    <t>KMPB1101156281</t>
  </si>
  <si>
    <t>KMPB1101139542</t>
  </si>
  <si>
    <t>KMPB1101138820</t>
  </si>
  <si>
    <t>KMPB1101137087</t>
  </si>
  <si>
    <t>KMPB1101136891</t>
  </si>
  <si>
    <t>KMPB1101134942</t>
  </si>
  <si>
    <t>KMPB1101103778</t>
  </si>
  <si>
    <t>KMPB1101102630</t>
  </si>
  <si>
    <t>KMPB1101102399</t>
  </si>
  <si>
    <t>KMPB1101092358</t>
  </si>
  <si>
    <t>KMPB1101091275</t>
  </si>
  <si>
    <t>KMPB1101091108</t>
  </si>
  <si>
    <t>KMPB1101089127</t>
  </si>
  <si>
    <t>KMPB1101067380</t>
  </si>
  <si>
    <t>KMPB1101066145</t>
  </si>
  <si>
    <t>KMPB1101065752</t>
  </si>
  <si>
    <t>KMPB1101064646</t>
  </si>
  <si>
    <t>KMPB1101063669</t>
  </si>
  <si>
    <t>KMPB1101062354</t>
  </si>
  <si>
    <t>KMPB1101032326</t>
  </si>
  <si>
    <t>KMPB1101029869</t>
  </si>
  <si>
    <t>KMPB1101028894</t>
  </si>
  <si>
    <t>KMPB1101019070</t>
  </si>
  <si>
    <t>KMPB1101018947</t>
  </si>
  <si>
    <t>KMPB1100998062</t>
  </si>
  <si>
    <t>KMPB1100998018</t>
  </si>
  <si>
    <t>KMPB1100968499</t>
  </si>
  <si>
    <t>KMPB1100964048</t>
  </si>
  <si>
    <t>KMPB1100959799</t>
  </si>
  <si>
    <t>KMPB1100958249</t>
  </si>
  <si>
    <t>KMPB1100957476</t>
  </si>
  <si>
    <t>KMPB1100955775</t>
  </si>
  <si>
    <t>KMPB1100950207</t>
  </si>
  <si>
    <t>KMPB1100931122</t>
  </si>
  <si>
    <t>KMPB1100928996</t>
  </si>
  <si>
    <t>KMPB1100928672</t>
  </si>
  <si>
    <t>KMPB1100928071</t>
  </si>
  <si>
    <t>KMPB1100927172</t>
  </si>
  <si>
    <t>KMPB1100897758</t>
  </si>
  <si>
    <t>KMPB1100897525</t>
  </si>
  <si>
    <t>KMPB1100893974</t>
  </si>
  <si>
    <t>KMPB1100893075</t>
  </si>
  <si>
    <t>KMPB1100891485</t>
  </si>
  <si>
    <t>KMPB1100891002</t>
  </si>
  <si>
    <t>KMPB1100885487</t>
  </si>
  <si>
    <t>KMPB1100884944</t>
  </si>
  <si>
    <t>KMPB1100880122</t>
  </si>
  <si>
    <t>KMPB1100860515</t>
  </si>
  <si>
    <t>KMPB1100859617</t>
  </si>
  <si>
    <t>KMPB1100859394</t>
  </si>
  <si>
    <t>KMPB1100859196</t>
  </si>
  <si>
    <t>KMPB1100838500</t>
  </si>
  <si>
    <t>KMPB1100838416</t>
  </si>
  <si>
    <t>KMPB1100828929</t>
  </si>
  <si>
    <t>KMPB1100827785</t>
  </si>
  <si>
    <t>KMPB1100827510</t>
  </si>
  <si>
    <t>KMPB1100826001</t>
  </si>
  <si>
    <t>KMPB1100825976</t>
  </si>
  <si>
    <t>KMPB1100824368</t>
  </si>
  <si>
    <t>karnisar bhatiyan, poogal, Poogal, Bikaner, Rajasthan,</t>
  </si>
  <si>
    <t>Select Address</t>
  </si>
  <si>
    <t>18.92 MT</t>
  </si>
  <si>
    <t>20.4 MT</t>
  </si>
  <si>
    <t>20.61 MT</t>
  </si>
  <si>
    <t>19.7 MT</t>
  </si>
  <si>
    <t>19.32 MT</t>
  </si>
  <si>
    <t>14.27 MT</t>
  </si>
  <si>
    <t>15.4 MT</t>
  </si>
  <si>
    <t>22 MT</t>
  </si>
  <si>
    <t>14.67 MT</t>
  </si>
  <si>
    <t>16.87 MT</t>
  </si>
  <si>
    <t>46.51 MT</t>
  </si>
  <si>
    <t>40.87 MT</t>
  </si>
  <si>
    <t>39.92 MT</t>
  </si>
  <si>
    <t>38.76 MT</t>
  </si>
  <si>
    <t>40.97 MT</t>
  </si>
  <si>
    <t>37.7 MT</t>
  </si>
  <si>
    <t>46.55 MT</t>
  </si>
  <si>
    <t>40.85 MT</t>
  </si>
  <si>
    <t>39.87 MT</t>
  </si>
  <si>
    <t>40.92 MT</t>
  </si>
  <si>
    <t>38.52 MT</t>
  </si>
  <si>
    <t>20.42 MT</t>
  </si>
  <si>
    <t>36.31 MT</t>
  </si>
  <si>
    <t>37.85 MT</t>
  </si>
  <si>
    <t>46.35 MT</t>
  </si>
  <si>
    <t>38.42 MT</t>
  </si>
  <si>
    <t>36.28 MT</t>
  </si>
  <si>
    <t>37.82 MT</t>
  </si>
  <si>
    <t>20.7 MT</t>
  </si>
  <si>
    <t>36 MT</t>
  </si>
  <si>
    <t>37.54 MT</t>
  </si>
  <si>
    <t>46.27 MT</t>
  </si>
  <si>
    <t>46.07 MT</t>
  </si>
  <si>
    <t>37.58 MT</t>
  </si>
  <si>
    <t>46.31 MT</t>
  </si>
  <si>
    <t>46.11 MT</t>
  </si>
  <si>
    <t>37.66 MT</t>
  </si>
  <si>
    <t>46.41 MT</t>
  </si>
  <si>
    <t>46.21 MT</t>
  </si>
  <si>
    <t>38.26 MT</t>
  </si>
  <si>
    <t>38.94 MT</t>
  </si>
  <si>
    <t>46.63 MT</t>
  </si>
  <si>
    <t>46.47 MT</t>
  </si>
  <si>
    <t>40.94 MT</t>
  </si>
  <si>
    <t>38.73 MT</t>
  </si>
  <si>
    <t>38.9 MT</t>
  </si>
  <si>
    <t>46.43 MT</t>
  </si>
  <si>
    <r>
      <rPr>
        <sz val="11"/>
        <rFont val="Courier New"/>
        <family val="3"/>
      </rPr>
      <t>VNMI1039940287</t>
    </r>
  </si>
  <si>
    <r>
      <rPr>
        <sz val="11"/>
        <rFont val="Courier New"/>
        <family val="3"/>
      </rPr>
      <t>Aai Maa Construction Comapany</t>
    </r>
  </si>
  <si>
    <r>
      <rPr>
        <sz val="11"/>
        <rFont val="Courier New"/>
        <family val="3"/>
      </rPr>
      <t>WAAREE ENERGY LTD., KARNISAR BHATIYAN, BIKANE</t>
    </r>
  </si>
  <si>
    <r>
      <rPr>
        <sz val="11"/>
        <rFont val="Courier New"/>
        <family val="3"/>
      </rPr>
      <t>VNMI1039940316</t>
    </r>
  </si>
  <si>
    <r>
      <rPr>
        <sz val="11"/>
        <rFont val="Courier New"/>
        <family val="3"/>
      </rPr>
      <t>VNMI1039940374</t>
    </r>
  </si>
  <si>
    <r>
      <rPr>
        <sz val="11"/>
        <rFont val="Courier New"/>
        <family val="3"/>
      </rPr>
      <t>VNMI1039940424</t>
    </r>
  </si>
  <si>
    <r>
      <rPr>
        <sz val="11"/>
        <rFont val="Courier New"/>
        <family val="3"/>
      </rPr>
      <t>VNMI1039940459</t>
    </r>
  </si>
  <si>
    <r>
      <rPr>
        <sz val="11"/>
        <rFont val="Courier New"/>
        <family val="3"/>
      </rPr>
      <t>VNMI1039940519</t>
    </r>
  </si>
  <si>
    <r>
      <rPr>
        <sz val="11"/>
        <rFont val="Courier New"/>
        <family val="3"/>
      </rPr>
      <t>VNMI1039940543</t>
    </r>
  </si>
  <si>
    <r>
      <rPr>
        <sz val="11"/>
        <rFont val="Courier New"/>
        <family val="3"/>
      </rPr>
      <t>VNMI1039940586</t>
    </r>
  </si>
  <si>
    <r>
      <rPr>
        <sz val="11"/>
        <rFont val="Courier New"/>
        <family val="3"/>
      </rPr>
      <t>VNMI1039940647</t>
    </r>
  </si>
  <si>
    <r>
      <rPr>
        <sz val="11"/>
        <rFont val="Courier New"/>
        <family val="3"/>
      </rPr>
      <t>VNMI1039940686</t>
    </r>
  </si>
  <si>
    <r>
      <rPr>
        <sz val="11"/>
        <rFont val="Courier New"/>
        <family val="3"/>
      </rPr>
      <t>VNMI1039940786</t>
    </r>
  </si>
  <si>
    <r>
      <rPr>
        <sz val="11"/>
        <rFont val="Courier New"/>
        <family val="3"/>
      </rPr>
      <t>VNMI1039940802</t>
    </r>
  </si>
  <si>
    <r>
      <rPr>
        <sz val="11"/>
        <rFont val="Courier New"/>
        <family val="3"/>
      </rPr>
      <t>VNMI1039943751</t>
    </r>
  </si>
  <si>
    <r>
      <rPr>
        <sz val="11"/>
        <rFont val="Courier New"/>
        <family val="3"/>
      </rPr>
      <t>VNMI1039947837</t>
    </r>
  </si>
  <si>
    <r>
      <rPr>
        <sz val="11"/>
        <rFont val="Courier New"/>
        <family val="3"/>
      </rPr>
      <t>VNMI1039951765</t>
    </r>
  </si>
  <si>
    <r>
      <rPr>
        <sz val="11"/>
        <rFont val="Courier New"/>
        <family val="3"/>
      </rPr>
      <t>VNMI1039952880</t>
    </r>
  </si>
  <si>
    <r>
      <rPr>
        <sz val="11"/>
        <rFont val="Courier New"/>
        <family val="3"/>
      </rPr>
      <t>VNMI1039952905</t>
    </r>
  </si>
  <si>
    <r>
      <rPr>
        <sz val="11"/>
        <rFont val="Courier New"/>
        <family val="3"/>
      </rPr>
      <t>VNMI1039952955</t>
    </r>
  </si>
  <si>
    <r>
      <rPr>
        <sz val="11"/>
        <rFont val="Courier New"/>
        <family val="3"/>
      </rPr>
      <t>VNMI1039952991</t>
    </r>
  </si>
  <si>
    <r>
      <rPr>
        <sz val="11"/>
        <rFont val="Courier New"/>
        <family val="3"/>
      </rPr>
      <t>VNMI1039953033</t>
    </r>
  </si>
  <si>
    <r>
      <rPr>
        <sz val="11"/>
        <rFont val="Courier New"/>
        <family val="3"/>
      </rPr>
      <t>VNMI1039953076</t>
    </r>
  </si>
  <si>
    <r>
      <rPr>
        <sz val="11"/>
        <rFont val="Courier New"/>
        <family val="3"/>
      </rPr>
      <t>VNMI1039953120</t>
    </r>
  </si>
  <si>
    <r>
      <rPr>
        <sz val="11"/>
        <rFont val="Courier New"/>
        <family val="3"/>
      </rPr>
      <t>VNMI1039953167</t>
    </r>
  </si>
  <si>
    <r>
      <rPr>
        <sz val="11"/>
        <rFont val="Courier New"/>
        <family val="3"/>
      </rPr>
      <t>VNMI1039953223</t>
    </r>
  </si>
  <si>
    <r>
      <rPr>
        <sz val="11"/>
        <rFont val="Courier New"/>
        <family val="3"/>
      </rPr>
      <t>VNMI1039953244</t>
    </r>
  </si>
  <si>
    <r>
      <rPr>
        <sz val="11"/>
        <rFont val="Courier New"/>
        <family val="3"/>
      </rPr>
      <t>VNMI1039953416</t>
    </r>
  </si>
  <si>
    <r>
      <rPr>
        <sz val="11"/>
        <rFont val="Courier New"/>
        <family val="3"/>
      </rPr>
      <t>VNMI1039953473</t>
    </r>
  </si>
  <si>
    <r>
      <rPr>
        <sz val="11"/>
        <rFont val="Courier New"/>
        <family val="3"/>
      </rPr>
      <t>VNMI1039954512</t>
    </r>
  </si>
  <si>
    <r>
      <rPr>
        <sz val="11"/>
        <rFont val="Courier New"/>
        <family val="3"/>
      </rPr>
      <t>VNMI1039954528</t>
    </r>
  </si>
  <si>
    <r>
      <rPr>
        <sz val="11"/>
        <rFont val="Courier New"/>
        <family val="3"/>
      </rPr>
      <t>VNMI1039954554</t>
    </r>
  </si>
  <si>
    <r>
      <rPr>
        <sz val="11"/>
        <rFont val="Courier New"/>
        <family val="3"/>
      </rPr>
      <t>VNMI1039954569</t>
    </r>
  </si>
  <si>
    <r>
      <rPr>
        <sz val="11"/>
        <rFont val="Courier New"/>
        <family val="3"/>
      </rPr>
      <t>VNMI1039954631</t>
    </r>
  </si>
  <si>
    <r>
      <rPr>
        <sz val="11"/>
        <rFont val="Courier New"/>
        <family val="3"/>
      </rPr>
      <t>VNMI1039954689</t>
    </r>
  </si>
  <si>
    <r>
      <rPr>
        <sz val="11"/>
        <rFont val="Courier New"/>
        <family val="3"/>
      </rPr>
      <t>VNMI1039954719</t>
    </r>
  </si>
  <si>
    <r>
      <rPr>
        <sz val="11"/>
        <rFont val="Courier New"/>
        <family val="3"/>
      </rPr>
      <t>VNMI1039954754</t>
    </r>
  </si>
  <si>
    <r>
      <rPr>
        <sz val="11"/>
        <rFont val="Courier New"/>
        <family val="3"/>
      </rPr>
      <t>VNMI1039954792</t>
    </r>
  </si>
  <si>
    <r>
      <rPr>
        <sz val="11"/>
        <rFont val="Courier New"/>
        <family val="3"/>
      </rPr>
      <t>VNMI1039954842</t>
    </r>
  </si>
  <si>
    <r>
      <rPr>
        <sz val="11"/>
        <rFont val="Courier New"/>
        <family val="3"/>
      </rPr>
      <t>VNMI1039954998</t>
    </r>
  </si>
  <si>
    <r>
      <rPr>
        <sz val="11"/>
        <rFont val="Courier New"/>
        <family val="3"/>
      </rPr>
      <t>VNMI1039955038</t>
    </r>
  </si>
  <si>
    <r>
      <rPr>
        <sz val="11"/>
        <rFont val="Courier New"/>
        <family val="3"/>
      </rPr>
      <t>VNMI1039955048</t>
    </r>
  </si>
  <si>
    <r>
      <rPr>
        <sz val="11"/>
        <rFont val="Courier New"/>
        <family val="3"/>
      </rPr>
      <t>VNMI1039955117</t>
    </r>
  </si>
  <si>
    <r>
      <rPr>
        <sz val="11"/>
        <rFont val="Courier New"/>
        <family val="3"/>
      </rPr>
      <t>VNMI1039963271</t>
    </r>
  </si>
  <si>
    <r>
      <rPr>
        <sz val="11"/>
        <rFont val="Courier New"/>
        <family val="3"/>
      </rPr>
      <t>VNMI1039963295</t>
    </r>
  </si>
  <si>
    <r>
      <rPr>
        <sz val="11"/>
        <rFont val="Courier New"/>
        <family val="3"/>
      </rPr>
      <t>VNMI1039963320</t>
    </r>
  </si>
  <si>
    <r>
      <rPr>
        <sz val="11"/>
        <rFont val="Courier New"/>
        <family val="3"/>
      </rPr>
      <t>VNMI1039963350</t>
    </r>
  </si>
  <si>
    <r>
      <rPr>
        <sz val="11"/>
        <rFont val="Courier New"/>
        <family val="3"/>
      </rPr>
      <t>VNMI1039963381</t>
    </r>
  </si>
  <si>
    <r>
      <rPr>
        <sz val="11"/>
        <rFont val="Courier New"/>
        <family val="3"/>
      </rPr>
      <t>VNMI1039963400</t>
    </r>
  </si>
  <si>
    <r>
      <rPr>
        <sz val="11"/>
        <rFont val="Courier New"/>
        <family val="3"/>
      </rPr>
      <t>VNMI1039963476</t>
    </r>
  </si>
  <si>
    <r>
      <rPr>
        <sz val="11"/>
        <rFont val="Courier New"/>
        <family val="3"/>
      </rPr>
      <t>VNMI1039963516</t>
    </r>
  </si>
  <si>
    <r>
      <rPr>
        <sz val="11"/>
        <rFont val="Courier New"/>
        <family val="3"/>
      </rPr>
      <t>VNMI1039963566</t>
    </r>
  </si>
  <si>
    <r>
      <rPr>
        <sz val="11"/>
        <rFont val="Courier New"/>
        <family val="3"/>
      </rPr>
      <t>VNMI1039963595</t>
    </r>
  </si>
  <si>
    <t>VNMI1039454367</t>
  </si>
  <si>
    <t>VNMI1039454440</t>
  </si>
  <si>
    <t>VNMI1039454529</t>
  </si>
  <si>
    <t>VNMI1039454615</t>
  </si>
  <si>
    <t>VNMI1039454707</t>
  </si>
  <si>
    <t>VNMI1039454776</t>
  </si>
  <si>
    <t>VNMI1039454859</t>
  </si>
  <si>
    <t>VNMI1039454935</t>
  </si>
  <si>
    <t>VNMI1039455014</t>
  </si>
  <si>
    <t>VNMI1039455077</t>
  </si>
  <si>
    <t>VNMI1039455123</t>
  </si>
  <si>
    <t>VNMI1039455180</t>
  </si>
  <si>
    <t>VNMI1039455274</t>
  </si>
  <si>
    <t>VNMI1039455360</t>
  </si>
  <si>
    <t>VNMI1039455418</t>
  </si>
  <si>
    <t>VNMI1039455483</t>
  </si>
  <si>
    <t>VNMI1039455571</t>
  </si>
  <si>
    <t>VNMI1039455650</t>
  </si>
  <si>
    <t>VNMI1039455728</t>
  </si>
  <si>
    <t>VNMI1039455818</t>
  </si>
  <si>
    <t>VNMI1039455902</t>
  </si>
  <si>
    <t>VNMI1039455962</t>
  </si>
  <si>
    <t>VNMI1039456055</t>
  </si>
  <si>
    <t>VNMI1039456101</t>
  </si>
  <si>
    <t>VNMI1039456165</t>
  </si>
  <si>
    <t>VNMI1039456219</t>
  </si>
  <si>
    <t>VNMI1039456302</t>
  </si>
  <si>
    <t>VNMI1039456348</t>
  </si>
  <si>
    <t>VNMI1039456419</t>
  </si>
  <si>
    <t>VNMI1039456487</t>
  </si>
  <si>
    <t>VNMI1039456574</t>
  </si>
  <si>
    <t>VNMI1039456655</t>
  </si>
  <si>
    <t>VNMI1039456730</t>
  </si>
  <si>
    <t>VNMI1039456777</t>
  </si>
  <si>
    <t>VNMI1039456822</t>
  </si>
  <si>
    <t>VNMI1039456869</t>
  </si>
  <si>
    <t>VNMI1039456937</t>
  </si>
  <si>
    <t>VNMI1039457017</t>
  </si>
  <si>
    <t>VNMI1039457110</t>
  </si>
  <si>
    <t>VNMI1039457154</t>
  </si>
  <si>
    <t>VNMI1039457199</t>
  </si>
  <si>
    <t>VNMI1039457270</t>
  </si>
  <si>
    <t>VNMI1039457327</t>
  </si>
  <si>
    <t>VNMI1039457394</t>
  </si>
  <si>
    <t>VNMI1039457462</t>
  </si>
  <si>
    <t>VNMI1039457515</t>
  </si>
  <si>
    <t>VNMI1039457570</t>
  </si>
  <si>
    <t>VNMI1039457643</t>
  </si>
  <si>
    <t>VNMI1039457720</t>
  </si>
  <si>
    <t>VNMI1039457807</t>
  </si>
  <si>
    <t>VNMI1039457864</t>
  </si>
  <si>
    <t>VNMI1039457950</t>
  </si>
  <si>
    <t>VNMI1039458014</t>
  </si>
  <si>
    <t>VNMI1039458105</t>
  </si>
  <si>
    <t>VNMI1039458170</t>
  </si>
  <si>
    <t>VNMI1039458266</t>
  </si>
  <si>
    <t>VNMI1039458345</t>
  </si>
  <si>
    <t>VNMI1039458393</t>
  </si>
  <si>
    <t>VNMI1039458446</t>
  </si>
  <si>
    <t>VNMI1039458543</t>
  </si>
  <si>
    <t>VNMI1039458592</t>
  </si>
  <si>
    <t>VNMI1039458676</t>
  </si>
  <si>
    <t>VNMI1039458726</t>
  </si>
  <si>
    <t>VNMI1039458805</t>
  </si>
  <si>
    <t>VNMI1039458870</t>
  </si>
  <si>
    <t>VNMI1039458939</t>
  </si>
  <si>
    <t>VNMI1039458985</t>
  </si>
  <si>
    <t>VNMI1039459081</t>
  </si>
  <si>
    <t>VNMI1039459124</t>
  </si>
  <si>
    <t>VNMI1039459196</t>
  </si>
  <si>
    <t>VNMI1039459240</t>
  </si>
  <si>
    <t>VNMI1039459315</t>
  </si>
  <si>
    <t>VNMI1039459402</t>
  </si>
  <si>
    <t>VNMI1039459468</t>
  </si>
  <si>
    <t>VNMI1039459535</t>
  </si>
  <si>
    <t>VNMI1039459581</t>
  </si>
  <si>
    <t>VNMI1039459654</t>
  </si>
  <si>
    <t>VNMI1039459730</t>
  </si>
  <si>
    <t>VNMI1039459779</t>
  </si>
  <si>
    <t>VNMI1039459865</t>
  </si>
  <si>
    <t>VNMI1039459918</t>
  </si>
  <si>
    <t>VNMI1039460012</t>
  </si>
  <si>
    <t>VNMI1039460073</t>
  </si>
  <si>
    <t>VNMI1039460159</t>
  </si>
  <si>
    <t>VNMI1039460234</t>
  </si>
  <si>
    <t>VNMI1039460309</t>
  </si>
  <si>
    <t>VNMI1039460362</t>
  </si>
  <si>
    <t>VNMI1039460444</t>
  </si>
  <si>
    <t>VNMI1039460506</t>
  </si>
  <si>
    <t>VNMI1039460559</t>
  </si>
  <si>
    <t>VNMI1039460613</t>
  </si>
  <si>
    <t>VNMI1039460666</t>
  </si>
  <si>
    <t>VNMI1039460737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</si>
</sst>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ourier New"/>
      <family val="3"/>
    </font>
    <font>
      <sz val="11"/>
      <color theme="1"/>
      <name val="Courier New"/>
      <family val="3"/>
    </font>
    <font>
      <b/>
      <sz val="10"/>
      <color rgb="FF000000"/>
      <name val="Courier New"/>
      <family val="3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name val="Courier New"/>
      <family val="3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0" fontId="8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">
    <cellStyle name="Normal" xfId="0" builtinId="0"/>
    <cellStyle name="Normal 2" xfId="1" xr:uid="{77CE1C99-94FD-46AE-8A2B-34636009140C}"/>
    <cellStyle name="Normal 3" xfId="2" xr:uid="{8D0DB2AC-8D78-4248-9C3E-6619EFD5D9C4}"/>
    <cellStyle name="Normal 4" xfId="3" xr:uid="{7E3E59F7-975E-4515-8755-CDB6B7AE2225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4DEA-726A-4004-8BFE-9C5DC5168EED}">
  <dimension ref="A1:R2362"/>
  <sheetViews>
    <sheetView tabSelected="1" zoomScale="107" workbookViewId="0">
      <pane ySplit="1" topLeftCell="A50" activePane="bottomLeft" state="frozen"/>
      <selection pane="bottomLeft" activeCell="D5" sqref="D5"/>
    </sheetView>
  </sheetViews>
  <sheetFormatPr defaultColWidth="17.7109375" defaultRowHeight="15" x14ac:dyDescent="0.25"/>
  <cols>
    <col min="1" max="1" width="22.42578125" style="13" customWidth="1"/>
    <col min="2" max="3" width="17.7109375" style="13"/>
    <col min="4" max="4" width="39.42578125" style="13" bestFit="1" customWidth="1"/>
    <col min="5" max="5" width="17.7109375" style="14"/>
    <col min="6" max="6" width="30.28515625" style="13" bestFit="1" customWidth="1"/>
    <col min="7" max="7" width="17.7109375" style="13"/>
    <col min="8" max="8" width="27.7109375" style="13" bestFit="1" customWidth="1"/>
    <col min="9" max="9" width="35.28515625" style="13" bestFit="1" customWidth="1"/>
    <col min="10" max="10" width="52.85546875" style="13" bestFit="1" customWidth="1"/>
    <col min="11" max="12" width="31.140625" style="13" bestFit="1" customWidth="1"/>
    <col min="13" max="13" width="25.7109375" style="13" customWidth="1"/>
    <col min="14" max="14" width="17.7109375" style="13"/>
    <col min="15" max="15" width="20.140625" style="13" bestFit="1" customWidth="1"/>
    <col min="16" max="16" width="61.42578125" style="13" bestFit="1" customWidth="1"/>
    <col min="17" max="17" width="86.28515625" style="13" bestFit="1" customWidth="1"/>
    <col min="18" max="18" width="29.7109375" style="13" bestFit="1" customWidth="1"/>
    <col min="19" max="16384" width="17.7109375" style="13"/>
  </cols>
  <sheetData>
    <row r="1" spans="1:18" s="10" customFormat="1" ht="30" x14ac:dyDescent="0.25">
      <c r="A1" s="7" t="s">
        <v>16</v>
      </c>
      <c r="B1" s="7" t="s">
        <v>12</v>
      </c>
      <c r="C1" s="7" t="s">
        <v>2</v>
      </c>
      <c r="D1" s="7" t="s">
        <v>11</v>
      </c>
      <c r="E1" s="19" t="s">
        <v>14</v>
      </c>
      <c r="F1" s="2" t="s">
        <v>15</v>
      </c>
      <c r="G1" s="3" t="s">
        <v>1</v>
      </c>
      <c r="H1" s="15" t="s">
        <v>17</v>
      </c>
      <c r="I1" s="17"/>
      <c r="J1" s="17"/>
      <c r="K1" s="17" t="s">
        <v>3038</v>
      </c>
      <c r="L1" s="17" t="s">
        <v>3037</v>
      </c>
      <c r="M1" s="17"/>
    </row>
    <row r="2" spans="1:18" x14ac:dyDescent="0.25">
      <c r="A2" s="4" t="s">
        <v>3294</v>
      </c>
      <c r="B2" s="16" t="str">
        <f t="shared" ref="B2:B65" si="0">VLOOKUP(LEFT($A2,4)&amp;"*",$O$3:$R$17, 2, FALSE)</f>
        <v>MAA DURGA STONE CRUSHING COMPANY</v>
      </c>
      <c r="C2" s="16" t="str">
        <f t="shared" ref="C2:C65" si="1">VLOOKUP(LEFT($A2,4)&amp;"*",$O$3:$R$17, 3, FALSE)</f>
        <v>CHADWAS(Chadwas/Bidasar/Sujangarh)</v>
      </c>
      <c r="D2" s="4" t="s">
        <v>3036</v>
      </c>
      <c r="E2" s="4" t="s">
        <v>3119</v>
      </c>
      <c r="F2" s="5">
        <v>46142.435266203713</v>
      </c>
      <c r="G2" s="16" t="str">
        <f t="shared" ref="G2:G65" si="2">VLOOKUP(LEFT($A2,4)&amp;"*",$O$3:$R$17, 4, FALSE)</f>
        <v>MasonaryStone (Gitti)</v>
      </c>
      <c r="H2" s="4" t="s">
        <v>4</v>
      </c>
      <c r="I2" s="18" t="str" cm="1">
        <f t="array" ref="I2">_xlfn.LET(_xlpm.text, D2,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" s="18" t="str" cm="1">
        <f t="array" ref="J2">_xlfn.LET(_xlpm.text, E2,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" s="14">
        <v>46142.435601851859</v>
      </c>
      <c r="L2" s="14">
        <v>46143.060289351859</v>
      </c>
      <c r="N2" s="12"/>
      <c r="O2" s="4" t="s">
        <v>16</v>
      </c>
      <c r="P2" s="4" t="s">
        <v>2254</v>
      </c>
      <c r="Q2" s="4" t="s">
        <v>2255</v>
      </c>
      <c r="R2" s="4" t="s">
        <v>1</v>
      </c>
    </row>
    <row r="3" spans="1:18" x14ac:dyDescent="0.25">
      <c r="A3" s="4" t="s">
        <v>3295</v>
      </c>
      <c r="B3" s="16" t="str">
        <f t="shared" si="0"/>
        <v>MAA DURGA STONE CRUSHING COMPANY</v>
      </c>
      <c r="C3" s="16" t="str">
        <f t="shared" si="1"/>
        <v>CHADWAS(Chadwas/Bidasar/Sujangarh)</v>
      </c>
      <c r="D3" s="4" t="s">
        <v>3036</v>
      </c>
      <c r="E3" s="4" t="s">
        <v>3119</v>
      </c>
      <c r="F3" s="5">
        <v>46142.445601851854</v>
      </c>
      <c r="G3" s="16" t="str">
        <f t="shared" si="2"/>
        <v>MasonaryStone (Gitti)</v>
      </c>
      <c r="H3" s="4" t="s">
        <v>5</v>
      </c>
      <c r="I3" s="18" t="str" cm="1">
        <f t="array" ref="I3">_xlfn.LET(_xlpm.text, D3,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" s="18" t="str" cm="1">
        <f t="array" ref="J3">_xlfn.LET(_xlpm.text, E3,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" s="14">
        <v>46142.445937500001</v>
      </c>
      <c r="L3" s="14">
        <v>46143.070555555561</v>
      </c>
      <c r="N3" s="12"/>
      <c r="O3" s="4" t="s">
        <v>18</v>
      </c>
      <c r="P3" s="4" t="s">
        <v>322</v>
      </c>
      <c r="Q3" s="4" t="s">
        <v>324</v>
      </c>
      <c r="R3" s="4" t="s">
        <v>326</v>
      </c>
    </row>
    <row r="4" spans="1:18" x14ac:dyDescent="0.25">
      <c r="A4" s="4" t="s">
        <v>3296</v>
      </c>
      <c r="B4" s="16" t="str">
        <f t="shared" si="0"/>
        <v>MAA DURGA STONE CRUSHING COMPANY</v>
      </c>
      <c r="C4" s="16" t="str">
        <f t="shared" si="1"/>
        <v>CHADWAS(Chadwas/Bidasar/Sujangarh)</v>
      </c>
      <c r="D4" s="4" t="s">
        <v>3036</v>
      </c>
      <c r="E4" s="4" t="s">
        <v>3119</v>
      </c>
      <c r="F4" s="5">
        <v>46142.46637731482</v>
      </c>
      <c r="G4" s="16" t="str">
        <f t="shared" si="2"/>
        <v>MasonaryStone (Gitti)</v>
      </c>
      <c r="H4" s="4" t="s">
        <v>6</v>
      </c>
      <c r="I4" s="18" t="str" cm="1">
        <f t="array" ref="I4">_xlfn.LET(_xlpm.text, D4,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" s="18" t="str" cm="1">
        <f t="array" ref="J4">_xlfn.LET(_xlpm.text, E4,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" s="14">
        <v>46142.466712962967</v>
      </c>
      <c r="L4" s="14">
        <v>46143.091053240743</v>
      </c>
      <c r="N4" s="12"/>
      <c r="O4" s="4" t="s">
        <v>0</v>
      </c>
      <c r="P4" s="4" t="s">
        <v>10</v>
      </c>
      <c r="Q4" s="4" t="s">
        <v>13</v>
      </c>
      <c r="R4" s="4" t="s">
        <v>3</v>
      </c>
    </row>
    <row r="5" spans="1:18" x14ac:dyDescent="0.25">
      <c r="A5" s="4" t="s">
        <v>3297</v>
      </c>
      <c r="B5" s="16" t="str">
        <f t="shared" si="0"/>
        <v>MAA DURGA STONE CRUSHING COMPANY</v>
      </c>
      <c r="C5" s="16" t="str">
        <f t="shared" si="1"/>
        <v>CHADWAS(Chadwas/Bidasar/Sujangarh)</v>
      </c>
      <c r="D5" s="4" t="s">
        <v>3036</v>
      </c>
      <c r="E5" s="4" t="s">
        <v>3119</v>
      </c>
      <c r="F5" s="5">
        <v>46142.476423611115</v>
      </c>
      <c r="G5" s="16" t="str">
        <f t="shared" si="2"/>
        <v>MasonaryStone (Gitti)</v>
      </c>
      <c r="H5" s="4" t="s">
        <v>5</v>
      </c>
      <c r="I5" s="18" t="str" cm="1">
        <f t="array" ref="I5">_xlfn.LET(_xlpm.text, D5,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" s="18" t="str" cm="1">
        <f t="array" ref="J5">_xlfn.LET(_xlpm.text, E5,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" s="14">
        <v>46142.476759259262</v>
      </c>
      <c r="L5" s="14">
        <v>46143.101944444446</v>
      </c>
      <c r="N5" s="12"/>
      <c r="O5" s="4" t="s">
        <v>309</v>
      </c>
      <c r="P5" s="4" t="s">
        <v>323</v>
      </c>
      <c r="Q5" s="4" t="s">
        <v>325</v>
      </c>
      <c r="R5" s="4" t="s">
        <v>327</v>
      </c>
    </row>
    <row r="6" spans="1:18" x14ac:dyDescent="0.25">
      <c r="A6" s="4" t="s">
        <v>3298</v>
      </c>
      <c r="B6" s="16" t="str">
        <f t="shared" si="0"/>
        <v>MAA DURGA STONE CRUSHING COMPANY</v>
      </c>
      <c r="C6" s="16" t="str">
        <f t="shared" si="1"/>
        <v>CHADWAS(Chadwas/Bidasar/Sujangarh)</v>
      </c>
      <c r="D6" s="4" t="s">
        <v>3036</v>
      </c>
      <c r="E6" s="4" t="s">
        <v>3119</v>
      </c>
      <c r="F6" s="5">
        <v>46142.483888888892</v>
      </c>
      <c r="G6" s="16" t="str">
        <f t="shared" si="2"/>
        <v>MasonaryStone (Gitti)</v>
      </c>
      <c r="H6" s="4" t="s">
        <v>6</v>
      </c>
      <c r="I6" s="18" t="str" cm="1">
        <f t="array" ref="I6">_xlfn.LET(_xlpm.text, D6,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" s="18" t="str" cm="1">
        <f t="array" ref="J6">_xlfn.LET(_xlpm.text, E6,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" s="14">
        <v>46142.484224537038</v>
      </c>
      <c r="L6" s="14">
        <v>46143.108993055561</v>
      </c>
      <c r="N6" s="12"/>
      <c r="O6" s="4" t="s">
        <v>421</v>
      </c>
      <c r="P6" s="4" t="s">
        <v>431</v>
      </c>
      <c r="Q6" s="4" t="s">
        <v>432</v>
      </c>
      <c r="R6" s="4" t="s">
        <v>3</v>
      </c>
    </row>
    <row r="7" spans="1:18" x14ac:dyDescent="0.25">
      <c r="A7" s="4" t="s">
        <v>3299</v>
      </c>
      <c r="B7" s="16" t="str">
        <f t="shared" si="0"/>
        <v>MAA DURGA STONE CRUSHING COMPANY</v>
      </c>
      <c r="C7" s="16" t="str">
        <f t="shared" si="1"/>
        <v>CHADWAS(Chadwas/Bidasar/Sujangarh)</v>
      </c>
      <c r="D7" s="4" t="s">
        <v>3036</v>
      </c>
      <c r="E7" s="4" t="s">
        <v>3119</v>
      </c>
      <c r="F7" s="5">
        <v>46142.525590277779</v>
      </c>
      <c r="G7" s="16" t="str">
        <f t="shared" si="2"/>
        <v>MasonaryStone (Gitti)</v>
      </c>
      <c r="H7" s="4" t="s">
        <v>7</v>
      </c>
      <c r="I7" s="18" t="str" cm="1">
        <f t="array" ref="I7">_xlfn.LET(_xlpm.text, D7,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" s="18" t="str" cm="1">
        <f t="array" ref="J7">_xlfn.LET(_xlpm.text, E7,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" s="14">
        <v>46142.525925925926</v>
      </c>
      <c r="L7" s="14">
        <v>46143.150196759263</v>
      </c>
      <c r="N7" s="12"/>
      <c r="O7" s="4" t="s">
        <v>1422</v>
      </c>
      <c r="P7" s="4" t="s">
        <v>2232</v>
      </c>
      <c r="Q7" s="4" t="s">
        <v>2233</v>
      </c>
      <c r="R7" s="4" t="s">
        <v>2231</v>
      </c>
    </row>
    <row r="8" spans="1:18" x14ac:dyDescent="0.25">
      <c r="A8" s="4" t="s">
        <v>3300</v>
      </c>
      <c r="B8" s="16" t="str">
        <f t="shared" si="0"/>
        <v>MAA DURGA STONE CRUSHING COMPANY</v>
      </c>
      <c r="C8" s="16" t="str">
        <f t="shared" si="1"/>
        <v>CHADWAS(Chadwas/Bidasar/Sujangarh)</v>
      </c>
      <c r="D8" s="4" t="s">
        <v>3036</v>
      </c>
      <c r="E8" s="4" t="s">
        <v>3119</v>
      </c>
      <c r="F8" s="5">
        <v>46143.535937500004</v>
      </c>
      <c r="G8" s="16" t="str">
        <f t="shared" si="2"/>
        <v>MasonaryStone (Gitti)</v>
      </c>
      <c r="H8" s="4" t="s">
        <v>4</v>
      </c>
      <c r="I8" s="18" t="str" cm="1">
        <f t="array" ref="I8">_xlfn.LET(_xlpm.text, D8,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" s="18" t="str" cm="1">
        <f t="array" ref="J8">_xlfn.LET(_xlpm.text, E8,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" s="14">
        <v>46143.536273148151</v>
      </c>
      <c r="L8" s="14">
        <v>46144.161018518527</v>
      </c>
      <c r="N8" s="12"/>
      <c r="O8" s="4" t="s">
        <v>1417</v>
      </c>
      <c r="P8" s="4" t="s">
        <v>2234</v>
      </c>
      <c r="Q8" s="4" t="s">
        <v>2235</v>
      </c>
      <c r="R8" s="4" t="s">
        <v>2231</v>
      </c>
    </row>
    <row r="9" spans="1:18" x14ac:dyDescent="0.25">
      <c r="A9" s="4" t="s">
        <v>3301</v>
      </c>
      <c r="B9" s="16" t="str">
        <f t="shared" si="0"/>
        <v>MAA DURGA STONE CRUSHING COMPANY</v>
      </c>
      <c r="C9" s="16" t="str">
        <f t="shared" si="1"/>
        <v>CHADWAS(Chadwas/Bidasar/Sujangarh)</v>
      </c>
      <c r="D9" s="4" t="s">
        <v>3036</v>
      </c>
      <c r="E9" s="4" t="s">
        <v>3119</v>
      </c>
      <c r="F9" s="5">
        <v>46143.556307870371</v>
      </c>
      <c r="G9" s="16" t="str">
        <f t="shared" si="2"/>
        <v>MasonaryStone (Gitti)</v>
      </c>
      <c r="H9" s="4" t="s">
        <v>5</v>
      </c>
      <c r="I9" s="18" t="str" cm="1">
        <f t="array" ref="I9">_xlfn.LET(_xlpm.text, D9,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9" s="18" t="str" cm="1">
        <f t="array" ref="J9">_xlfn.LET(_xlpm.text, E9,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" s="14">
        <v>46143.556643518517</v>
      </c>
      <c r="L9" s="14">
        <v>46144.181701388887</v>
      </c>
      <c r="N9" s="12"/>
      <c r="O9" s="4" t="s">
        <v>1401</v>
      </c>
      <c r="P9" s="4" t="s">
        <v>2236</v>
      </c>
      <c r="Q9" s="4" t="s">
        <v>2237</v>
      </c>
      <c r="R9" s="4" t="s">
        <v>2231</v>
      </c>
    </row>
    <row r="10" spans="1:18" x14ac:dyDescent="0.25">
      <c r="A10" s="4" t="s">
        <v>3302</v>
      </c>
      <c r="B10" s="16" t="str">
        <f t="shared" si="0"/>
        <v>MAA DURGA STONE CRUSHING COMPANY</v>
      </c>
      <c r="C10" s="16" t="str">
        <f t="shared" si="1"/>
        <v>CHADWAS(Chadwas/Bidasar/Sujangarh)</v>
      </c>
      <c r="D10" s="4" t="s">
        <v>3036</v>
      </c>
      <c r="E10" s="4" t="s">
        <v>3119</v>
      </c>
      <c r="F10" s="5">
        <v>46143.566898148158</v>
      </c>
      <c r="G10" s="16" t="str">
        <f t="shared" si="2"/>
        <v>MasonaryStone (Gitti)</v>
      </c>
      <c r="H10" s="4" t="s">
        <v>6</v>
      </c>
      <c r="I10" s="18" t="str" cm="1">
        <f t="array" ref="I10">_xlfn.LET(_xlpm.text, D10,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0" s="18" t="str" cm="1">
        <f t="array" ref="J10">_xlfn.LET(_xlpm.text, E10,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" s="14">
        <v>46143.567233796304</v>
      </c>
      <c r="L10" s="14">
        <v>46144.192118055558</v>
      </c>
      <c r="N10" s="12"/>
      <c r="O10" s="4" t="s">
        <v>1395</v>
      </c>
      <c r="P10" s="4" t="s">
        <v>2238</v>
      </c>
      <c r="Q10" s="4" t="s">
        <v>2239</v>
      </c>
      <c r="R10" s="4" t="s">
        <v>2231</v>
      </c>
    </row>
    <row r="11" spans="1:18" x14ac:dyDescent="0.25">
      <c r="A11" s="4" t="s">
        <v>3303</v>
      </c>
      <c r="B11" s="16" t="str">
        <f t="shared" si="0"/>
        <v>MAA DURGA STONE CRUSHING COMPANY</v>
      </c>
      <c r="C11" s="16" t="str">
        <f t="shared" si="1"/>
        <v>CHADWAS(Chadwas/Bidasar/Sujangarh)</v>
      </c>
      <c r="D11" s="4" t="s">
        <v>3036</v>
      </c>
      <c r="E11" s="4" t="s">
        <v>3119</v>
      </c>
      <c r="F11" s="5">
        <v>46143.573773148157</v>
      </c>
      <c r="G11" s="16" t="str">
        <f t="shared" si="2"/>
        <v>MasonaryStone (Gitti)</v>
      </c>
      <c r="H11" s="4" t="s">
        <v>5</v>
      </c>
      <c r="I11" s="18" t="str" cm="1">
        <f t="array" ref="I11">_xlfn.LET(_xlpm.text, D11,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1" s="18" t="str" cm="1">
        <f t="array" ref="J11">_xlfn.LET(_xlpm.text, E11,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" s="14">
        <v>46143.574108796303</v>
      </c>
      <c r="L11" s="14">
        <v>46144.199004629634</v>
      </c>
      <c r="N11" s="12"/>
      <c r="O11" s="4" t="s">
        <v>1387</v>
      </c>
      <c r="P11" s="4" t="s">
        <v>2240</v>
      </c>
      <c r="Q11" s="4" t="s">
        <v>2241</v>
      </c>
      <c r="R11" s="4" t="s">
        <v>2231</v>
      </c>
    </row>
    <row r="12" spans="1:18" x14ac:dyDescent="0.25">
      <c r="A12" s="4" t="s">
        <v>3304</v>
      </c>
      <c r="B12" s="16" t="str">
        <f t="shared" si="0"/>
        <v>MAA DURGA STONE CRUSHING COMPANY</v>
      </c>
      <c r="C12" s="16" t="str">
        <f t="shared" si="1"/>
        <v>CHADWAS(Chadwas/Bidasar/Sujangarh)</v>
      </c>
      <c r="D12" s="4" t="s">
        <v>3036</v>
      </c>
      <c r="E12" s="4" t="s">
        <v>3119</v>
      </c>
      <c r="F12" s="5">
        <v>46143.615416666675</v>
      </c>
      <c r="G12" s="16" t="str">
        <f t="shared" si="2"/>
        <v>MasonaryStone (Gitti)</v>
      </c>
      <c r="H12" s="4" t="s">
        <v>6</v>
      </c>
      <c r="I12" s="18" t="str" cm="1">
        <f t="array" ref="I12">_xlfn.LET(_xlpm.text, D12,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2" s="18" t="str" cm="1">
        <f t="array" ref="J12">_xlfn.LET(_xlpm.text, E12,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" s="14">
        <v>46143.615752314821</v>
      </c>
      <c r="L12" s="14">
        <v>46144.240648148152</v>
      </c>
      <c r="N12" s="12"/>
      <c r="O12" s="4" t="s">
        <v>1383</v>
      </c>
      <c r="P12" s="4" t="s">
        <v>2242</v>
      </c>
      <c r="Q12" s="4" t="s">
        <v>2243</v>
      </c>
      <c r="R12" s="4" t="s">
        <v>2231</v>
      </c>
    </row>
    <row r="13" spans="1:18" x14ac:dyDescent="0.25">
      <c r="A13" s="4" t="s">
        <v>3305</v>
      </c>
      <c r="B13" s="16" t="str">
        <f t="shared" si="0"/>
        <v>MAA DURGA STONE CRUSHING COMPANY</v>
      </c>
      <c r="C13" s="16" t="str">
        <f t="shared" si="1"/>
        <v>CHADWAS(Chadwas/Bidasar/Sujangarh)</v>
      </c>
      <c r="D13" s="4" t="s">
        <v>3036</v>
      </c>
      <c r="E13" s="4" t="s">
        <v>3119</v>
      </c>
      <c r="F13" s="5">
        <v>46143.626168981486</v>
      </c>
      <c r="G13" s="16" t="str">
        <f t="shared" si="2"/>
        <v>MasonaryStone (Gitti)</v>
      </c>
      <c r="H13" s="4" t="s">
        <v>7</v>
      </c>
      <c r="I13" s="18" t="str" cm="1">
        <f t="array" ref="I13">_xlfn.LET(_xlpm.text, D13,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3" s="18" t="str" cm="1">
        <f t="array" ref="J13">_xlfn.LET(_xlpm.text, E13,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" s="14">
        <v>46143.626504629632</v>
      </c>
      <c r="L13" s="14">
        <v>46144.251122685186</v>
      </c>
      <c r="N13" s="12"/>
      <c r="O13" s="4" t="s">
        <v>2244</v>
      </c>
      <c r="P13" s="4" t="s">
        <v>2245</v>
      </c>
      <c r="Q13" s="4" t="s">
        <v>2246</v>
      </c>
      <c r="R13" s="4" t="s">
        <v>3</v>
      </c>
    </row>
    <row r="14" spans="1:18" x14ac:dyDescent="0.25">
      <c r="A14" s="4" t="s">
        <v>3306</v>
      </c>
      <c r="B14" s="16" t="str">
        <f t="shared" si="0"/>
        <v>MAA DURGA STONE CRUSHING COMPANY</v>
      </c>
      <c r="C14" s="16" t="str">
        <f t="shared" si="1"/>
        <v>CHADWAS(Chadwas/Bidasar/Sujangarh)</v>
      </c>
      <c r="D14" s="4" t="s">
        <v>3036</v>
      </c>
      <c r="E14" s="4" t="s">
        <v>3119</v>
      </c>
      <c r="F14" s="5">
        <v>46143.647037037044</v>
      </c>
      <c r="G14" s="16" t="str">
        <f t="shared" si="2"/>
        <v>MasonaryStone (Gitti)</v>
      </c>
      <c r="H14" s="4" t="s">
        <v>8</v>
      </c>
      <c r="I14" s="18" t="str" cm="1">
        <f t="array" ref="I14">_xlfn.LET(_xlpm.text, D14,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4" s="18" t="str" cm="1">
        <f t="array" ref="J14">_xlfn.LET(_xlpm.text, E14,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" s="14">
        <v>46143.647372685191</v>
      </c>
      <c r="L14" s="14">
        <v>46144.271643518521</v>
      </c>
      <c r="N14" s="12"/>
      <c r="O14" s="4" t="s">
        <v>557</v>
      </c>
      <c r="P14" s="4" t="s">
        <v>2245</v>
      </c>
      <c r="Q14" s="4" t="s">
        <v>2247</v>
      </c>
      <c r="R14" s="4" t="s">
        <v>3</v>
      </c>
    </row>
    <row r="15" spans="1:18" x14ac:dyDescent="0.25">
      <c r="A15" s="4" t="s">
        <v>3307</v>
      </c>
      <c r="B15" s="16" t="str">
        <f t="shared" si="0"/>
        <v>MAA DURGA STONE CRUSHING COMPANY</v>
      </c>
      <c r="C15" s="16" t="str">
        <f t="shared" si="1"/>
        <v>CHADWAS(Chadwas/Bidasar/Sujangarh)</v>
      </c>
      <c r="D15" s="4" t="s">
        <v>3036</v>
      </c>
      <c r="E15" s="4" t="s">
        <v>3119</v>
      </c>
      <c r="F15" s="5">
        <v>46143.657349537039</v>
      </c>
      <c r="G15" s="16" t="str">
        <f t="shared" si="2"/>
        <v>MasonaryStone (Gitti)</v>
      </c>
      <c r="H15" s="4" t="s">
        <v>4</v>
      </c>
      <c r="I15" s="18" t="str" cm="1">
        <f t="array" ref="I15">_xlfn.LET(_xlpm.text, D15,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5" s="18" t="str" cm="1">
        <f t="array" ref="J15">_xlfn.LET(_xlpm.text, E15,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" s="14">
        <v>46143.657685185186</v>
      </c>
      <c r="L15" s="14">
        <v>46144.282534722224</v>
      </c>
      <c r="N15" s="12"/>
      <c r="O15" s="4" t="s">
        <v>546</v>
      </c>
      <c r="P15" s="4" t="s">
        <v>2248</v>
      </c>
      <c r="Q15" s="4" t="s">
        <v>2249</v>
      </c>
      <c r="R15" s="4" t="s">
        <v>3</v>
      </c>
    </row>
    <row r="16" spans="1:18" x14ac:dyDescent="0.25">
      <c r="A16" s="4" t="s">
        <v>3308</v>
      </c>
      <c r="B16" s="16" t="str">
        <f t="shared" si="0"/>
        <v>MAA DURGA STONE CRUSHING COMPANY</v>
      </c>
      <c r="C16" s="16" t="str">
        <f t="shared" si="1"/>
        <v>CHADWAS(Chadwas/Bidasar/Sujangarh)</v>
      </c>
      <c r="D16" s="4" t="s">
        <v>3036</v>
      </c>
      <c r="E16" s="4" t="s">
        <v>3119</v>
      </c>
      <c r="F16" s="5">
        <v>46143.664259259262</v>
      </c>
      <c r="G16" s="16" t="str">
        <f t="shared" si="2"/>
        <v>MasonaryStone (Gitti)</v>
      </c>
      <c r="H16" s="4" t="s">
        <v>5</v>
      </c>
      <c r="I16" s="18" t="str" cm="1">
        <f t="array" ref="I16">_xlfn.LET(_xlpm.text, D16,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6" s="18" t="str" cm="1">
        <f t="array" ref="J16">_xlfn.LET(_xlpm.text, E16,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" s="14">
        <v>46143.664594907408</v>
      </c>
      <c r="L16" s="14">
        <v>46144.288958333338</v>
      </c>
      <c r="N16" s="12"/>
      <c r="O16" s="4" t="s">
        <v>455</v>
      </c>
      <c r="P16" s="4" t="s">
        <v>2250</v>
      </c>
      <c r="Q16" s="4" t="s">
        <v>2251</v>
      </c>
      <c r="R16" s="4" t="s">
        <v>3</v>
      </c>
    </row>
    <row r="17" spans="1:18" x14ac:dyDescent="0.25">
      <c r="A17" s="4" t="s">
        <v>3309</v>
      </c>
      <c r="B17" s="16" t="str">
        <f t="shared" si="0"/>
        <v>MAA DURGA STONE CRUSHING COMPANY</v>
      </c>
      <c r="C17" s="16" t="str">
        <f t="shared" si="1"/>
        <v>CHADWAS(Chadwas/Bidasar/Sujangarh)</v>
      </c>
      <c r="D17" s="4" t="s">
        <v>3036</v>
      </c>
      <c r="E17" s="4" t="s">
        <v>3119</v>
      </c>
      <c r="F17" s="5">
        <v>46143.70621527778</v>
      </c>
      <c r="G17" s="16" t="str">
        <f t="shared" si="2"/>
        <v>MasonaryStone (Gitti)</v>
      </c>
      <c r="H17" s="4" t="s">
        <v>6</v>
      </c>
      <c r="I17" s="18" t="str" cm="1">
        <f t="array" ref="I17">_xlfn.LET(_xlpm.text, D17,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7" s="18" t="str" cm="1">
        <f t="array" ref="J17">_xlfn.LET(_xlpm.text, E17,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" s="14">
        <v>46143.706550925926</v>
      </c>
      <c r="L17" s="14">
        <v>46144.33116898148</v>
      </c>
      <c r="N17" s="12"/>
      <c r="O17" s="4" t="s">
        <v>433</v>
      </c>
      <c r="P17" s="4" t="s">
        <v>2252</v>
      </c>
      <c r="Q17" s="4" t="s">
        <v>2253</v>
      </c>
      <c r="R17" s="4" t="s">
        <v>3</v>
      </c>
    </row>
    <row r="18" spans="1:18" x14ac:dyDescent="0.25">
      <c r="A18" s="4" t="s">
        <v>3310</v>
      </c>
      <c r="B18" s="16" t="str">
        <f t="shared" si="0"/>
        <v>MAA DURGA STONE CRUSHING COMPANY</v>
      </c>
      <c r="C18" s="16" t="str">
        <f t="shared" si="1"/>
        <v>CHADWAS(Chadwas/Bidasar/Sujangarh)</v>
      </c>
      <c r="D18" s="4" t="s">
        <v>3036</v>
      </c>
      <c r="E18" s="4" t="s">
        <v>3119</v>
      </c>
      <c r="F18" s="5">
        <v>46143.716574074082</v>
      </c>
      <c r="G18" s="16" t="str">
        <f t="shared" si="2"/>
        <v>MasonaryStone (Gitti)</v>
      </c>
      <c r="H18" s="4" t="s">
        <v>5</v>
      </c>
      <c r="I18" s="18" t="str" cm="1">
        <f t="array" ref="I18">_xlfn.LET(_xlpm.text, D18,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8" s="18" t="str" cm="1">
        <f t="array" ref="J18">_xlfn.LET(_xlpm.text, E18,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" s="14">
        <v>46143.716909722229</v>
      </c>
      <c r="L18" s="14">
        <v>46144.341307870374</v>
      </c>
      <c r="N18" s="12"/>
      <c r="O18" s="4" t="s">
        <v>3041</v>
      </c>
      <c r="P18" s="4" t="s">
        <v>3120</v>
      </c>
      <c r="Q18" s="4" t="s">
        <v>3121</v>
      </c>
      <c r="R18" s="4" t="s">
        <v>326</v>
      </c>
    </row>
    <row r="19" spans="1:18" x14ac:dyDescent="0.25">
      <c r="A19" s="4" t="s">
        <v>3311</v>
      </c>
      <c r="B19" s="16" t="str">
        <f t="shared" si="0"/>
        <v>MAA DURGA STONE CRUSHING COMPANY</v>
      </c>
      <c r="C19" s="16" t="str">
        <f t="shared" si="1"/>
        <v>CHADWAS(Chadwas/Bidasar/Sujangarh)</v>
      </c>
      <c r="D19" s="4" t="s">
        <v>3036</v>
      </c>
      <c r="E19" s="4" t="s">
        <v>3119</v>
      </c>
      <c r="F19" s="5">
        <v>46144.73746527778</v>
      </c>
      <c r="G19" s="16" t="str">
        <f t="shared" si="2"/>
        <v>MasonaryStone (Gitti)</v>
      </c>
      <c r="H19" s="4" t="s">
        <v>6</v>
      </c>
      <c r="I19" s="18" t="str" cm="1">
        <f t="array" ref="I19">_xlfn.LET(_xlpm.text, D19,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19" s="18" t="str" cm="1">
        <f t="array" ref="J19">_xlfn.LET(_xlpm.text, E19,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" s="14">
        <v>46144.737800925926</v>
      </c>
      <c r="L19" s="14">
        <v>46145.36246527778</v>
      </c>
      <c r="N19" s="12"/>
      <c r="O19" s="4"/>
      <c r="P19" s="4"/>
      <c r="Q19" s="4"/>
      <c r="R19" s="4"/>
    </row>
    <row r="20" spans="1:18" x14ac:dyDescent="0.25">
      <c r="A20" s="4" t="s">
        <v>3312</v>
      </c>
      <c r="B20" s="16" t="str">
        <f t="shared" si="0"/>
        <v>MAA DURGA STONE CRUSHING COMPANY</v>
      </c>
      <c r="C20" s="16" t="str">
        <f t="shared" si="1"/>
        <v>CHADWAS(Chadwas/Bidasar/Sujangarh)</v>
      </c>
      <c r="D20" s="4" t="s">
        <v>3036</v>
      </c>
      <c r="E20" s="4" t="s">
        <v>3119</v>
      </c>
      <c r="F20" s="5">
        <v>46144.747592592597</v>
      </c>
      <c r="G20" s="16" t="str">
        <f t="shared" si="2"/>
        <v>MasonaryStone (Gitti)</v>
      </c>
      <c r="H20" s="4" t="s">
        <v>7</v>
      </c>
      <c r="I20" s="18" t="str" cm="1">
        <f t="array" ref="I20">_xlfn.LET(_xlpm.text, D20,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0" s="18" t="str" cm="1">
        <f t="array" ref="J20">_xlfn.LET(_xlpm.text, E20,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" s="14">
        <v>46144.747928240744</v>
      </c>
      <c r="L20" s="14">
        <v>46145.372546296305</v>
      </c>
      <c r="N20" s="12"/>
      <c r="O20" s="9" t="s">
        <v>2256</v>
      </c>
      <c r="P20" s="11" t="str">
        <f>VLOOKUP(LEFT(O20,4)&amp;"*",$O$3:$R$17, 2, FALSE)</f>
        <v>MAA DURGA STONE CRUSHING COMPANY</v>
      </c>
      <c r="Q20" s="11" t="str">
        <f>VLOOKUP(LEFT(O20,4)&amp;"*",$O$3:$R$17, 3, FALSE)</f>
        <v>CHADWAS(Chadwas/Bidasar/Sujangarh)</v>
      </c>
      <c r="R20" s="11" t="str">
        <f>VLOOKUP(LEFT(O20,4)&amp;"*",$O$3:$R$17, 4, FALSE)</f>
        <v>MasonaryStone (Gitti)</v>
      </c>
    </row>
    <row r="21" spans="1:18" x14ac:dyDescent="0.25">
      <c r="A21" s="4" t="s">
        <v>3313</v>
      </c>
      <c r="B21" s="16" t="str">
        <f t="shared" si="0"/>
        <v>MAA DURGA STONE CRUSHING COMPANY</v>
      </c>
      <c r="C21" s="16" t="str">
        <f t="shared" si="1"/>
        <v>CHADWAS(Chadwas/Bidasar/Sujangarh)</v>
      </c>
      <c r="D21" s="4" t="s">
        <v>3036</v>
      </c>
      <c r="E21" s="4" t="s">
        <v>3119</v>
      </c>
      <c r="F21" s="5">
        <v>46144.754548611119</v>
      </c>
      <c r="G21" s="16" t="str">
        <f t="shared" si="2"/>
        <v>MasonaryStone (Gitti)</v>
      </c>
      <c r="H21" s="4" t="s">
        <v>4</v>
      </c>
      <c r="I21" s="18" t="str" cm="1">
        <f t="array" ref="I21">_xlfn.LET(_xlpm.text, D21,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1" s="18" t="str" cm="1">
        <f t="array" ref="J21">_xlfn.LET(_xlpm.text, E21,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" s="14">
        <v>46144.754884259266</v>
      </c>
      <c r="L21" s="14">
        <v>46145.379548611119</v>
      </c>
      <c r="N21" s="12"/>
    </row>
    <row r="22" spans="1:18" x14ac:dyDescent="0.25">
      <c r="A22" s="4" t="s">
        <v>3314</v>
      </c>
      <c r="B22" s="16" t="str">
        <f t="shared" si="0"/>
        <v>MAA DURGA STONE CRUSHING COMPANY</v>
      </c>
      <c r="C22" s="16" t="str">
        <f t="shared" si="1"/>
        <v>CHADWAS(Chadwas/Bidasar/Sujangarh)</v>
      </c>
      <c r="D22" s="4" t="s">
        <v>3036</v>
      </c>
      <c r="E22" s="4" t="s">
        <v>3119</v>
      </c>
      <c r="F22" s="5">
        <v>46144.795937500006</v>
      </c>
      <c r="G22" s="16" t="str">
        <f t="shared" si="2"/>
        <v>MasonaryStone (Gitti)</v>
      </c>
      <c r="H22" s="4" t="s">
        <v>5</v>
      </c>
      <c r="I22" s="18" t="str" cm="1">
        <f t="array" ref="I22">_xlfn.LET(_xlpm.text, D22,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2" s="18" t="str" cm="1">
        <f t="array" ref="J22">_xlfn.LET(_xlpm.text, E22,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" s="14">
        <v>46144.796273148153</v>
      </c>
      <c r="L22" s="14">
        <v>46145.420833333337</v>
      </c>
      <c r="N22" s="12"/>
    </row>
    <row r="23" spans="1:18" x14ac:dyDescent="0.25">
      <c r="A23" s="4" t="s">
        <v>3315</v>
      </c>
      <c r="B23" s="16" t="str">
        <f t="shared" si="0"/>
        <v>MAA DURGA STONE CRUSHING COMPANY</v>
      </c>
      <c r="C23" s="16" t="str">
        <f t="shared" si="1"/>
        <v>CHADWAS(Chadwas/Bidasar/Sujangarh)</v>
      </c>
      <c r="D23" s="4" t="s">
        <v>3036</v>
      </c>
      <c r="E23" s="4" t="s">
        <v>3119</v>
      </c>
      <c r="F23" s="5">
        <v>46144.806608796294</v>
      </c>
      <c r="G23" s="16" t="str">
        <f t="shared" si="2"/>
        <v>MasonaryStone (Gitti)</v>
      </c>
      <c r="H23" s="4" t="s">
        <v>6</v>
      </c>
      <c r="I23" s="18" t="str" cm="1">
        <f t="array" ref="I23">_xlfn.LET(_xlpm.text, D23,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3" s="18" t="str" cm="1">
        <f t="array" ref="J23">_xlfn.LET(_xlpm.text, E23,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" s="14">
        <v>46144.806944444441</v>
      </c>
      <c r="L23" s="14">
        <v>46145.431898148148</v>
      </c>
      <c r="N23" s="12"/>
    </row>
    <row r="24" spans="1:18" x14ac:dyDescent="0.25">
      <c r="A24" s="4" t="s">
        <v>3316</v>
      </c>
      <c r="B24" s="16" t="str">
        <f t="shared" si="0"/>
        <v>MAA DURGA STONE CRUSHING COMPANY</v>
      </c>
      <c r="C24" s="16" t="str">
        <f t="shared" si="1"/>
        <v>CHADWAS(Chadwas/Bidasar/Sujangarh)</v>
      </c>
      <c r="D24" s="4" t="s">
        <v>3036</v>
      </c>
      <c r="E24" s="4" t="s">
        <v>3119</v>
      </c>
      <c r="F24" s="5">
        <v>46144.827662037038</v>
      </c>
      <c r="G24" s="16" t="str">
        <f t="shared" si="2"/>
        <v>MasonaryStone (Gitti)</v>
      </c>
      <c r="H24" s="4" t="s">
        <v>5</v>
      </c>
      <c r="I24" s="18" t="str" cm="1">
        <f t="array" ref="I24">_xlfn.LET(_xlpm.text, D24,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4" s="18" t="str" cm="1">
        <f t="array" ref="J24">_xlfn.LET(_xlpm.text, E24,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" s="14">
        <v>46144.827997685185</v>
      </c>
      <c r="L24" s="14">
        <v>46145.452280092599</v>
      </c>
      <c r="N24" s="12"/>
    </row>
    <row r="25" spans="1:18" x14ac:dyDescent="0.25">
      <c r="A25" s="4" t="s">
        <v>3317</v>
      </c>
      <c r="B25" s="16" t="str">
        <f t="shared" si="0"/>
        <v>MAA DURGA STONE CRUSHING COMPANY</v>
      </c>
      <c r="C25" s="16" t="str">
        <f t="shared" si="1"/>
        <v>CHADWAS(Chadwas/Bidasar/Sujangarh)</v>
      </c>
      <c r="D25" s="4" t="s">
        <v>3036</v>
      </c>
      <c r="E25" s="4" t="s">
        <v>3119</v>
      </c>
      <c r="F25" s="5">
        <v>46144.837789351855</v>
      </c>
      <c r="G25" s="16" t="str">
        <f t="shared" si="2"/>
        <v>MasonaryStone (Gitti)</v>
      </c>
      <c r="H25" s="4" t="s">
        <v>6</v>
      </c>
      <c r="I25" s="18" t="str" cm="1">
        <f t="array" ref="I25">_xlfn.LET(_xlpm.text, D25,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5" s="18" t="str" cm="1">
        <f t="array" ref="J25">_xlfn.LET(_xlpm.text, E25,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" s="14">
        <v>46144.838125000002</v>
      </c>
      <c r="L25" s="14">
        <v>46145.463009259263</v>
      </c>
      <c r="N25" s="12"/>
    </row>
    <row r="26" spans="1:18" x14ac:dyDescent="0.25">
      <c r="A26" s="4" t="s">
        <v>3318</v>
      </c>
      <c r="B26" s="16" t="str">
        <f t="shared" si="0"/>
        <v>MAA DURGA STONE CRUSHING COMPANY</v>
      </c>
      <c r="C26" s="16" t="str">
        <f t="shared" si="1"/>
        <v>CHADWAS(Chadwas/Bidasar/Sujangarh)</v>
      </c>
      <c r="D26" s="4" t="s">
        <v>3036</v>
      </c>
      <c r="E26" s="4" t="s">
        <v>3119</v>
      </c>
      <c r="F26" s="5">
        <v>46144.845081018524</v>
      </c>
      <c r="G26" s="16" t="str">
        <f t="shared" si="2"/>
        <v>MasonaryStone (Gitti)</v>
      </c>
      <c r="H26" s="4" t="s">
        <v>4</v>
      </c>
      <c r="I26" s="18" t="str" cm="1">
        <f t="array" ref="I26">_xlfn.LET(_xlpm.text, D26,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6" s="18" t="str" cm="1">
        <f t="array" ref="J26">_xlfn.LET(_xlpm.text, E26,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" s="14">
        <v>46144.845416666671</v>
      </c>
      <c r="L26" s="14">
        <v>46145.469675925931</v>
      </c>
      <c r="N26" s="12"/>
    </row>
    <row r="27" spans="1:18" x14ac:dyDescent="0.25">
      <c r="A27" s="4" t="s">
        <v>3319</v>
      </c>
      <c r="B27" s="16" t="str">
        <f t="shared" si="0"/>
        <v>MAA DURGA STONE CRUSHING COMPANY</v>
      </c>
      <c r="C27" s="16" t="str">
        <f t="shared" si="1"/>
        <v>CHADWAS(Chadwas/Bidasar/Sujangarh)</v>
      </c>
      <c r="D27" s="4" t="s">
        <v>3036</v>
      </c>
      <c r="E27" s="4" t="s">
        <v>3119</v>
      </c>
      <c r="F27" s="5">
        <v>46144.886296296303</v>
      </c>
      <c r="G27" s="16" t="str">
        <f t="shared" si="2"/>
        <v>MasonaryStone (Gitti)</v>
      </c>
      <c r="H27" s="4" t="s">
        <v>5</v>
      </c>
      <c r="I27" s="18" t="str" cm="1">
        <f t="array" ref="I27">_xlfn.LET(_xlpm.text, D27,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7" s="18" t="str" cm="1">
        <f t="array" ref="J27">_xlfn.LET(_xlpm.text, E27,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" s="14">
        <v>46144.88663194445</v>
      </c>
      <c r="L27" s="14">
        <v>46145.511793981488</v>
      </c>
      <c r="N27" s="12"/>
    </row>
    <row r="28" spans="1:18" x14ac:dyDescent="0.25">
      <c r="A28" s="4" t="s">
        <v>3320</v>
      </c>
      <c r="B28" s="16" t="str">
        <f t="shared" si="0"/>
        <v>MAA DURGA STONE CRUSHING COMPANY</v>
      </c>
      <c r="C28" s="16" t="str">
        <f t="shared" si="1"/>
        <v>CHADWAS(Chadwas/Bidasar/Sujangarh)</v>
      </c>
      <c r="D28" s="4" t="s">
        <v>3036</v>
      </c>
      <c r="E28" s="4" t="s">
        <v>3119</v>
      </c>
      <c r="F28" s="5">
        <v>46144.897083333337</v>
      </c>
      <c r="G28" s="16" t="str">
        <f t="shared" si="2"/>
        <v>MasonaryStone (Gitti)</v>
      </c>
      <c r="H28" s="4" t="s">
        <v>6</v>
      </c>
      <c r="I28" s="18" t="str" cm="1">
        <f t="array" ref="I28">_xlfn.LET(_xlpm.text, D28,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8" s="18" t="str" cm="1">
        <f t="array" ref="J28">_xlfn.LET(_xlpm.text, E28,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" s="14">
        <v>46144.897418981483</v>
      </c>
      <c r="L28" s="14">
        <v>46145.522025462968</v>
      </c>
      <c r="N28" s="12"/>
    </row>
    <row r="29" spans="1:18" x14ac:dyDescent="0.25">
      <c r="A29" s="4" t="s">
        <v>3321</v>
      </c>
      <c r="B29" s="16" t="str">
        <f t="shared" si="0"/>
        <v>MAA DURGA STONE CRUSHING COMPANY</v>
      </c>
      <c r="C29" s="16" t="str">
        <f t="shared" si="1"/>
        <v>CHADWAS(Chadwas/Bidasar/Sujangarh)</v>
      </c>
      <c r="D29" s="4" t="s">
        <v>3036</v>
      </c>
      <c r="E29" s="4" t="s">
        <v>3119</v>
      </c>
      <c r="F29" s="5">
        <v>46145.917997685196</v>
      </c>
      <c r="G29" s="16" t="str">
        <f t="shared" si="2"/>
        <v>MasonaryStone (Gitti)</v>
      </c>
      <c r="H29" s="4" t="s">
        <v>5</v>
      </c>
      <c r="I29" s="18" t="str" cm="1">
        <f t="array" ref="I29">_xlfn.LET(_xlpm.text, D29,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29" s="18" t="str" cm="1">
        <f t="array" ref="J29">_xlfn.LET(_xlpm.text, E29,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" s="14">
        <v>46145.918333333342</v>
      </c>
      <c r="L29" s="14">
        <v>46146.542581018526</v>
      </c>
      <c r="N29" s="12"/>
    </row>
    <row r="30" spans="1:18" x14ac:dyDescent="0.25">
      <c r="A30" s="4" t="s">
        <v>3322</v>
      </c>
      <c r="B30" s="16" t="str">
        <f t="shared" si="0"/>
        <v>MAA DURGA STONE CRUSHING COMPANY</v>
      </c>
      <c r="C30" s="16" t="str">
        <f t="shared" si="1"/>
        <v>CHADWAS(Chadwas/Bidasar/Sujangarh)</v>
      </c>
      <c r="D30" s="4" t="s">
        <v>3036</v>
      </c>
      <c r="E30" s="4" t="s">
        <v>3119</v>
      </c>
      <c r="F30" s="5">
        <v>46146.92799768519</v>
      </c>
      <c r="G30" s="16" t="str">
        <f t="shared" si="2"/>
        <v>MasonaryStone (Gitti)</v>
      </c>
      <c r="H30" s="4" t="s">
        <v>6</v>
      </c>
      <c r="I30" s="18" t="str" cm="1">
        <f t="array" ref="I30">_xlfn.LET(_xlpm.text, D30,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0" s="18" t="str" cm="1">
        <f t="array" ref="J30">_xlfn.LET(_xlpm.text, E30,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" s="14">
        <v>46146.928333333337</v>
      </c>
      <c r="L30" s="14">
        <v>46147.55310185186</v>
      </c>
      <c r="N30" s="12"/>
    </row>
    <row r="31" spans="1:18" x14ac:dyDescent="0.25">
      <c r="A31" s="4" t="s">
        <v>3323</v>
      </c>
      <c r="B31" s="16" t="str">
        <f t="shared" si="0"/>
        <v>MAA DURGA STONE CRUSHING COMPANY</v>
      </c>
      <c r="C31" s="16" t="str">
        <f t="shared" si="1"/>
        <v>CHADWAS(Chadwas/Bidasar/Sujangarh)</v>
      </c>
      <c r="D31" s="4" t="s">
        <v>3036</v>
      </c>
      <c r="E31" s="4" t="s">
        <v>3119</v>
      </c>
      <c r="F31" s="5">
        <v>46146.935104166674</v>
      </c>
      <c r="G31" s="16" t="str">
        <f t="shared" si="2"/>
        <v>MasonaryStone (Gitti)</v>
      </c>
      <c r="H31" s="4" t="s">
        <v>7</v>
      </c>
      <c r="I31" s="18" t="str" cm="1">
        <f t="array" ref="I31">_xlfn.LET(_xlpm.text, D31,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1" s="18" t="str" cm="1">
        <f t="array" ref="J31">_xlfn.LET(_xlpm.text, E31,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" s="14">
        <v>46146.935439814821</v>
      </c>
      <c r="L31" s="14">
        <v>46147.560405092598</v>
      </c>
      <c r="N31" s="12"/>
    </row>
    <row r="32" spans="1:18" x14ac:dyDescent="0.25">
      <c r="A32" s="4" t="s">
        <v>3324</v>
      </c>
      <c r="B32" s="16" t="str">
        <f t="shared" si="0"/>
        <v>MAA DURGA STONE CRUSHING COMPANY</v>
      </c>
      <c r="C32" s="16" t="str">
        <f t="shared" si="1"/>
        <v>CHADWAS(Chadwas/Bidasar/Sujangarh)</v>
      </c>
      <c r="D32" s="4" t="s">
        <v>3036</v>
      </c>
      <c r="E32" s="4" t="s">
        <v>3119</v>
      </c>
      <c r="F32" s="5">
        <v>46146.977060185185</v>
      </c>
      <c r="G32" s="16" t="str">
        <f t="shared" si="2"/>
        <v>MasonaryStone (Gitti)</v>
      </c>
      <c r="H32" s="4" t="s">
        <v>4</v>
      </c>
      <c r="I32" s="18" t="str" cm="1">
        <f t="array" ref="I32">_xlfn.LET(_xlpm.text, D32,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2" s="18" t="str" cm="1">
        <f t="array" ref="J32">_xlfn.LET(_xlpm.text, E32,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" s="14">
        <v>46146.977395833332</v>
      </c>
      <c r="L32" s="14">
        <v>46147.602013888893</v>
      </c>
      <c r="N32" s="12"/>
    </row>
    <row r="33" spans="1:14" x14ac:dyDescent="0.25">
      <c r="A33" s="4" t="s">
        <v>3325</v>
      </c>
      <c r="B33" s="16" t="str">
        <f t="shared" si="0"/>
        <v>MAA DURGA STONE CRUSHING COMPANY</v>
      </c>
      <c r="C33" s="16" t="str">
        <f t="shared" si="1"/>
        <v>CHADWAS(Chadwas/Bidasar/Sujangarh)</v>
      </c>
      <c r="D33" s="4" t="s">
        <v>3036</v>
      </c>
      <c r="E33" s="4" t="s">
        <v>3119</v>
      </c>
      <c r="F33" s="5">
        <v>46146.986851851856</v>
      </c>
      <c r="G33" s="16" t="str">
        <f t="shared" si="2"/>
        <v>MasonaryStone (Gitti)</v>
      </c>
      <c r="H33" s="4" t="s">
        <v>5</v>
      </c>
      <c r="I33" s="18" t="str" cm="1">
        <f t="array" ref="I33">_xlfn.LET(_xlpm.text, D33,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3" s="18" t="str" cm="1">
        <f t="array" ref="J33">_xlfn.LET(_xlpm.text, E33,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" s="14">
        <v>46146.987187500003</v>
      </c>
      <c r="L33" s="14">
        <v>46147.611956018518</v>
      </c>
      <c r="N33" s="12"/>
    </row>
    <row r="34" spans="1:14" x14ac:dyDescent="0.25">
      <c r="A34" s="4" t="s">
        <v>3326</v>
      </c>
      <c r="B34" s="16" t="str">
        <f t="shared" si="0"/>
        <v>MAA DURGA STONE CRUSHING COMPANY</v>
      </c>
      <c r="C34" s="16" t="str">
        <f t="shared" si="1"/>
        <v>CHADWAS(Chadwas/Bidasar/Sujangarh)</v>
      </c>
      <c r="D34" s="4" t="s">
        <v>3036</v>
      </c>
      <c r="E34" s="4" t="s">
        <v>3119</v>
      </c>
      <c r="F34" s="5">
        <v>46147.007766203707</v>
      </c>
      <c r="G34" s="16" t="str">
        <f t="shared" si="2"/>
        <v>MasonaryStone (Gitti)</v>
      </c>
      <c r="H34" s="4" t="s">
        <v>6</v>
      </c>
      <c r="I34" s="18" t="str" cm="1">
        <f t="array" ref="I34">_xlfn.LET(_xlpm.text, D34,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4" s="18" t="str" cm="1">
        <f t="array" ref="J34">_xlfn.LET(_xlpm.text, E34,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" s="14">
        <v>46147.008101851854</v>
      </c>
      <c r="L34" s="14">
        <v>46147.633194444446</v>
      </c>
      <c r="N34" s="12"/>
    </row>
    <row r="35" spans="1:14" x14ac:dyDescent="0.25">
      <c r="A35" s="4" t="s">
        <v>3327</v>
      </c>
      <c r="B35" s="16" t="str">
        <f t="shared" si="0"/>
        <v>MAA DURGA STONE CRUSHING COMPANY</v>
      </c>
      <c r="C35" s="16" t="str">
        <f t="shared" si="1"/>
        <v>CHADWAS(Chadwas/Bidasar/Sujangarh)</v>
      </c>
      <c r="D35" s="4" t="s">
        <v>3036</v>
      </c>
      <c r="E35" s="4" t="s">
        <v>3119</v>
      </c>
      <c r="F35" s="5">
        <v>46147.018194444448</v>
      </c>
      <c r="G35" s="16" t="str">
        <f t="shared" si="2"/>
        <v>MasonaryStone (Gitti)</v>
      </c>
      <c r="H35" s="4" t="s">
        <v>5</v>
      </c>
      <c r="I35" s="18" t="str" cm="1">
        <f t="array" ref="I35">_xlfn.LET(_xlpm.text, D35,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5" s="18" t="str" cm="1">
        <f t="array" ref="J35">_xlfn.LET(_xlpm.text, E35,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" s="14">
        <v>46147.018530092595</v>
      </c>
      <c r="L35" s="14">
        <v>46147.643587962964</v>
      </c>
      <c r="N35" s="12"/>
    </row>
    <row r="36" spans="1:14" x14ac:dyDescent="0.25">
      <c r="A36" s="4" t="s">
        <v>3328</v>
      </c>
      <c r="B36" s="16" t="str">
        <f t="shared" si="0"/>
        <v>MAA DURGA STONE CRUSHING COMPANY</v>
      </c>
      <c r="C36" s="16" t="str">
        <f t="shared" si="1"/>
        <v>CHADWAS(Chadwas/Bidasar/Sujangarh)</v>
      </c>
      <c r="D36" s="4" t="s">
        <v>3036</v>
      </c>
      <c r="E36" s="4" t="s">
        <v>3119</v>
      </c>
      <c r="F36" s="5">
        <v>46147.025289351855</v>
      </c>
      <c r="G36" s="16" t="str">
        <f t="shared" si="2"/>
        <v>MasonaryStone (Gitti)</v>
      </c>
      <c r="H36" s="4" t="s">
        <v>6</v>
      </c>
      <c r="I36" s="18" t="str" cm="1">
        <f t="array" ref="I36">_xlfn.LET(_xlpm.text, D36,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6" s="18" t="str" cm="1">
        <f t="array" ref="J36">_xlfn.LET(_xlpm.text, E36,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" s="14">
        <v>46147.025625000002</v>
      </c>
      <c r="L36" s="14">
        <v>46147.650682870371</v>
      </c>
      <c r="N36" s="12"/>
    </row>
    <row r="37" spans="1:14" x14ac:dyDescent="0.25">
      <c r="A37" s="4" t="s">
        <v>3329</v>
      </c>
      <c r="B37" s="16" t="str">
        <f t="shared" si="0"/>
        <v>MAA DURGA STONE CRUSHING COMPANY</v>
      </c>
      <c r="C37" s="16" t="str">
        <f t="shared" si="1"/>
        <v>CHADWAS(Chadwas/Bidasar/Sujangarh)</v>
      </c>
      <c r="D37" s="4" t="s">
        <v>3036</v>
      </c>
      <c r="E37" s="4" t="s">
        <v>3119</v>
      </c>
      <c r="F37" s="5">
        <v>46147.067337962966</v>
      </c>
      <c r="G37" s="16" t="str">
        <f t="shared" si="2"/>
        <v>MasonaryStone (Gitti)</v>
      </c>
      <c r="H37" s="4" t="s">
        <v>7</v>
      </c>
      <c r="I37" s="18" t="str" cm="1">
        <f t="array" ref="I37">_xlfn.LET(_xlpm.text, D37,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" s="18" t="str" cm="1">
        <f t="array" ref="J37">_xlfn.LET(_xlpm.text, E37,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" s="14">
        <v>46147.067673611113</v>
      </c>
      <c r="L37" s="14">
        <v>46147.692152777781</v>
      </c>
      <c r="N37" s="12"/>
    </row>
    <row r="38" spans="1:14" x14ac:dyDescent="0.25">
      <c r="A38" s="4" t="s">
        <v>3330</v>
      </c>
      <c r="B38" s="16" t="str">
        <f t="shared" si="0"/>
        <v>MAA DURGA STONE CRUSHING COMPANY</v>
      </c>
      <c r="C38" s="16" t="str">
        <f t="shared" si="1"/>
        <v>CHADWAS(Chadwas/Bidasar/Sujangarh)</v>
      </c>
      <c r="D38" s="4" t="s">
        <v>3036</v>
      </c>
      <c r="E38" s="4" t="s">
        <v>3119</v>
      </c>
      <c r="F38" s="5">
        <v>46147.077233796299</v>
      </c>
      <c r="G38" s="16" t="str">
        <f t="shared" si="2"/>
        <v>MasonaryStone (Gitti)</v>
      </c>
      <c r="H38" s="4" t="s">
        <v>4</v>
      </c>
      <c r="I38" s="18" t="str" cm="1">
        <f t="array" ref="I38">_xlfn.LET(_xlpm.text, D38,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" s="18" t="str" cm="1">
        <f t="array" ref="J38">_xlfn.LET(_xlpm.text, E38,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" s="14">
        <v>46147.077569444446</v>
      </c>
      <c r="L38" s="14">
        <v>46147.702476851853</v>
      </c>
      <c r="N38" s="12"/>
    </row>
    <row r="39" spans="1:14" x14ac:dyDescent="0.25">
      <c r="A39" s="4" t="s">
        <v>3331</v>
      </c>
      <c r="B39" s="16" t="str">
        <f t="shared" si="0"/>
        <v>MAA DURGA STONE CRUSHING COMPANY</v>
      </c>
      <c r="C39" s="16" t="str">
        <f t="shared" si="1"/>
        <v>CHADWAS(Chadwas/Bidasar/Sujangarh)</v>
      </c>
      <c r="D39" s="4" t="s">
        <v>3036</v>
      </c>
      <c r="E39" s="4" t="s">
        <v>3119</v>
      </c>
      <c r="F39" s="5">
        <v>46147.097939814819</v>
      </c>
      <c r="G39" s="16" t="str">
        <f t="shared" si="2"/>
        <v>MasonaryStone (Gitti)</v>
      </c>
      <c r="H39" s="4" t="s">
        <v>5</v>
      </c>
      <c r="I39" s="18" t="str" cm="1">
        <f t="array" ref="I39">_xlfn.LET(_xlpm.text, D39,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9" s="18" t="str" cm="1">
        <f t="array" ref="J39">_xlfn.LET(_xlpm.text, E39,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" s="14">
        <v>46147.098275462966</v>
      </c>
      <c r="L39" s="14">
        <v>46147.723530092597</v>
      </c>
      <c r="N39" s="12"/>
    </row>
    <row r="40" spans="1:14" x14ac:dyDescent="0.25">
      <c r="A40" s="4" t="s">
        <v>3332</v>
      </c>
      <c r="B40" s="16" t="str">
        <f t="shared" si="0"/>
        <v>MAA DURGA STONE CRUSHING COMPANY</v>
      </c>
      <c r="C40" s="16" t="str">
        <f t="shared" si="1"/>
        <v>CHADWAS(Chadwas/Bidasar/Sujangarh)</v>
      </c>
      <c r="D40" s="4" t="s">
        <v>3036</v>
      </c>
      <c r="E40" s="4" t="s">
        <v>3119</v>
      </c>
      <c r="F40" s="5">
        <v>46147.108958333338</v>
      </c>
      <c r="G40" s="16" t="str">
        <f t="shared" si="2"/>
        <v>MasonaryStone (Gitti)</v>
      </c>
      <c r="H40" s="4" t="s">
        <v>6</v>
      </c>
      <c r="I40" s="18" t="str" cm="1">
        <f t="array" ref="I40">_xlfn.LET(_xlpm.text, D40,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0" s="18" t="str" cm="1">
        <f t="array" ref="J40">_xlfn.LET(_xlpm.text, E40,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" s="14">
        <v>46147.109293981484</v>
      </c>
      <c r="L40" s="14">
        <v>46147.733969907415</v>
      </c>
      <c r="N40" s="12"/>
    </row>
    <row r="41" spans="1:14" x14ac:dyDescent="0.25">
      <c r="A41" s="4" t="s">
        <v>3333</v>
      </c>
      <c r="B41" s="16" t="str">
        <f t="shared" si="0"/>
        <v>MAA DURGA STONE CRUSHING COMPANY</v>
      </c>
      <c r="C41" s="16" t="str">
        <f t="shared" si="1"/>
        <v>CHADWAS(Chadwas/Bidasar/Sujangarh)</v>
      </c>
      <c r="D41" s="4" t="s">
        <v>3036</v>
      </c>
      <c r="E41" s="4" t="s">
        <v>3119</v>
      </c>
      <c r="F41" s="5">
        <v>46147.115625000006</v>
      </c>
      <c r="G41" s="16" t="str">
        <f t="shared" si="2"/>
        <v>MasonaryStone (Gitti)</v>
      </c>
      <c r="H41" s="4" t="s">
        <v>5</v>
      </c>
      <c r="I41" s="18" t="str" cm="1">
        <f t="array" ref="I41">_xlfn.LET(_xlpm.text, D41,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1" s="18" t="str" cm="1">
        <f t="array" ref="J41">_xlfn.LET(_xlpm.text, E41,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" s="14">
        <v>46147.115960648152</v>
      </c>
      <c r="L41" s="14">
        <v>46147.740439814821</v>
      </c>
      <c r="N41" s="12"/>
    </row>
    <row r="42" spans="1:14" x14ac:dyDescent="0.25">
      <c r="A42" s="4" t="s">
        <v>3334</v>
      </c>
      <c r="B42" s="16" t="str">
        <f t="shared" si="0"/>
        <v>MAA DURGA STONE CRUSHING COMPANY</v>
      </c>
      <c r="C42" s="16" t="str">
        <f t="shared" si="1"/>
        <v>CHADWAS(Chadwas/Bidasar/Sujangarh)</v>
      </c>
      <c r="D42" s="4" t="s">
        <v>3036</v>
      </c>
      <c r="E42" s="4" t="s">
        <v>3119</v>
      </c>
      <c r="F42" s="5">
        <v>46147.157222222224</v>
      </c>
      <c r="G42" s="16" t="str">
        <f t="shared" si="2"/>
        <v>MasonaryStone (Gitti)</v>
      </c>
      <c r="H42" s="4" t="s">
        <v>6</v>
      </c>
      <c r="I42" s="18" t="str" cm="1">
        <f t="array" ref="I42">_xlfn.LET(_xlpm.text, D42,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2" s="18" t="str" cm="1">
        <f t="array" ref="J42">_xlfn.LET(_xlpm.text, E42,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" s="14">
        <v>46147.157557870371</v>
      </c>
      <c r="L42" s="14">
        <v>46147.782256944447</v>
      </c>
      <c r="N42" s="12"/>
    </row>
    <row r="43" spans="1:14" x14ac:dyDescent="0.25">
      <c r="A43" s="4" t="s">
        <v>3335</v>
      </c>
      <c r="B43" s="16" t="str">
        <f t="shared" si="0"/>
        <v>MAA DURGA STONE CRUSHING COMPANY</v>
      </c>
      <c r="C43" s="16" t="str">
        <f t="shared" si="1"/>
        <v>CHADWAS(Chadwas/Bidasar/Sujangarh)</v>
      </c>
      <c r="D43" s="4" t="s">
        <v>3036</v>
      </c>
      <c r="E43" s="4" t="s">
        <v>3119</v>
      </c>
      <c r="F43" s="5">
        <v>46147.168020833342</v>
      </c>
      <c r="G43" s="16" t="str">
        <f t="shared" si="2"/>
        <v>MasonaryStone (Gitti)</v>
      </c>
      <c r="H43" s="4" t="s">
        <v>7</v>
      </c>
      <c r="I43" s="18" t="str" cm="1">
        <f t="array" ref="I43">_xlfn.LET(_xlpm.text, D43,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3" s="18" t="str" cm="1">
        <f t="array" ref="J43">_xlfn.LET(_xlpm.text, E43,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" s="14">
        <v>46147.168356481488</v>
      </c>
      <c r="L43" s="14">
        <v>46147.792569444449</v>
      </c>
      <c r="N43" s="12"/>
    </row>
    <row r="44" spans="1:14" x14ac:dyDescent="0.25">
      <c r="A44" s="4" t="s">
        <v>3336</v>
      </c>
      <c r="B44" s="16" t="str">
        <f t="shared" si="0"/>
        <v>MAA DURGA STONE CRUSHING COMPANY</v>
      </c>
      <c r="C44" s="16" t="str">
        <f t="shared" si="1"/>
        <v>CHADWAS(Chadwas/Bidasar/Sujangarh)</v>
      </c>
      <c r="D44" s="4" t="s">
        <v>3036</v>
      </c>
      <c r="E44" s="4" t="s">
        <v>3119</v>
      </c>
      <c r="F44" s="5">
        <v>46147.188402777778</v>
      </c>
      <c r="G44" s="16" t="str">
        <f t="shared" si="2"/>
        <v>MasonaryStone (Gitti)</v>
      </c>
      <c r="H44" s="4" t="s">
        <v>8</v>
      </c>
      <c r="I44" s="18" t="str" cm="1">
        <f t="array" ref="I44">_xlfn.LET(_xlpm.text, D44,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4" s="18" t="str" cm="1">
        <f t="array" ref="J44">_xlfn.LET(_xlpm.text, E44,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" s="14">
        <v>46147.188738425924</v>
      </c>
      <c r="L44" s="14">
        <v>46147.813634259262</v>
      </c>
      <c r="N44" s="12"/>
    </row>
    <row r="45" spans="1:14" x14ac:dyDescent="0.25">
      <c r="A45" s="4" t="s">
        <v>3337</v>
      </c>
      <c r="B45" s="16" t="str">
        <f t="shared" si="0"/>
        <v>MAA DURGA STONE CRUSHING COMPANY</v>
      </c>
      <c r="C45" s="16" t="str">
        <f t="shared" si="1"/>
        <v>CHADWAS(Chadwas/Bidasar/Sujangarh)</v>
      </c>
      <c r="D45" s="4" t="s">
        <v>3036</v>
      </c>
      <c r="E45" s="4" t="s">
        <v>3119</v>
      </c>
      <c r="F45" s="5">
        <v>46147.198900462972</v>
      </c>
      <c r="G45" s="16" t="str">
        <f t="shared" si="2"/>
        <v>MasonaryStone (Gitti)</v>
      </c>
      <c r="H45" s="4" t="s">
        <v>4</v>
      </c>
      <c r="I45" s="18" t="str" cm="1">
        <f t="array" ref="I45">_xlfn.LET(_xlpm.text, D45,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5" s="18" t="str" cm="1">
        <f t="array" ref="J45">_xlfn.LET(_xlpm.text, E45,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" s="14">
        <v>46147.199236111119</v>
      </c>
      <c r="L45" s="14">
        <v>46147.823935185195</v>
      </c>
      <c r="N45" s="12"/>
    </row>
    <row r="46" spans="1:14" x14ac:dyDescent="0.25">
      <c r="A46" s="4" t="s">
        <v>3338</v>
      </c>
      <c r="B46" s="16" t="str">
        <f t="shared" si="0"/>
        <v>MAA DURGA STONE CRUSHING COMPANY</v>
      </c>
      <c r="C46" s="16" t="str">
        <f t="shared" si="1"/>
        <v>CHADWAS(Chadwas/Bidasar/Sujangarh)</v>
      </c>
      <c r="D46" s="4" t="s">
        <v>3036</v>
      </c>
      <c r="E46" s="4" t="s">
        <v>3119</v>
      </c>
      <c r="F46" s="5">
        <v>46147.206192129634</v>
      </c>
      <c r="G46" s="16" t="str">
        <f t="shared" si="2"/>
        <v>MasonaryStone (Gitti)</v>
      </c>
      <c r="H46" s="4" t="s">
        <v>5</v>
      </c>
      <c r="I46" s="18" t="str" cm="1">
        <f t="array" ref="I46">_xlfn.LET(_xlpm.text, D46,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6" s="18" t="str" cm="1">
        <f t="array" ref="J46">_xlfn.LET(_xlpm.text, E46,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" s="14">
        <v>46147.20652777778</v>
      </c>
      <c r="L46" s="14">
        <v>46147.831006944441</v>
      </c>
      <c r="N46" s="12"/>
    </row>
    <row r="47" spans="1:14" x14ac:dyDescent="0.25">
      <c r="A47" s="4" t="s">
        <v>3339</v>
      </c>
      <c r="B47" s="16" t="str">
        <f t="shared" si="0"/>
        <v>MAA DURGA STONE CRUSHING COMPANY</v>
      </c>
      <c r="C47" s="16" t="str">
        <f t="shared" si="1"/>
        <v>CHADWAS(Chadwas/Bidasar/Sujangarh)</v>
      </c>
      <c r="D47" s="4" t="s">
        <v>3036</v>
      </c>
      <c r="E47" s="4" t="s">
        <v>3119</v>
      </c>
      <c r="F47" s="5">
        <v>46147.247766203713</v>
      </c>
      <c r="G47" s="16" t="str">
        <f t="shared" si="2"/>
        <v>MasonaryStone (Gitti)</v>
      </c>
      <c r="H47" s="4" t="s">
        <v>6</v>
      </c>
      <c r="I47" s="18" t="str" cm="1">
        <f t="array" ref="I47">_xlfn.LET(_xlpm.text, D47,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7" s="18" t="str" cm="1">
        <f t="array" ref="J47">_xlfn.LET(_xlpm.text, E47,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" s="14">
        <v>46147.248101851859</v>
      </c>
      <c r="L47" s="14">
        <v>46147.872395833336</v>
      </c>
      <c r="N47" s="12"/>
    </row>
    <row r="48" spans="1:14" x14ac:dyDescent="0.25">
      <c r="A48" s="4" t="s">
        <v>3340</v>
      </c>
      <c r="B48" s="16" t="str">
        <f t="shared" si="0"/>
        <v>MAA DURGA STONE CRUSHING COMPANY</v>
      </c>
      <c r="C48" s="16" t="str">
        <f t="shared" si="1"/>
        <v>CHADWAS(Chadwas/Bidasar/Sujangarh)</v>
      </c>
      <c r="D48" s="4" t="s">
        <v>3036</v>
      </c>
      <c r="E48" s="4" t="s">
        <v>3119</v>
      </c>
      <c r="F48" s="5">
        <v>46147.257743055561</v>
      </c>
      <c r="G48" s="16" t="str">
        <f t="shared" si="2"/>
        <v>MasonaryStone (Gitti)</v>
      </c>
      <c r="H48" s="4" t="s">
        <v>5</v>
      </c>
      <c r="I48" s="18" t="str" cm="1">
        <f t="array" ref="I48">_xlfn.LET(_xlpm.text, D48,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8" s="18" t="str" cm="1">
        <f t="array" ref="J48">_xlfn.LET(_xlpm.text, E48,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" s="14">
        <v>46147.258078703708</v>
      </c>
      <c r="L48" s="14">
        <v>46147.883113425931</v>
      </c>
      <c r="N48" s="12"/>
    </row>
    <row r="49" spans="1:14" x14ac:dyDescent="0.25">
      <c r="A49" s="4" t="s">
        <v>3341</v>
      </c>
      <c r="B49" s="16" t="str">
        <f t="shared" si="0"/>
        <v>MAA DURGA STONE CRUSHING COMPANY</v>
      </c>
      <c r="C49" s="16" t="str">
        <f t="shared" si="1"/>
        <v>CHADWAS(Chadwas/Bidasar/Sujangarh)</v>
      </c>
      <c r="D49" s="4" t="s">
        <v>3036</v>
      </c>
      <c r="E49" s="4" t="s">
        <v>3119</v>
      </c>
      <c r="F49" s="5">
        <v>46147.278912037043</v>
      </c>
      <c r="G49" s="16" t="str">
        <f t="shared" si="2"/>
        <v>MasonaryStone (Gitti)</v>
      </c>
      <c r="H49" s="4" t="s">
        <v>6</v>
      </c>
      <c r="I49" s="18" t="str" cm="1">
        <f t="array" ref="I49">_xlfn.LET(_xlpm.text, D49,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49" s="18" t="str" cm="1">
        <f t="array" ref="J49">_xlfn.LET(_xlpm.text, E49,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" s="14">
        <v>46147.27924768519</v>
      </c>
      <c r="L49" s="14">
        <v>46147.90356481482</v>
      </c>
      <c r="N49" s="12"/>
    </row>
    <row r="50" spans="1:14" x14ac:dyDescent="0.25">
      <c r="A50" s="4" t="s">
        <v>3342</v>
      </c>
      <c r="B50" s="16" t="str">
        <f t="shared" si="0"/>
        <v>MAA DURGA STONE CRUSHING COMPANY</v>
      </c>
      <c r="C50" s="16" t="str">
        <f t="shared" si="1"/>
        <v>CHADWAS(Chadwas/Bidasar/Sujangarh)</v>
      </c>
      <c r="D50" s="4" t="s">
        <v>3036</v>
      </c>
      <c r="E50" s="4" t="s">
        <v>3119</v>
      </c>
      <c r="F50" s="5">
        <v>46147.289236111115</v>
      </c>
      <c r="G50" s="16" t="str">
        <f t="shared" si="2"/>
        <v>MasonaryStone (Gitti)</v>
      </c>
      <c r="H50" s="4" t="s">
        <v>7</v>
      </c>
      <c r="I50" s="18" t="str" cm="1">
        <f t="array" ref="I50">_xlfn.LET(_xlpm.text, D50,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0" s="18" t="str" cm="1">
        <f t="array" ref="J50">_xlfn.LET(_xlpm.text, E50,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" s="14">
        <v>46147.289571759262</v>
      </c>
      <c r="L50" s="14">
        <v>46147.914016203707</v>
      </c>
      <c r="N50" s="12"/>
    </row>
    <row r="51" spans="1:14" x14ac:dyDescent="0.25">
      <c r="A51" s="4" t="s">
        <v>3343</v>
      </c>
      <c r="B51" s="16" t="str">
        <f t="shared" si="0"/>
        <v>MAA DURGA STONE CRUSHING COMPANY</v>
      </c>
      <c r="C51" s="16" t="str">
        <f t="shared" si="1"/>
        <v>CHADWAS(Chadwas/Bidasar/Sujangarh)</v>
      </c>
      <c r="D51" s="4" t="s">
        <v>3036</v>
      </c>
      <c r="E51" s="4" t="s">
        <v>3119</v>
      </c>
      <c r="F51" s="5">
        <v>46147.296261574076</v>
      </c>
      <c r="G51" s="16" t="str">
        <f t="shared" si="2"/>
        <v>MasonaryStone (Gitti)</v>
      </c>
      <c r="H51" s="4" t="s">
        <v>4</v>
      </c>
      <c r="I51" s="18" t="str" cm="1">
        <f t="array" ref="I51">_xlfn.LET(_xlpm.text, D51,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1" s="18" t="str" cm="1">
        <f t="array" ref="J51">_xlfn.LET(_xlpm.text, E51,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" s="14">
        <v>46147.296597222223</v>
      </c>
      <c r="L51" s="14">
        <v>46147.921469907415</v>
      </c>
      <c r="N51" s="12"/>
    </row>
    <row r="52" spans="1:14" x14ac:dyDescent="0.25">
      <c r="A52" s="4" t="s">
        <v>3344</v>
      </c>
      <c r="B52" s="16" t="str">
        <f t="shared" si="0"/>
        <v>MAA DURGA STONE CRUSHING COMPANY</v>
      </c>
      <c r="C52" s="16" t="str">
        <f t="shared" si="1"/>
        <v>CHADWAS(Chadwas/Bidasar/Sujangarh)</v>
      </c>
      <c r="D52" s="4" t="s">
        <v>3036</v>
      </c>
      <c r="E52" s="4" t="s">
        <v>3119</v>
      </c>
      <c r="F52" s="5">
        <v>46147.337870370371</v>
      </c>
      <c r="G52" s="16" t="str">
        <f t="shared" si="2"/>
        <v>MasonaryStone (Gitti)</v>
      </c>
      <c r="H52" s="4" t="s">
        <v>5</v>
      </c>
      <c r="I52" s="18" t="str" cm="1">
        <f t="array" ref="I52">_xlfn.LET(_xlpm.text, D52,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2" s="18" t="str" cm="1">
        <f t="array" ref="J52">_xlfn.LET(_xlpm.text, E52,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" s="14">
        <v>46147.338206018518</v>
      </c>
      <c r="L52" s="14">
        <v>46147.962569444448</v>
      </c>
      <c r="N52" s="12"/>
    </row>
    <row r="53" spans="1:14" x14ac:dyDescent="0.25">
      <c r="A53" s="4" t="s">
        <v>3345</v>
      </c>
      <c r="B53" s="16" t="str">
        <f t="shared" si="0"/>
        <v>MAA DURGA STONE CRUSHING COMPANY</v>
      </c>
      <c r="C53" s="16" t="str">
        <f t="shared" si="1"/>
        <v>CHADWAS(Chadwas/Bidasar/Sujangarh)</v>
      </c>
      <c r="D53" s="4" t="s">
        <v>3036</v>
      </c>
      <c r="E53" s="4" t="s">
        <v>3119</v>
      </c>
      <c r="F53" s="5">
        <v>46147.348599537043</v>
      </c>
      <c r="G53" s="16" t="str">
        <f t="shared" si="2"/>
        <v>MasonaryStone (Gitti)</v>
      </c>
      <c r="H53" s="4" t="s">
        <v>6</v>
      </c>
      <c r="I53" s="18" t="str" cm="1">
        <f t="array" ref="I53">_xlfn.LET(_xlpm.text, D53,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3" s="18" t="str" cm="1">
        <f t="array" ref="J53">_xlfn.LET(_xlpm.text, E53,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" s="14">
        <v>46147.348935185189</v>
      </c>
      <c r="L53" s="14">
        <v>46147.973298611119</v>
      </c>
      <c r="N53" s="12"/>
    </row>
    <row r="54" spans="1:14" x14ac:dyDescent="0.25">
      <c r="A54" s="4" t="s">
        <v>3346</v>
      </c>
      <c r="B54" s="16" t="str">
        <f t="shared" si="0"/>
        <v>MAA DURGA STONE CRUSHING COMPANY</v>
      </c>
      <c r="C54" s="16" t="str">
        <f t="shared" si="1"/>
        <v>CHADWAS(Chadwas/Bidasar/Sujangarh)</v>
      </c>
      <c r="D54" s="4" t="s">
        <v>3036</v>
      </c>
      <c r="E54" s="4" t="s">
        <v>3119</v>
      </c>
      <c r="F54" s="5">
        <v>46147.369155092594</v>
      </c>
      <c r="G54" s="16" t="str">
        <f t="shared" si="2"/>
        <v>MasonaryStone (Gitti)</v>
      </c>
      <c r="H54" s="4" t="s">
        <v>5</v>
      </c>
      <c r="I54" s="18" t="str" cm="1">
        <f t="array" ref="I54">_xlfn.LET(_xlpm.text, D54,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4" s="18" t="str" cm="1">
        <f t="array" ref="J54">_xlfn.LET(_xlpm.text, E54,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" s="14">
        <v>46147.369490740741</v>
      </c>
      <c r="L54" s="14">
        <v>46147.994386574079</v>
      </c>
      <c r="N54" s="12"/>
    </row>
    <row r="55" spans="1:14" x14ac:dyDescent="0.25">
      <c r="A55" s="4" t="s">
        <v>3347</v>
      </c>
      <c r="B55" s="16" t="str">
        <f t="shared" si="0"/>
        <v>MAA DURGA STONE CRUSHING COMPANY</v>
      </c>
      <c r="C55" s="16" t="str">
        <f t="shared" si="1"/>
        <v>CHADWAS(Chadwas/Bidasar/Sujangarh)</v>
      </c>
      <c r="D55" s="4" t="s">
        <v>3036</v>
      </c>
      <c r="E55" s="4" t="s">
        <v>3119</v>
      </c>
      <c r="F55" s="5">
        <v>46147.37917824075</v>
      </c>
      <c r="G55" s="16" t="str">
        <f t="shared" si="2"/>
        <v>MasonaryStone (Gitti)</v>
      </c>
      <c r="H55" s="4" t="s">
        <v>6</v>
      </c>
      <c r="I55" s="18" t="str" cm="1">
        <f t="array" ref="I55">_xlfn.LET(_xlpm.text, D55,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5" s="18" t="str" cm="1">
        <f t="array" ref="J55">_xlfn.LET(_xlpm.text, E55,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" s="14">
        <v>46147.379513888896</v>
      </c>
      <c r="L55" s="14">
        <v>46148.004571759266</v>
      </c>
      <c r="N55" s="12"/>
    </row>
    <row r="56" spans="1:14" x14ac:dyDescent="0.25">
      <c r="A56" s="4" t="s">
        <v>3348</v>
      </c>
      <c r="B56" s="16" t="str">
        <f t="shared" si="0"/>
        <v>MAA DURGA STONE CRUSHING COMPANY</v>
      </c>
      <c r="C56" s="16" t="str">
        <f t="shared" si="1"/>
        <v>CHADWAS(Chadwas/Bidasar/Sujangarh)</v>
      </c>
      <c r="D56" s="4" t="s">
        <v>3036</v>
      </c>
      <c r="E56" s="4" t="s">
        <v>3119</v>
      </c>
      <c r="F56" s="5">
        <v>46148.38663194445</v>
      </c>
      <c r="G56" s="16" t="str">
        <f t="shared" si="2"/>
        <v>MasonaryStone (Gitti)</v>
      </c>
      <c r="H56" s="4" t="s">
        <v>4</v>
      </c>
      <c r="I56" s="18" t="str" cm="1">
        <f t="array" ref="I56">_xlfn.LET(_xlpm.text, D56,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6" s="18" t="str" cm="1">
        <f t="array" ref="J56">_xlfn.LET(_xlpm.text, E56,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" s="14">
        <v>46148.386967592596</v>
      </c>
      <c r="L56" s="14">
        <v>46149.011550925934</v>
      </c>
      <c r="N56" s="12"/>
    </row>
    <row r="57" spans="1:14" x14ac:dyDescent="0.25">
      <c r="A57" s="4" t="s">
        <v>3349</v>
      </c>
      <c r="B57" s="16" t="str">
        <f t="shared" si="0"/>
        <v>MAA DURGA STONE CRUSHING COMPANY</v>
      </c>
      <c r="C57" s="16" t="str">
        <f t="shared" si="1"/>
        <v>CHADWAS(Chadwas/Bidasar/Sujangarh)</v>
      </c>
      <c r="D57" s="4" t="s">
        <v>3036</v>
      </c>
      <c r="E57" s="4" t="s">
        <v>3119</v>
      </c>
      <c r="F57" s="5">
        <v>46148.428321759267</v>
      </c>
      <c r="G57" s="16" t="str">
        <f t="shared" si="2"/>
        <v>MasonaryStone (Gitti)</v>
      </c>
      <c r="H57" s="4" t="s">
        <v>5</v>
      </c>
      <c r="I57" s="18" t="str" cm="1">
        <f t="array" ref="I57">_xlfn.LET(_xlpm.text, D57,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7" s="18" t="str" cm="1">
        <f t="array" ref="J57">_xlfn.LET(_xlpm.text, E57,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" s="14">
        <v>46148.428657407414</v>
      </c>
      <c r="L57" s="14">
        <v>46149.053287037044</v>
      </c>
      <c r="N57" s="12"/>
    </row>
    <row r="58" spans="1:14" x14ac:dyDescent="0.25">
      <c r="A58" s="4" t="s">
        <v>3350</v>
      </c>
      <c r="B58" s="16" t="str">
        <f t="shared" si="0"/>
        <v>MAA DURGA STONE CRUSHING COMPANY</v>
      </c>
      <c r="C58" s="16" t="str">
        <f t="shared" si="1"/>
        <v>CHADWAS(Chadwas/Bidasar/Sujangarh)</v>
      </c>
      <c r="D58" s="4" t="s">
        <v>3036</v>
      </c>
      <c r="E58" s="4" t="s">
        <v>3119</v>
      </c>
      <c r="F58" s="5">
        <v>46148.438518518524</v>
      </c>
      <c r="G58" s="16" t="str">
        <f t="shared" si="2"/>
        <v>MasonaryStone (Gitti)</v>
      </c>
      <c r="H58" s="4" t="s">
        <v>6</v>
      </c>
      <c r="I58" s="18" t="str" cm="1">
        <f t="array" ref="I58">_xlfn.LET(_xlpm.text, D58,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8" s="18" t="str" cm="1">
        <f t="array" ref="J58">_xlfn.LET(_xlpm.text, E58,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" s="14">
        <v>46148.43885416667</v>
      </c>
      <c r="L58" s="14">
        <v>46149.063784722224</v>
      </c>
      <c r="N58" s="12"/>
    </row>
    <row r="59" spans="1:14" x14ac:dyDescent="0.25">
      <c r="A59" s="4" t="s">
        <v>3351</v>
      </c>
      <c r="B59" s="16" t="str">
        <f t="shared" si="0"/>
        <v>MAA DURGA STONE CRUSHING COMPANY</v>
      </c>
      <c r="C59" s="16" t="str">
        <f t="shared" si="1"/>
        <v>CHADWAS(Chadwas/Bidasar/Sujangarh)</v>
      </c>
      <c r="D59" s="4" t="s">
        <v>3036</v>
      </c>
      <c r="E59" s="4" t="s">
        <v>3119</v>
      </c>
      <c r="F59" s="5">
        <v>46148.459236111114</v>
      </c>
      <c r="G59" s="16" t="str">
        <f t="shared" si="2"/>
        <v>MasonaryStone (Gitti)</v>
      </c>
      <c r="H59" s="4" t="s">
        <v>5</v>
      </c>
      <c r="I59" s="18" t="str" cm="1">
        <f t="array" ref="I59">_xlfn.LET(_xlpm.text, D59,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59" s="18" t="str" cm="1">
        <f t="array" ref="J59">_xlfn.LET(_xlpm.text, E59,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" s="14">
        <v>46148.45957175926</v>
      </c>
      <c r="L59" s="14">
        <v>46149.084537037044</v>
      </c>
      <c r="N59" s="12"/>
    </row>
    <row r="60" spans="1:14" x14ac:dyDescent="0.25">
      <c r="A60" s="4" t="s">
        <v>3352</v>
      </c>
      <c r="B60" s="16" t="str">
        <f t="shared" si="0"/>
        <v>MAA DURGA STONE CRUSHING COMPANY</v>
      </c>
      <c r="C60" s="16" t="str">
        <f t="shared" si="1"/>
        <v>CHADWAS(Chadwas/Bidasar/Sujangarh)</v>
      </c>
      <c r="D60" s="4" t="s">
        <v>3036</v>
      </c>
      <c r="E60" s="4" t="s">
        <v>3119</v>
      </c>
      <c r="F60" s="5">
        <v>46148.469525462962</v>
      </c>
      <c r="G60" s="16" t="str">
        <f t="shared" si="2"/>
        <v>MasonaryStone (Gitti)</v>
      </c>
      <c r="H60" s="4" t="s">
        <v>6</v>
      </c>
      <c r="I60" s="18" t="str" cm="1">
        <f t="array" ref="I60">_xlfn.LET(_xlpm.text, D60,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0" s="18" t="str" cm="1">
        <f t="array" ref="J60">_xlfn.LET(_xlpm.text, E60,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" s="14">
        <v>46148.469861111109</v>
      </c>
      <c r="L60" s="14">
        <v>46149.094814814816</v>
      </c>
      <c r="N60" s="12"/>
    </row>
    <row r="61" spans="1:14" x14ac:dyDescent="0.25">
      <c r="A61" s="4" t="s">
        <v>3353</v>
      </c>
      <c r="B61" s="16" t="str">
        <f t="shared" si="0"/>
        <v>MAA DURGA STONE CRUSHING COMPANY</v>
      </c>
      <c r="C61" s="16" t="str">
        <f t="shared" si="1"/>
        <v>CHADWAS(Chadwas/Bidasar/Sujangarh)</v>
      </c>
      <c r="D61" s="4" t="s">
        <v>3036</v>
      </c>
      <c r="E61" s="4" t="s">
        <v>3119</v>
      </c>
      <c r="F61" s="5">
        <v>46148.476701388892</v>
      </c>
      <c r="G61" s="16" t="str">
        <f t="shared" si="2"/>
        <v>MasonaryStone (Gitti)</v>
      </c>
      <c r="H61" s="4" t="s">
        <v>7</v>
      </c>
      <c r="I61" s="18" t="str" cm="1">
        <f t="array" ref="I61">_xlfn.LET(_xlpm.text, D61,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1" s="18" t="str" cm="1">
        <f t="array" ref="J61">_xlfn.LET(_xlpm.text, E61,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" s="14">
        <v>46148.477037037039</v>
      </c>
      <c r="L61" s="14">
        <v>46149.101898148154</v>
      </c>
      <c r="N61" s="12"/>
    </row>
    <row r="62" spans="1:14" x14ac:dyDescent="0.25">
      <c r="A62" s="4" t="s">
        <v>3354</v>
      </c>
      <c r="B62" s="16" t="str">
        <f t="shared" si="0"/>
        <v>MAA DURGA STONE CRUSHING COMPANY</v>
      </c>
      <c r="C62" s="16" t="str">
        <f t="shared" si="1"/>
        <v>CHADWAS(Chadwas/Bidasar/Sujangarh)</v>
      </c>
      <c r="D62" s="4" t="s">
        <v>3036</v>
      </c>
      <c r="E62" s="4" t="s">
        <v>3119</v>
      </c>
      <c r="F62" s="5">
        <v>46148.518483796295</v>
      </c>
      <c r="G62" s="16" t="str">
        <f t="shared" si="2"/>
        <v>MasonaryStone (Gitti)</v>
      </c>
      <c r="H62" s="4" t="s">
        <v>4</v>
      </c>
      <c r="I62" s="18" t="str" cm="1">
        <f t="array" ref="I62">_xlfn.LET(_xlpm.text, D62,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2" s="18" t="str" cm="1">
        <f t="array" ref="J62">_xlfn.LET(_xlpm.text, E62,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" s="14">
        <v>46148.518819444442</v>
      </c>
      <c r="L62" s="14">
        <v>46149.143414351849</v>
      </c>
      <c r="N62" s="12"/>
    </row>
    <row r="63" spans="1:14" x14ac:dyDescent="0.25">
      <c r="A63" s="4" t="s">
        <v>3355</v>
      </c>
      <c r="B63" s="16" t="str">
        <f t="shared" si="0"/>
        <v>MAA DURGA STONE CRUSHING COMPANY</v>
      </c>
      <c r="C63" s="16" t="str">
        <f t="shared" si="1"/>
        <v>CHADWAS(Chadwas/Bidasar/Sujangarh)</v>
      </c>
      <c r="D63" s="4" t="s">
        <v>3036</v>
      </c>
      <c r="E63" s="4" t="s">
        <v>3119</v>
      </c>
      <c r="F63" s="5">
        <v>46148.529155092598</v>
      </c>
      <c r="G63" s="16" t="str">
        <f t="shared" si="2"/>
        <v>MasonaryStone (Gitti)</v>
      </c>
      <c r="H63" s="4" t="s">
        <v>5</v>
      </c>
      <c r="I63" s="18" t="str" cm="1">
        <f t="array" ref="I63">_xlfn.LET(_xlpm.text, D63,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3" s="18" t="str" cm="1">
        <f t="array" ref="J63">_xlfn.LET(_xlpm.text, E63,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" s="14">
        <v>46148.529490740744</v>
      </c>
      <c r="L63" s="14">
        <v>46149.153541666674</v>
      </c>
      <c r="N63" s="12"/>
    </row>
    <row r="64" spans="1:14" x14ac:dyDescent="0.25">
      <c r="A64" s="4" t="s">
        <v>3356</v>
      </c>
      <c r="B64" s="16" t="str">
        <f t="shared" si="0"/>
        <v>MAA DURGA STONE CRUSHING COMPANY</v>
      </c>
      <c r="C64" s="16" t="str">
        <f t="shared" si="1"/>
        <v>CHADWAS(Chadwas/Bidasar/Sujangarh)</v>
      </c>
      <c r="D64" s="4" t="s">
        <v>3036</v>
      </c>
      <c r="E64" s="4" t="s">
        <v>3119</v>
      </c>
      <c r="F64" s="5">
        <v>46148.549571759257</v>
      </c>
      <c r="G64" s="16" t="str">
        <f t="shared" si="2"/>
        <v>MasonaryStone (Gitti)</v>
      </c>
      <c r="H64" s="4" t="s">
        <v>6</v>
      </c>
      <c r="I64" s="18" t="str" cm="1">
        <f t="array" ref="I64">_xlfn.LET(_xlpm.text, D64,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4" s="18" t="str" cm="1">
        <f t="array" ref="J64">_xlfn.LET(_xlpm.text, E64,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" s="14">
        <v>46148.549907407403</v>
      </c>
      <c r="L64" s="14">
        <v>46149.174826388888</v>
      </c>
      <c r="N64" s="12"/>
    </row>
    <row r="65" spans="1:14" x14ac:dyDescent="0.25">
      <c r="A65" s="4" t="s">
        <v>3357</v>
      </c>
      <c r="B65" s="16" t="str">
        <f t="shared" si="0"/>
        <v>MAA DURGA STONE CRUSHING COMPANY</v>
      </c>
      <c r="C65" s="16" t="str">
        <f t="shared" si="1"/>
        <v>CHADWAS(Chadwas/Bidasar/Sujangarh)</v>
      </c>
      <c r="D65" s="4" t="s">
        <v>3036</v>
      </c>
      <c r="E65" s="4" t="s">
        <v>3119</v>
      </c>
      <c r="F65" s="5">
        <v>46148.559849537043</v>
      </c>
      <c r="G65" s="16" t="str">
        <f t="shared" si="2"/>
        <v>MasonaryStone (Gitti)</v>
      </c>
      <c r="H65" s="4" t="s">
        <v>5</v>
      </c>
      <c r="I65" s="18" t="str" cm="1">
        <f t="array" ref="I65">_xlfn.LET(_xlpm.text, D65,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5" s="18" t="str" cm="1">
        <f t="array" ref="J65">_xlfn.LET(_xlpm.text, E65,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" s="14">
        <v>46148.56018518519</v>
      </c>
      <c r="L65" s="14">
        <v>46149.184791666674</v>
      </c>
      <c r="N65" s="12"/>
    </row>
    <row r="66" spans="1:14" x14ac:dyDescent="0.25">
      <c r="A66" s="4" t="s">
        <v>3358</v>
      </c>
      <c r="B66" s="16" t="str">
        <f t="shared" ref="B66:B129" si="3">VLOOKUP(LEFT($A66,4)&amp;"*",$O$3:$R$17, 2, FALSE)</f>
        <v>MAA DURGA STONE CRUSHING COMPANY</v>
      </c>
      <c r="C66" s="16" t="str">
        <f t="shared" ref="C66:C129" si="4">VLOOKUP(LEFT($A66,4)&amp;"*",$O$3:$R$17, 3, FALSE)</f>
        <v>CHADWAS(Chadwas/Bidasar/Sujangarh)</v>
      </c>
      <c r="D66" s="4" t="s">
        <v>3036</v>
      </c>
      <c r="E66" s="4" t="s">
        <v>3119</v>
      </c>
      <c r="F66" s="5">
        <v>46148.567326388897</v>
      </c>
      <c r="G66" s="16" t="str">
        <f t="shared" ref="G66:G129" si="5">VLOOKUP(LEFT($A66,4)&amp;"*",$O$3:$R$17, 4, FALSE)</f>
        <v>MasonaryStone (Gitti)</v>
      </c>
      <c r="H66" s="4" t="s">
        <v>6</v>
      </c>
      <c r="I66" s="18" t="str" cm="1">
        <f t="array" ref="I66">_xlfn.LET(_xlpm.text, D66,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6" s="18" t="str" cm="1">
        <f t="array" ref="J66">_xlfn.LET(_xlpm.text, E66,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" s="14">
        <v>46148.567662037043</v>
      </c>
      <c r="L66" s="14">
        <v>46149.192048611119</v>
      </c>
      <c r="N66" s="12"/>
    </row>
    <row r="67" spans="1:14" x14ac:dyDescent="0.25">
      <c r="A67" s="4" t="s">
        <v>3359</v>
      </c>
      <c r="B67" s="16" t="str">
        <f t="shared" si="3"/>
        <v>MAA DURGA STONE CRUSHING COMPANY</v>
      </c>
      <c r="C67" s="16" t="str">
        <f t="shared" si="4"/>
        <v>CHADWAS(Chadwas/Bidasar/Sujangarh)</v>
      </c>
      <c r="D67" s="4" t="s">
        <v>3036</v>
      </c>
      <c r="E67" s="4" t="s">
        <v>3119</v>
      </c>
      <c r="F67" s="5">
        <v>46148.608726851853</v>
      </c>
      <c r="G67" s="16" t="str">
        <f t="shared" si="5"/>
        <v>MasonaryStone (Gitti)</v>
      </c>
      <c r="H67" s="4" t="s">
        <v>7</v>
      </c>
      <c r="I67" s="18" t="str" cm="1">
        <f t="array" ref="I67">_xlfn.LET(_xlpm.text, D67,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7" s="18" t="str" cm="1">
        <f t="array" ref="J67">_xlfn.LET(_xlpm.text, E67,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" s="14">
        <v>46148.6090625</v>
      </c>
      <c r="L67" s="14">
        <v>46149.233634259261</v>
      </c>
      <c r="N67" s="12"/>
    </row>
    <row r="68" spans="1:14" x14ac:dyDescent="0.25">
      <c r="A68" s="4" t="s">
        <v>3360</v>
      </c>
      <c r="B68" s="16" t="str">
        <f t="shared" si="3"/>
        <v>MAA DURGA STONE CRUSHING COMPANY</v>
      </c>
      <c r="C68" s="16" t="str">
        <f t="shared" si="4"/>
        <v>CHADWAS(Chadwas/Bidasar/Sujangarh)</v>
      </c>
      <c r="D68" s="4" t="s">
        <v>3036</v>
      </c>
      <c r="E68" s="4" t="s">
        <v>3119</v>
      </c>
      <c r="F68" s="5">
        <v>46148.619317129633</v>
      </c>
      <c r="G68" s="16" t="str">
        <f t="shared" si="5"/>
        <v>MasonaryStone (Gitti)</v>
      </c>
      <c r="H68" s="4" t="s">
        <v>8</v>
      </c>
      <c r="I68" s="18" t="str" cm="1">
        <f t="array" ref="I68">_xlfn.LET(_xlpm.text, D68,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8" s="18" t="str" cm="1">
        <f t="array" ref="J68">_xlfn.LET(_xlpm.text, E68,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" s="14">
        <v>46148.619652777779</v>
      </c>
      <c r="L68" s="14">
        <v>46149.243761574078</v>
      </c>
      <c r="N68" s="12"/>
    </row>
    <row r="69" spans="1:14" x14ac:dyDescent="0.25">
      <c r="A69" s="4" t="s">
        <v>3361</v>
      </c>
      <c r="B69" s="16" t="str">
        <f t="shared" si="3"/>
        <v>MAA DURGA STONE CRUSHING COMPANY</v>
      </c>
      <c r="C69" s="16" t="str">
        <f t="shared" si="4"/>
        <v>CHADWAS(Chadwas/Bidasar/Sujangarh)</v>
      </c>
      <c r="D69" s="4" t="s">
        <v>3036</v>
      </c>
      <c r="E69" s="4" t="s">
        <v>3119</v>
      </c>
      <c r="F69" s="5">
        <v>46148.639768518522</v>
      </c>
      <c r="G69" s="16" t="str">
        <f t="shared" si="5"/>
        <v>MasonaryStone (Gitti)</v>
      </c>
      <c r="H69" s="4" t="s">
        <v>4</v>
      </c>
      <c r="I69" s="18" t="str" cm="1">
        <f t="array" ref="I69">_xlfn.LET(_xlpm.text, D69,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69" s="18" t="str" cm="1">
        <f t="array" ref="J69">_xlfn.LET(_xlpm.text, E69,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" s="14">
        <v>46148.640104166669</v>
      </c>
      <c r="L69" s="14">
        <v>46149.264583333337</v>
      </c>
      <c r="N69" s="12"/>
    </row>
    <row r="70" spans="1:14" x14ac:dyDescent="0.25">
      <c r="A70" s="4" t="s">
        <v>3362</v>
      </c>
      <c r="B70" s="16" t="str">
        <f t="shared" si="3"/>
        <v>MAA DURGA STONE CRUSHING COMPANY</v>
      </c>
      <c r="C70" s="16" t="str">
        <f t="shared" si="4"/>
        <v>CHADWAS(Chadwas/Bidasar/Sujangarh)</v>
      </c>
      <c r="D70" s="4" t="s">
        <v>3036</v>
      </c>
      <c r="E70" s="4" t="s">
        <v>3119</v>
      </c>
      <c r="F70" s="5">
        <v>46148.650069444448</v>
      </c>
      <c r="G70" s="16" t="str">
        <f t="shared" si="5"/>
        <v>MasonaryStone (Gitti)</v>
      </c>
      <c r="H70" s="4" t="s">
        <v>5</v>
      </c>
      <c r="I70" s="18" t="str" cm="1">
        <f t="array" ref="I70">_xlfn.LET(_xlpm.text, D70,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0" s="18" t="str" cm="1">
        <f t="array" ref="J70">_xlfn.LET(_xlpm.text, E70,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" s="14">
        <v>46148.650405092594</v>
      </c>
      <c r="L70" s="14">
        <v>46149.275196759263</v>
      </c>
      <c r="N70" s="12"/>
    </row>
    <row r="71" spans="1:14" x14ac:dyDescent="0.25">
      <c r="A71" s="4" t="s">
        <v>3363</v>
      </c>
      <c r="B71" s="16" t="str">
        <f t="shared" si="3"/>
        <v>MAA DURGA STONE CRUSHING COMPANY</v>
      </c>
      <c r="C71" s="16" t="str">
        <f t="shared" si="4"/>
        <v>CHADWAS(Chadwas/Bidasar/Sujangarh)</v>
      </c>
      <c r="D71" s="4" t="s">
        <v>3036</v>
      </c>
      <c r="E71" s="4" t="s">
        <v>3119</v>
      </c>
      <c r="F71" s="5">
        <v>46148.657083333339</v>
      </c>
      <c r="G71" s="16" t="str">
        <f t="shared" si="5"/>
        <v>MasonaryStone (Gitti)</v>
      </c>
      <c r="H71" s="4" t="s">
        <v>6</v>
      </c>
      <c r="I71" s="18" t="str" cm="1">
        <f t="array" ref="I71">_xlfn.LET(_xlpm.text, D71,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1" s="18" t="str" cm="1">
        <f t="array" ref="J71">_xlfn.LET(_xlpm.text, E71,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" s="14">
        <v>46148.657418981486</v>
      </c>
      <c r="L71" s="14">
        <v>46149.282592592594</v>
      </c>
      <c r="N71" s="12"/>
    </row>
    <row r="72" spans="1:14" x14ac:dyDescent="0.25">
      <c r="A72" s="4" t="s">
        <v>3364</v>
      </c>
      <c r="B72" s="16" t="str">
        <f t="shared" si="3"/>
        <v>MAA DURGA STONE CRUSHING COMPANY</v>
      </c>
      <c r="C72" s="16" t="str">
        <f t="shared" si="4"/>
        <v>CHADWAS(Chadwas/Bidasar/Sujangarh)</v>
      </c>
      <c r="D72" s="4" t="s">
        <v>3036</v>
      </c>
      <c r="E72" s="4" t="s">
        <v>3119</v>
      </c>
      <c r="F72" s="5">
        <v>46149.699155092603</v>
      </c>
      <c r="G72" s="16" t="str">
        <f t="shared" si="5"/>
        <v>MasonaryStone (Gitti)</v>
      </c>
      <c r="H72" s="4" t="s">
        <v>5</v>
      </c>
      <c r="I72" s="18" t="str" cm="1">
        <f t="array" ref="I72">_xlfn.LET(_xlpm.text, D72,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2" s="18" t="str" cm="1">
        <f t="array" ref="J72">_xlfn.LET(_xlpm.text, E72,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" s="14">
        <v>46149.69949074075</v>
      </c>
      <c r="L72" s="14">
        <v>46150.32376157408</v>
      </c>
      <c r="N72" s="12"/>
    </row>
    <row r="73" spans="1:14" x14ac:dyDescent="0.25">
      <c r="A73" s="4" t="s">
        <v>3365</v>
      </c>
      <c r="B73" s="16" t="str">
        <f t="shared" si="3"/>
        <v>MAA DURGA STONE CRUSHING COMPANY</v>
      </c>
      <c r="C73" s="16" t="str">
        <f t="shared" si="4"/>
        <v>CHADWAS(Chadwas/Bidasar/Sujangarh)</v>
      </c>
      <c r="D73" s="4" t="s">
        <v>3036</v>
      </c>
      <c r="E73" s="4" t="s">
        <v>3119</v>
      </c>
      <c r="F73" s="5">
        <v>46149.709456018521</v>
      </c>
      <c r="G73" s="16" t="str">
        <f t="shared" si="5"/>
        <v>MasonaryStone (Gitti)</v>
      </c>
      <c r="H73" s="4" t="s">
        <v>6</v>
      </c>
      <c r="I73" s="18" t="str" cm="1">
        <f t="array" ref="I73">_xlfn.LET(_xlpm.text, D73,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3" s="18" t="str" cm="1">
        <f t="array" ref="J73">_xlfn.LET(_xlpm.text, E73,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" s="14">
        <v>46149.709791666668</v>
      </c>
      <c r="L73" s="14">
        <v>46150.33430555556</v>
      </c>
      <c r="N73" s="12"/>
    </row>
    <row r="74" spans="1:14" x14ac:dyDescent="0.25">
      <c r="A74" s="4" t="s">
        <v>3366</v>
      </c>
      <c r="B74" s="16" t="str">
        <f t="shared" si="3"/>
        <v>MAA DURGA STONE CRUSHING COMPANY</v>
      </c>
      <c r="C74" s="16" t="str">
        <f t="shared" si="4"/>
        <v>CHADWAS(Chadwas/Bidasar/Sujangarh)</v>
      </c>
      <c r="D74" s="4" t="s">
        <v>3036</v>
      </c>
      <c r="E74" s="4" t="s">
        <v>3119</v>
      </c>
      <c r="F74" s="5">
        <v>46149.730266203711</v>
      </c>
      <c r="G74" s="16" t="str">
        <f t="shared" si="5"/>
        <v>MasonaryStone (Gitti)</v>
      </c>
      <c r="H74" s="4" t="s">
        <v>7</v>
      </c>
      <c r="I74" s="18" t="str" cm="1">
        <f t="array" ref="I74">_xlfn.LET(_xlpm.text, D74,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4" s="18" t="str" cm="1">
        <f t="array" ref="J74">_xlfn.LET(_xlpm.text, E74,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" s="14">
        <v>46149.730601851858</v>
      </c>
      <c r="L74" s="14">
        <v>46150.355428240749</v>
      </c>
      <c r="N74" s="12"/>
    </row>
    <row r="75" spans="1:14" x14ac:dyDescent="0.25">
      <c r="A75" s="4" t="s">
        <v>3367</v>
      </c>
      <c r="B75" s="16" t="str">
        <f t="shared" si="3"/>
        <v>MAA DURGA STONE CRUSHING COMPANY</v>
      </c>
      <c r="C75" s="16" t="str">
        <f t="shared" si="4"/>
        <v>CHADWAS(Chadwas/Bidasar/Sujangarh)</v>
      </c>
      <c r="D75" s="4" t="s">
        <v>3036</v>
      </c>
      <c r="E75" s="4" t="s">
        <v>3119</v>
      </c>
      <c r="F75" s="5">
        <v>46149.740706018521</v>
      </c>
      <c r="G75" s="16" t="str">
        <f t="shared" si="5"/>
        <v>MasonaryStone (Gitti)</v>
      </c>
      <c r="H75" s="4" t="s">
        <v>4</v>
      </c>
      <c r="I75" s="18" t="str" cm="1">
        <f t="array" ref="I75">_xlfn.LET(_xlpm.text, D75,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5" s="18" t="str" cm="1">
        <f t="array" ref="J75">_xlfn.LET(_xlpm.text, E75,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" s="14">
        <v>46149.741041666668</v>
      </c>
      <c r="L75" s="14">
        <v>46150.365462962967</v>
      </c>
      <c r="N75" s="12"/>
    </row>
    <row r="76" spans="1:14" x14ac:dyDescent="0.25">
      <c r="A76" s="4" t="s">
        <v>3368</v>
      </c>
      <c r="B76" s="16" t="str">
        <f t="shared" si="3"/>
        <v>MAA DURGA STONE CRUSHING COMPANY</v>
      </c>
      <c r="C76" s="16" t="str">
        <f t="shared" si="4"/>
        <v>CHADWAS(Chadwas/Bidasar/Sujangarh)</v>
      </c>
      <c r="D76" s="4" t="s">
        <v>3036</v>
      </c>
      <c r="E76" s="4" t="s">
        <v>3119</v>
      </c>
      <c r="F76" s="5">
        <v>46149.747905092598</v>
      </c>
      <c r="G76" s="16" t="str">
        <f t="shared" si="5"/>
        <v>MasonaryStone (Gitti)</v>
      </c>
      <c r="H76" s="4" t="s">
        <v>5</v>
      </c>
      <c r="I76" s="18" t="str" cm="1">
        <f t="array" ref="I76">_xlfn.LET(_xlpm.text, D76,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6" s="18" t="str" cm="1">
        <f t="array" ref="J76">_xlfn.LET(_xlpm.text, E76,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" s="14">
        <v>46149.748240740744</v>
      </c>
      <c r="L76" s="14">
        <v>46150.372326388897</v>
      </c>
      <c r="N76" s="12"/>
    </row>
    <row r="77" spans="1:14" x14ac:dyDescent="0.25">
      <c r="A77" s="4" t="s">
        <v>3369</v>
      </c>
      <c r="B77" s="16" t="str">
        <f t="shared" si="3"/>
        <v>MAA DURGA STONE CRUSHING COMPANY</v>
      </c>
      <c r="C77" s="16" t="str">
        <f t="shared" si="4"/>
        <v>CHADWAS(Chadwas/Bidasar/Sujangarh)</v>
      </c>
      <c r="D77" s="4" t="s">
        <v>3036</v>
      </c>
      <c r="E77" s="4" t="s">
        <v>3119</v>
      </c>
      <c r="F77" s="5">
        <v>46149.788969907408</v>
      </c>
      <c r="G77" s="16" t="str">
        <f t="shared" si="5"/>
        <v>MasonaryStone (Gitti)</v>
      </c>
      <c r="H77" s="4" t="s">
        <v>6</v>
      </c>
      <c r="I77" s="18" t="str" cm="1">
        <f t="array" ref="I77">_xlfn.LET(_xlpm.text, D77,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7" s="18" t="str" cm="1">
        <f t="array" ref="J77">_xlfn.LET(_xlpm.text, E77,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" s="14">
        <v>46149.789305555554</v>
      </c>
      <c r="L77" s="14">
        <v>46150.414027777784</v>
      </c>
      <c r="N77" s="12"/>
    </row>
    <row r="78" spans="1:14" x14ac:dyDescent="0.25">
      <c r="A78" s="4" t="s">
        <v>3370</v>
      </c>
      <c r="B78" s="16" t="str">
        <f t="shared" si="3"/>
        <v>MAA DURGA STONE CRUSHING COMPANY</v>
      </c>
      <c r="C78" s="16" t="str">
        <f t="shared" si="4"/>
        <v>CHADWAS(Chadwas/Bidasar/Sujangarh)</v>
      </c>
      <c r="D78" s="4" t="s">
        <v>3036</v>
      </c>
      <c r="E78" s="4" t="s">
        <v>3119</v>
      </c>
      <c r="F78" s="5">
        <v>46149.799513888887</v>
      </c>
      <c r="G78" s="16" t="str">
        <f t="shared" si="5"/>
        <v>MasonaryStone (Gitti)</v>
      </c>
      <c r="H78" s="4" t="s">
        <v>5</v>
      </c>
      <c r="I78" s="18" t="str" cm="1">
        <f t="array" ref="I78">_xlfn.LET(_xlpm.text, D78,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8" s="18" t="str" cm="1">
        <f t="array" ref="J78">_xlfn.LET(_xlpm.text, E78,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" s="14">
        <v>46149.799849537034</v>
      </c>
      <c r="L78" s="14">
        <v>46150.424629629633</v>
      </c>
      <c r="N78" s="12"/>
    </row>
    <row r="79" spans="1:14" x14ac:dyDescent="0.25">
      <c r="A79" s="4" t="s">
        <v>3371</v>
      </c>
      <c r="B79" s="16" t="str">
        <f t="shared" si="3"/>
        <v>MAA DURGA STONE CRUSHING COMPANY</v>
      </c>
      <c r="C79" s="16" t="str">
        <f t="shared" si="4"/>
        <v>CHADWAS(Chadwas/Bidasar/Sujangarh)</v>
      </c>
      <c r="D79" s="4" t="s">
        <v>3036</v>
      </c>
      <c r="E79" s="4" t="s">
        <v>3119</v>
      </c>
      <c r="F79" s="5">
        <v>46149.820729166669</v>
      </c>
      <c r="G79" s="16" t="str">
        <f t="shared" si="5"/>
        <v>MasonaryStone (Gitti)</v>
      </c>
      <c r="H79" s="4" t="s">
        <v>6</v>
      </c>
      <c r="I79" s="18" t="str" cm="1">
        <f t="array" ref="I79">_xlfn.LET(_xlpm.text, D79,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79" s="18" t="str" cm="1">
        <f t="array" ref="J79">_xlfn.LET(_xlpm.text, E79,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" s="14">
        <v>46149.821064814816</v>
      </c>
      <c r="L79" s="14">
        <v>46150.4456712963</v>
      </c>
      <c r="N79" s="12"/>
    </row>
    <row r="80" spans="1:14" x14ac:dyDescent="0.25">
      <c r="A80" s="4" t="s">
        <v>3372</v>
      </c>
      <c r="B80" s="16" t="str">
        <f t="shared" si="3"/>
        <v>MAA DURGA STONE CRUSHING COMPANY</v>
      </c>
      <c r="C80" s="16" t="str">
        <f t="shared" si="4"/>
        <v>CHADWAS(Chadwas/Bidasar/Sujangarh)</v>
      </c>
      <c r="D80" s="4" t="s">
        <v>3036</v>
      </c>
      <c r="E80" s="4" t="s">
        <v>3119</v>
      </c>
      <c r="F80" s="5">
        <v>46149.831041666665</v>
      </c>
      <c r="G80" s="16" t="str">
        <f t="shared" si="5"/>
        <v>MasonaryStone (Gitti)</v>
      </c>
      <c r="H80" s="4" t="s">
        <v>7</v>
      </c>
      <c r="I80" s="18" t="str" cm="1">
        <f t="array" ref="I80">_xlfn.LET(_xlpm.text, D80,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0" s="18" t="str" cm="1">
        <f t="array" ref="J80">_xlfn.LET(_xlpm.text, E80,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" s="14">
        <v>46149.831377314811</v>
      </c>
      <c r="L80" s="14">
        <v>46150.455636574072</v>
      </c>
      <c r="N80" s="12"/>
    </row>
    <row r="81" spans="1:14" x14ac:dyDescent="0.25">
      <c r="A81" s="4" t="s">
        <v>3373</v>
      </c>
      <c r="B81" s="16" t="str">
        <f t="shared" si="3"/>
        <v>MAA DURGA STONE CRUSHING COMPANY</v>
      </c>
      <c r="C81" s="16" t="str">
        <f t="shared" si="4"/>
        <v>CHADWAS(Chadwas/Bidasar/Sujangarh)</v>
      </c>
      <c r="D81" s="4" t="s">
        <v>3036</v>
      </c>
      <c r="E81" s="4" t="s">
        <v>3119</v>
      </c>
      <c r="F81" s="5">
        <v>46149.838055555556</v>
      </c>
      <c r="G81" s="16" t="str">
        <f t="shared" si="5"/>
        <v>MasonaryStone (Gitti)</v>
      </c>
      <c r="H81" s="4" t="s">
        <v>8</v>
      </c>
      <c r="I81" s="18" t="str" cm="1">
        <f t="array" ref="I81">_xlfn.LET(_xlpm.text, D81,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1" s="18" t="str" cm="1">
        <f t="array" ref="J81">_xlfn.LET(_xlpm.text, E81,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" s="14">
        <v>46149.838391203702</v>
      </c>
      <c r="L81" s="14">
        <v>46150.462627314817</v>
      </c>
      <c r="N81" s="12"/>
    </row>
    <row r="82" spans="1:14" x14ac:dyDescent="0.25">
      <c r="A82" s="4" t="s">
        <v>3374</v>
      </c>
      <c r="B82" s="16" t="str">
        <f t="shared" si="3"/>
        <v>MAA DURGA STONE CRUSHING COMPANY</v>
      </c>
      <c r="C82" s="16" t="str">
        <f t="shared" si="4"/>
        <v>CHADWAS(Chadwas/Bidasar/Sujangarh)</v>
      </c>
      <c r="D82" s="4" t="s">
        <v>3036</v>
      </c>
      <c r="E82" s="4" t="s">
        <v>3119</v>
      </c>
      <c r="F82" s="5">
        <v>46150.879780092597</v>
      </c>
      <c r="G82" s="16" t="str">
        <f t="shared" si="5"/>
        <v>MasonaryStone (Gitti)</v>
      </c>
      <c r="H82" s="4" t="s">
        <v>9</v>
      </c>
      <c r="I82" s="18" t="str" cm="1">
        <f t="array" ref="I82">_xlfn.LET(_xlpm.text, D82,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2" s="18" t="str" cm="1">
        <f t="array" ref="J82">_xlfn.LET(_xlpm.text, E82,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" s="14">
        <v>46150.880115740743</v>
      </c>
      <c r="L82" s="14">
        <v>46151.504780092597</v>
      </c>
      <c r="N82" s="12"/>
    </row>
    <row r="83" spans="1:14" x14ac:dyDescent="0.25">
      <c r="A83" s="4" t="s">
        <v>3375</v>
      </c>
      <c r="B83" s="16" t="str">
        <f t="shared" si="3"/>
        <v>MAA DURGA STONE CRUSHING COMPANY</v>
      </c>
      <c r="C83" s="16" t="str">
        <f t="shared" si="4"/>
        <v>CHADWAS(Chadwas/Bidasar/Sujangarh)</v>
      </c>
      <c r="D83" s="4" t="s">
        <v>3036</v>
      </c>
      <c r="E83" s="4" t="s">
        <v>3119</v>
      </c>
      <c r="F83" s="5">
        <v>46150.890115740745</v>
      </c>
      <c r="G83" s="16" t="str">
        <f t="shared" si="5"/>
        <v>MasonaryStone (Gitti)</v>
      </c>
      <c r="H83" s="4" t="s">
        <v>4</v>
      </c>
      <c r="I83" s="18" t="str" cm="1">
        <f t="array" ref="I83">_xlfn.LET(_xlpm.text, D83,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3" s="18" t="str" cm="1">
        <f t="array" ref="J83">_xlfn.LET(_xlpm.text, E83,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" s="14">
        <v>46150.890451388892</v>
      </c>
      <c r="L83" s="14">
        <v>46151.514652777783</v>
      </c>
      <c r="N83" s="12"/>
    </row>
    <row r="84" spans="1:14" x14ac:dyDescent="0.25">
      <c r="A84" s="4" t="s">
        <v>3376</v>
      </c>
      <c r="B84" s="16" t="str">
        <f t="shared" si="3"/>
        <v>MAA DURGA STONE CRUSHING COMPANY</v>
      </c>
      <c r="C84" s="16" t="str">
        <f t="shared" si="4"/>
        <v>CHADWAS(Chadwas/Bidasar/Sujangarh)</v>
      </c>
      <c r="D84" s="4" t="s">
        <v>3036</v>
      </c>
      <c r="E84" s="4" t="s">
        <v>3119</v>
      </c>
      <c r="F84" s="5">
        <v>46150.910844907412</v>
      </c>
      <c r="G84" s="16" t="str">
        <f t="shared" si="5"/>
        <v>MasonaryStone (Gitti)</v>
      </c>
      <c r="H84" s="4" t="s">
        <v>5</v>
      </c>
      <c r="I84" s="18" t="str" cm="1">
        <f t="array" ref="I84">_xlfn.LET(_xlpm.text, D84,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4" s="18" t="str" cm="1">
        <f t="array" ref="J84">_xlfn.LET(_xlpm.text, E84,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" s="14">
        <v>46150.911180555559</v>
      </c>
      <c r="L84" s="14">
        <v>46151.536099537043</v>
      </c>
      <c r="N84" s="12"/>
    </row>
    <row r="85" spans="1:14" x14ac:dyDescent="0.25">
      <c r="A85" s="4" t="s">
        <v>3377</v>
      </c>
      <c r="B85" s="16" t="str">
        <f t="shared" si="3"/>
        <v>MAA DURGA STONE CRUSHING COMPANY</v>
      </c>
      <c r="C85" s="16" t="str">
        <f t="shared" si="4"/>
        <v>CHADWAS(Chadwas/Bidasar/Sujangarh)</v>
      </c>
      <c r="D85" s="4" t="s">
        <v>3036</v>
      </c>
      <c r="E85" s="4" t="s">
        <v>3119</v>
      </c>
      <c r="F85" s="5">
        <v>46150.92092592593</v>
      </c>
      <c r="G85" s="16" t="str">
        <f t="shared" si="5"/>
        <v>MasonaryStone (Gitti)</v>
      </c>
      <c r="H85" s="4" t="s">
        <v>6</v>
      </c>
      <c r="I85" s="18" t="str" cm="1">
        <f t="array" ref="I85">_xlfn.LET(_xlpm.text, D85,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5" s="18" t="str" cm="1">
        <f t="array" ref="J85">_xlfn.LET(_xlpm.text, E85,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" s="14">
        <v>46150.921261574076</v>
      </c>
      <c r="L85" s="14">
        <v>46151.546180555561</v>
      </c>
      <c r="N85" s="12"/>
    </row>
    <row r="86" spans="1:14" x14ac:dyDescent="0.25">
      <c r="A86" s="4" t="s">
        <v>3378</v>
      </c>
      <c r="B86" s="16" t="str">
        <f t="shared" si="3"/>
        <v>MAA DURGA STONE CRUSHING COMPANY</v>
      </c>
      <c r="C86" s="16" t="str">
        <f t="shared" si="4"/>
        <v>CHADWAS(Chadwas/Bidasar/Sujangarh)</v>
      </c>
      <c r="D86" s="4" t="s">
        <v>3036</v>
      </c>
      <c r="E86" s="4" t="s">
        <v>3119</v>
      </c>
      <c r="F86" s="5">
        <v>46150.927974537044</v>
      </c>
      <c r="G86" s="16" t="str">
        <f t="shared" si="5"/>
        <v>MasonaryStone (Gitti)</v>
      </c>
      <c r="H86" s="4" t="s">
        <v>5</v>
      </c>
      <c r="I86" s="18" t="str" cm="1">
        <f t="array" ref="I86">_xlfn.LET(_xlpm.text, D86,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6" s="18" t="str" cm="1">
        <f t="array" ref="J86">_xlfn.LET(_xlpm.text, E86,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" s="14">
        <v>46150.928310185191</v>
      </c>
      <c r="L86" s="14">
        <v>46151.553113425929</v>
      </c>
      <c r="N86" s="12"/>
    </row>
    <row r="87" spans="1:14" x14ac:dyDescent="0.25">
      <c r="A87" s="4" t="s">
        <v>3379</v>
      </c>
      <c r="B87" s="16" t="str">
        <f t="shared" si="3"/>
        <v>MAA DURGA STONE CRUSHING COMPANY</v>
      </c>
      <c r="C87" s="16" t="str">
        <f t="shared" si="4"/>
        <v>CHADWAS(Chadwas/Bidasar/Sujangarh)</v>
      </c>
      <c r="D87" s="4" t="s">
        <v>3036</v>
      </c>
      <c r="E87" s="4" t="s">
        <v>3119</v>
      </c>
      <c r="F87" s="5">
        <v>46150.970081018524</v>
      </c>
      <c r="G87" s="16" t="str">
        <f t="shared" si="5"/>
        <v>MasonaryStone (Gitti)</v>
      </c>
      <c r="H87" s="4" t="s">
        <v>6</v>
      </c>
      <c r="I87" s="18" t="str" cm="1">
        <f t="array" ref="I87">_xlfn.LET(_xlpm.text, D87,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7" s="18" t="str" cm="1">
        <f t="array" ref="J87">_xlfn.LET(_xlpm.text, E87,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" s="14">
        <v>46150.970416666671</v>
      </c>
      <c r="L87" s="14">
        <v>46151.59474537037</v>
      </c>
      <c r="N87" s="12"/>
    </row>
    <row r="88" spans="1:14" x14ac:dyDescent="0.25">
      <c r="A88" s="4" t="s">
        <v>3380</v>
      </c>
      <c r="B88" s="16" t="str">
        <f t="shared" si="3"/>
        <v>MAA DURGA STONE CRUSHING COMPANY</v>
      </c>
      <c r="C88" s="16" t="str">
        <f t="shared" si="4"/>
        <v>CHADWAS(Chadwas/Bidasar/Sujangarh)</v>
      </c>
      <c r="D88" s="4" t="s">
        <v>3036</v>
      </c>
      <c r="E88" s="4" t="s">
        <v>3119</v>
      </c>
      <c r="F88" s="5">
        <v>46151.979884259265</v>
      </c>
      <c r="G88" s="16" t="str">
        <f t="shared" si="5"/>
        <v>MasonaryStone (Gitti)</v>
      </c>
      <c r="H88" s="4" t="s">
        <v>7</v>
      </c>
      <c r="I88" s="18" t="str" cm="1">
        <f t="array" ref="I88">_xlfn.LET(_xlpm.text, D88,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8" s="18" t="str" cm="1">
        <f t="array" ref="J88">_xlfn.LET(_xlpm.text, E88,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" s="14">
        <v>46151.980219907411</v>
      </c>
      <c r="L88" s="14">
        <v>46152.605173611119</v>
      </c>
      <c r="N88" s="12"/>
    </row>
    <row r="89" spans="1:14" x14ac:dyDescent="0.25">
      <c r="A89" s="4" t="s">
        <v>3381</v>
      </c>
      <c r="B89" s="16" t="str">
        <f t="shared" si="3"/>
        <v>MAA DURGA STONE CRUSHING COMPANY</v>
      </c>
      <c r="C89" s="16" t="str">
        <f t="shared" si="4"/>
        <v>CHADWAS(Chadwas/Bidasar/Sujangarh)</v>
      </c>
      <c r="D89" s="4" t="s">
        <v>3036</v>
      </c>
      <c r="E89" s="4" t="s">
        <v>3119</v>
      </c>
      <c r="F89" s="5">
        <v>46152.001134259262</v>
      </c>
      <c r="G89" s="16" t="str">
        <f t="shared" si="5"/>
        <v>MasonaryStone (Gitti)</v>
      </c>
      <c r="H89" s="4" t="s">
        <v>8</v>
      </c>
      <c r="I89" s="18" t="str" cm="1">
        <f t="array" ref="I89">_xlfn.LET(_xlpm.text, D89,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89" s="18" t="str" cm="1">
        <f t="array" ref="J89">_xlfn.LET(_xlpm.text, E89,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" s="14">
        <v>46152.001469907409</v>
      </c>
      <c r="L89" s="14">
        <v>46152.625891203708</v>
      </c>
      <c r="N89" s="12"/>
    </row>
    <row r="90" spans="1:14" x14ac:dyDescent="0.25">
      <c r="A90" s="4" t="s">
        <v>3382</v>
      </c>
      <c r="B90" s="16" t="str">
        <f t="shared" si="3"/>
        <v>MAA DURGA STONE CRUSHING COMPANY</v>
      </c>
      <c r="C90" s="16" t="str">
        <f t="shared" si="4"/>
        <v>CHADWAS(Chadwas/Bidasar/Sujangarh)</v>
      </c>
      <c r="D90" s="4" t="s">
        <v>3036</v>
      </c>
      <c r="E90" s="4" t="s">
        <v>3119</v>
      </c>
      <c r="F90" s="5">
        <v>46152.011180555564</v>
      </c>
      <c r="G90" s="16" t="str">
        <f t="shared" si="5"/>
        <v>MasonaryStone (Gitti)</v>
      </c>
      <c r="H90" s="4" t="s">
        <v>4</v>
      </c>
      <c r="I90" s="18" t="str" cm="1">
        <f t="array" ref="I90">_xlfn.LET(_xlpm.text, D90,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90" s="18" t="str" cm="1">
        <f t="array" ref="J90">_xlfn.LET(_xlpm.text, E90,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" s="14">
        <v>46152.011516203711</v>
      </c>
      <c r="L90" s="14">
        <v>46152.636400462972</v>
      </c>
      <c r="N90" s="12"/>
    </row>
    <row r="91" spans="1:14" x14ac:dyDescent="0.25">
      <c r="A91" s="4" t="s">
        <v>3383</v>
      </c>
      <c r="B91" s="16" t="str">
        <f t="shared" si="3"/>
        <v>MAA DURGA STONE CRUSHING COMPANY</v>
      </c>
      <c r="C91" s="16" t="str">
        <f t="shared" si="4"/>
        <v>CHADWAS(Chadwas/Bidasar/Sujangarh)</v>
      </c>
      <c r="D91" s="4" t="s">
        <v>3036</v>
      </c>
      <c r="E91" s="4" t="s">
        <v>3119</v>
      </c>
      <c r="F91" s="5">
        <v>46152.01871527778</v>
      </c>
      <c r="G91" s="16" t="str">
        <f t="shared" si="5"/>
        <v>MasonaryStone (Gitti)</v>
      </c>
      <c r="H91" s="4" t="s">
        <v>5</v>
      </c>
      <c r="I91" s="18" t="str" cm="1">
        <f t="array" ref="I91">_xlfn.LET(_xlpm.text, D91,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91" s="18" t="str" cm="1">
        <f t="array" ref="J91">_xlfn.LET(_xlpm.text, E91,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" s="14">
        <v>46152.019050925926</v>
      </c>
      <c r="L91" s="14">
        <v>46152.643240740741</v>
      </c>
      <c r="N91" s="12"/>
    </row>
    <row r="92" spans="1:14" x14ac:dyDescent="0.25">
      <c r="A92" s="4" t="s">
        <v>3384</v>
      </c>
      <c r="B92" s="16" t="str">
        <f t="shared" si="3"/>
        <v>MAA DURGA STONE CRUSHING COMPANY</v>
      </c>
      <c r="C92" s="16" t="str">
        <f t="shared" si="4"/>
        <v>CHADWAS(Chadwas/Bidasar/Sujangarh)</v>
      </c>
      <c r="D92" s="4" t="s">
        <v>3036</v>
      </c>
      <c r="E92" s="4" t="s">
        <v>3119</v>
      </c>
      <c r="F92" s="5">
        <v>46152.060046296305</v>
      </c>
      <c r="G92" s="16" t="str">
        <f t="shared" si="5"/>
        <v>MasonaryStone (Gitti)</v>
      </c>
      <c r="H92" s="4" t="s">
        <v>6</v>
      </c>
      <c r="I92" s="18" t="str" cm="1">
        <f t="array" ref="I92">_xlfn.LET(_xlpm.text, D92,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92" s="18" t="str" cm="1">
        <f t="array" ref="J92">_xlfn.LET(_xlpm.text, E92,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" s="14">
        <v>46152.060381944451</v>
      </c>
      <c r="L92" s="14">
        <v>46152.685324074082</v>
      </c>
      <c r="N92" s="12"/>
    </row>
    <row r="93" spans="1:14" x14ac:dyDescent="0.25">
      <c r="A93" s="4" t="s">
        <v>3385</v>
      </c>
      <c r="B93" s="16" t="str">
        <f t="shared" si="3"/>
        <v>MAA DURGA STONE CRUSHING COMPANY</v>
      </c>
      <c r="C93" s="16" t="str">
        <f t="shared" si="4"/>
        <v>CHADWAS(Chadwas/Bidasar/Sujangarh)</v>
      </c>
      <c r="D93" s="4" t="s">
        <v>3036</v>
      </c>
      <c r="E93" s="4" t="s">
        <v>3119</v>
      </c>
      <c r="F93" s="5">
        <v>46153.070497685185</v>
      </c>
      <c r="G93" s="16" t="str">
        <f t="shared" si="5"/>
        <v>MasonaryStone (Gitti)</v>
      </c>
      <c r="H93" s="4" t="s">
        <v>5</v>
      </c>
      <c r="I93" s="18" t="str" cm="1">
        <f t="array" ref="I93">_xlfn.LET(_xlpm.text, D93,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93" s="18" t="str" cm="1">
        <f t="array" ref="J93">_xlfn.LET(_xlpm.text, E93,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" s="14">
        <v>46153.070833333331</v>
      </c>
      <c r="L93" s="14">
        <v>46153.695543981485</v>
      </c>
      <c r="N93" s="12"/>
    </row>
    <row r="94" spans="1:14" x14ac:dyDescent="0.25">
      <c r="A94" s="4" t="s">
        <v>3386</v>
      </c>
      <c r="B94" s="16" t="str">
        <f t="shared" si="3"/>
        <v>MAA DURGA STONE CRUSHING COMPANY</v>
      </c>
      <c r="C94" s="16" t="str">
        <f t="shared" si="4"/>
        <v>CHADWAS(Chadwas/Bidasar/Sujangarh)</v>
      </c>
      <c r="D94" s="4" t="s">
        <v>3036</v>
      </c>
      <c r="E94" s="4" t="s">
        <v>3119</v>
      </c>
      <c r="F94" s="5">
        <v>46153.091608796305</v>
      </c>
      <c r="G94" s="16" t="str">
        <f t="shared" si="5"/>
        <v>MasonaryStone (Gitti)</v>
      </c>
      <c r="H94" s="4" t="s">
        <v>6</v>
      </c>
      <c r="I94" s="18" t="str" cm="1">
        <f t="array" ref="I94">_xlfn.LET(_xlpm.text, D94,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94" s="18" t="str" cm="1">
        <f t="array" ref="J94">_xlfn.LET(_xlpm.text, E94,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" s="14">
        <v>46153.091944444452</v>
      </c>
      <c r="L94" s="14">
        <v>46153.716030092597</v>
      </c>
      <c r="N94" s="12"/>
    </row>
    <row r="95" spans="1:14" x14ac:dyDescent="0.25">
      <c r="A95" s="4" t="s">
        <v>18</v>
      </c>
      <c r="B95" s="16" t="str">
        <f t="shared" si="3"/>
        <v>SHYAM SUNDER BISHNOI</v>
      </c>
      <c r="C95" s="16" t="str">
        <f t="shared" si="4"/>
        <v>Chak No 6 Kharicharnan / Kolayat / Bikaner</v>
      </c>
      <c r="D95" s="4" t="s">
        <v>3029</v>
      </c>
      <c r="E95" s="4" t="s">
        <v>3119</v>
      </c>
      <c r="F95" s="5">
        <v>46008.999664351853</v>
      </c>
      <c r="G95" s="16" t="str">
        <f t="shared" si="5"/>
        <v>Gravel</v>
      </c>
      <c r="H95" s="4" t="s">
        <v>328</v>
      </c>
      <c r="I95" s="18" t="str" cm="1">
        <f t="array" ref="I95">_xlfn.LET(_xlpm.text, D95,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95" s="18" t="str" cm="1">
        <f t="array" ref="J95">_xlfn.LET(_xlpm.text, E95,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" s="14">
        <f t="shared" ref="K95:K130" si="6">F95+(29/86400)</f>
        <v>46009</v>
      </c>
      <c r="L95" s="14">
        <f t="shared" ref="L95:L130" si="7">F95+(15/24)</f>
        <v>46009.624664351853</v>
      </c>
      <c r="N95" s="12"/>
    </row>
    <row r="96" spans="1:14" x14ac:dyDescent="0.25">
      <c r="A96" s="4" t="s">
        <v>19</v>
      </c>
      <c r="B96" s="16" t="str">
        <f t="shared" si="3"/>
        <v>SHYAM SUNDER BISHNOI</v>
      </c>
      <c r="C96" s="16" t="str">
        <f t="shared" si="4"/>
        <v>Chak No 6 Kharicharnan / Kolayat / Bikaner</v>
      </c>
      <c r="D96" s="4" t="s">
        <v>3029</v>
      </c>
      <c r="E96" s="4" t="s">
        <v>3119</v>
      </c>
      <c r="F96" s="5">
        <v>46008.999664351853</v>
      </c>
      <c r="G96" s="16" t="str">
        <f t="shared" si="5"/>
        <v>Gravel</v>
      </c>
      <c r="H96" s="4" t="s">
        <v>328</v>
      </c>
      <c r="I96" s="18" t="str" cm="1">
        <f t="array" ref="I96">_xlfn.LET(_xlpm.text, D96,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96" s="18" t="str" cm="1">
        <f t="array" ref="J96">_xlfn.LET(_xlpm.text, E96,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" s="14">
        <f t="shared" si="6"/>
        <v>46009</v>
      </c>
      <c r="L96" s="14">
        <f t="shared" si="7"/>
        <v>46009.624664351853</v>
      </c>
      <c r="N96" s="12"/>
    </row>
    <row r="97" spans="1:14" x14ac:dyDescent="0.25">
      <c r="A97" s="4" t="s">
        <v>20</v>
      </c>
      <c r="B97" s="16" t="str">
        <f t="shared" si="3"/>
        <v>SHYAM SUNDER BISHNOI</v>
      </c>
      <c r="C97" s="16" t="str">
        <f t="shared" si="4"/>
        <v>Chak No 6 Kharicharnan / Kolayat / Bikaner</v>
      </c>
      <c r="D97" s="4" t="s">
        <v>3029</v>
      </c>
      <c r="E97" s="4" t="s">
        <v>3119</v>
      </c>
      <c r="F97" s="5">
        <v>46008.999664351853</v>
      </c>
      <c r="G97" s="16" t="str">
        <f t="shared" si="5"/>
        <v>Gravel</v>
      </c>
      <c r="H97" s="4" t="s">
        <v>328</v>
      </c>
      <c r="I97" s="18" t="str" cm="1">
        <f t="array" ref="I97">_xlfn.LET(_xlpm.text, D97,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97" s="18" t="str" cm="1">
        <f t="array" ref="J97">_xlfn.LET(_xlpm.text, E97,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" s="14">
        <f t="shared" si="6"/>
        <v>46009</v>
      </c>
      <c r="L97" s="14">
        <f t="shared" si="7"/>
        <v>46009.624664351853</v>
      </c>
      <c r="N97" s="12"/>
    </row>
    <row r="98" spans="1:14" x14ac:dyDescent="0.25">
      <c r="A98" s="4" t="s">
        <v>21</v>
      </c>
      <c r="B98" s="16" t="str">
        <f t="shared" si="3"/>
        <v>SHYAM SUNDER BISHNOI</v>
      </c>
      <c r="C98" s="16" t="str">
        <f t="shared" si="4"/>
        <v>Chak No 6 Kharicharnan / Kolayat / Bikaner</v>
      </c>
      <c r="D98" s="4" t="s">
        <v>3029</v>
      </c>
      <c r="E98" s="4" t="s">
        <v>3119</v>
      </c>
      <c r="F98" s="5">
        <v>46008.999664351853</v>
      </c>
      <c r="G98" s="16" t="str">
        <f t="shared" si="5"/>
        <v>Gravel</v>
      </c>
      <c r="H98" s="4" t="s">
        <v>328</v>
      </c>
      <c r="I98" s="18" t="str" cm="1">
        <f t="array" ref="I98">_xlfn.LET(_xlpm.text, D98,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98" s="18" t="str" cm="1">
        <f t="array" ref="J98">_xlfn.LET(_xlpm.text, E98,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" s="14">
        <f t="shared" si="6"/>
        <v>46009</v>
      </c>
      <c r="L98" s="14">
        <f t="shared" si="7"/>
        <v>46009.624664351853</v>
      </c>
      <c r="N98" s="12"/>
    </row>
    <row r="99" spans="1:14" x14ac:dyDescent="0.25">
      <c r="A99" s="4" t="s">
        <v>22</v>
      </c>
      <c r="B99" s="16" t="str">
        <f t="shared" si="3"/>
        <v>SHYAM SUNDER BISHNOI</v>
      </c>
      <c r="C99" s="16" t="str">
        <f t="shared" si="4"/>
        <v>Chak No 6 Kharicharnan / Kolayat / Bikaner</v>
      </c>
      <c r="D99" s="4" t="s">
        <v>3029</v>
      </c>
      <c r="E99" s="4" t="s">
        <v>3119</v>
      </c>
      <c r="F99" s="5">
        <v>46006.999664351853</v>
      </c>
      <c r="G99" s="16" t="str">
        <f t="shared" si="5"/>
        <v>Gravel</v>
      </c>
      <c r="H99" s="4" t="s">
        <v>329</v>
      </c>
      <c r="I99" s="18" t="str" cm="1">
        <f t="array" ref="I99">_xlfn.LET(_xlpm.text, D99,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99" s="18" t="str" cm="1">
        <f t="array" ref="J99">_xlfn.LET(_xlpm.text, E99,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" s="14">
        <f t="shared" si="6"/>
        <v>46007</v>
      </c>
      <c r="L99" s="14">
        <f t="shared" si="7"/>
        <v>46007.624664351853</v>
      </c>
      <c r="N99" s="12"/>
    </row>
    <row r="100" spans="1:14" x14ac:dyDescent="0.25">
      <c r="A100" s="4" t="s">
        <v>23</v>
      </c>
      <c r="B100" s="16" t="str">
        <f t="shared" si="3"/>
        <v>SHYAM SUNDER BISHNOI</v>
      </c>
      <c r="C100" s="16" t="str">
        <f t="shared" si="4"/>
        <v>Chak No 6 Kharicharnan / Kolayat / Bikaner</v>
      </c>
      <c r="D100" s="4" t="s">
        <v>3029</v>
      </c>
      <c r="E100" s="4" t="s">
        <v>3119</v>
      </c>
      <c r="F100" s="5">
        <v>46038.999664351853</v>
      </c>
      <c r="G100" s="16" t="str">
        <f t="shared" si="5"/>
        <v>Gravel</v>
      </c>
      <c r="H100" s="4" t="s">
        <v>330</v>
      </c>
      <c r="I100" s="18" t="str" cm="1">
        <f t="array" ref="I100">_xlfn.LET(_xlpm.text, D100,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0" s="18" t="str" cm="1">
        <f t="array" ref="J100">_xlfn.LET(_xlpm.text, E100,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" s="14">
        <f t="shared" si="6"/>
        <v>46039</v>
      </c>
      <c r="L100" s="14">
        <f t="shared" si="7"/>
        <v>46039.624664351853</v>
      </c>
      <c r="N100" s="12"/>
    </row>
    <row r="101" spans="1:14" x14ac:dyDescent="0.25">
      <c r="A101" s="4" t="s">
        <v>24</v>
      </c>
      <c r="B101" s="16" t="str">
        <f t="shared" si="3"/>
        <v>SHYAM SUNDER BISHNOI</v>
      </c>
      <c r="C101" s="16" t="str">
        <f t="shared" si="4"/>
        <v>Chak No 6 Kharicharnan / Kolayat / Bikaner</v>
      </c>
      <c r="D101" s="4" t="s">
        <v>3029</v>
      </c>
      <c r="E101" s="4" t="s">
        <v>3119</v>
      </c>
      <c r="F101" s="5">
        <v>46038.999664351853</v>
      </c>
      <c r="G101" s="16" t="str">
        <f t="shared" si="5"/>
        <v>Gravel</v>
      </c>
      <c r="H101" s="4" t="s">
        <v>331</v>
      </c>
      <c r="I101" s="18" t="str" cm="1">
        <f t="array" ref="I101">_xlfn.LET(_xlpm.text, D101,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1" s="18" t="str" cm="1">
        <f t="array" ref="J101">_xlfn.LET(_xlpm.text, E101,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" s="14">
        <f t="shared" si="6"/>
        <v>46039</v>
      </c>
      <c r="L101" s="14">
        <f t="shared" si="7"/>
        <v>46039.624664351853</v>
      </c>
      <c r="N101" s="12"/>
    </row>
    <row r="102" spans="1:14" x14ac:dyDescent="0.25">
      <c r="A102" s="4" t="s">
        <v>25</v>
      </c>
      <c r="B102" s="16" t="str">
        <f t="shared" si="3"/>
        <v>SHYAM SUNDER BISHNOI</v>
      </c>
      <c r="C102" s="16" t="str">
        <f t="shared" si="4"/>
        <v>Chak No 6 Kharicharnan / Kolayat / Bikaner</v>
      </c>
      <c r="D102" s="4" t="s">
        <v>3029</v>
      </c>
      <c r="E102" s="4" t="s">
        <v>3119</v>
      </c>
      <c r="F102" s="5">
        <v>46012.999664351853</v>
      </c>
      <c r="G102" s="16" t="str">
        <f t="shared" si="5"/>
        <v>Gravel</v>
      </c>
      <c r="H102" s="4" t="s">
        <v>331</v>
      </c>
      <c r="I102" s="18" t="str" cm="1">
        <f t="array" ref="I102">_xlfn.LET(_xlpm.text, D102,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2" s="18" t="str" cm="1">
        <f t="array" ref="J102">_xlfn.LET(_xlpm.text, E102,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" s="14">
        <f t="shared" si="6"/>
        <v>46013</v>
      </c>
      <c r="L102" s="14">
        <f t="shared" si="7"/>
        <v>46013.624664351853</v>
      </c>
      <c r="N102" s="12"/>
    </row>
    <row r="103" spans="1:14" x14ac:dyDescent="0.25">
      <c r="A103" s="4" t="s">
        <v>26</v>
      </c>
      <c r="B103" s="16" t="str">
        <f t="shared" si="3"/>
        <v>SHYAM SUNDER BISHNOI</v>
      </c>
      <c r="C103" s="16" t="str">
        <f t="shared" si="4"/>
        <v>Chak No 6 Kharicharnan / Kolayat / Bikaner</v>
      </c>
      <c r="D103" s="4" t="s">
        <v>3029</v>
      </c>
      <c r="E103" s="4" t="s">
        <v>3119</v>
      </c>
      <c r="F103" s="5">
        <v>46012.999664351853</v>
      </c>
      <c r="G103" s="16" t="str">
        <f t="shared" si="5"/>
        <v>Gravel</v>
      </c>
      <c r="H103" s="4" t="s">
        <v>332</v>
      </c>
      <c r="I103" s="18" t="str" cm="1">
        <f t="array" ref="I103">_xlfn.LET(_xlpm.text, D103,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3" s="18" t="str" cm="1">
        <f t="array" ref="J103">_xlfn.LET(_xlpm.text, E103,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" s="14">
        <f t="shared" si="6"/>
        <v>46013</v>
      </c>
      <c r="L103" s="14">
        <f t="shared" si="7"/>
        <v>46013.624664351853</v>
      </c>
      <c r="N103" s="12"/>
    </row>
    <row r="104" spans="1:14" x14ac:dyDescent="0.25">
      <c r="A104" s="4" t="s">
        <v>27</v>
      </c>
      <c r="B104" s="16" t="str">
        <f t="shared" si="3"/>
        <v>SHYAM SUNDER BISHNOI</v>
      </c>
      <c r="C104" s="16" t="str">
        <f t="shared" si="4"/>
        <v>Chak No 6 Kharicharnan / Kolayat / Bikaner</v>
      </c>
      <c r="D104" s="4" t="s">
        <v>3029</v>
      </c>
      <c r="E104" s="4" t="s">
        <v>3119</v>
      </c>
      <c r="F104" s="5">
        <v>46012.999664351853</v>
      </c>
      <c r="G104" s="16" t="str">
        <f t="shared" si="5"/>
        <v>Gravel</v>
      </c>
      <c r="H104" s="4" t="s">
        <v>330</v>
      </c>
      <c r="I104" s="18" t="str" cm="1">
        <f t="array" ref="I104">_xlfn.LET(_xlpm.text, D104,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4" s="18" t="str" cm="1">
        <f t="array" ref="J104">_xlfn.LET(_xlpm.text, E104,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" s="14">
        <f t="shared" si="6"/>
        <v>46013</v>
      </c>
      <c r="L104" s="14">
        <f t="shared" si="7"/>
        <v>46013.624664351853</v>
      </c>
      <c r="N104" s="12"/>
    </row>
    <row r="105" spans="1:14" x14ac:dyDescent="0.25">
      <c r="A105" s="4" t="s">
        <v>28</v>
      </c>
      <c r="B105" s="16" t="str">
        <f t="shared" si="3"/>
        <v>SHYAM SUNDER BISHNOI</v>
      </c>
      <c r="C105" s="16" t="str">
        <f t="shared" si="4"/>
        <v>Chak No 6 Kharicharnan / Kolayat / Bikaner</v>
      </c>
      <c r="D105" s="4" t="s">
        <v>3029</v>
      </c>
      <c r="E105" s="4" t="s">
        <v>3119</v>
      </c>
      <c r="F105" s="5">
        <v>46011.999664351853</v>
      </c>
      <c r="G105" s="16" t="str">
        <f t="shared" si="5"/>
        <v>Gravel</v>
      </c>
      <c r="H105" s="4" t="s">
        <v>330</v>
      </c>
      <c r="I105" s="18" t="str" cm="1">
        <f t="array" ref="I105">_xlfn.LET(_xlpm.text, D105,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5" s="18" t="str" cm="1">
        <f t="array" ref="J105">_xlfn.LET(_xlpm.text, E105,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" s="14">
        <f t="shared" si="6"/>
        <v>46012</v>
      </c>
      <c r="L105" s="14">
        <f t="shared" si="7"/>
        <v>46012.624664351853</v>
      </c>
      <c r="N105" s="12"/>
    </row>
    <row r="106" spans="1:14" x14ac:dyDescent="0.25">
      <c r="A106" s="4" t="s">
        <v>29</v>
      </c>
      <c r="B106" s="16" t="str">
        <f t="shared" si="3"/>
        <v>SHYAM SUNDER BISHNOI</v>
      </c>
      <c r="C106" s="16" t="str">
        <f t="shared" si="4"/>
        <v>Chak No 6 Kharicharnan / Kolayat / Bikaner</v>
      </c>
      <c r="D106" s="4" t="s">
        <v>3029</v>
      </c>
      <c r="E106" s="4" t="s">
        <v>3119</v>
      </c>
      <c r="F106" s="5">
        <v>46011.999664351853</v>
      </c>
      <c r="G106" s="16" t="str">
        <f t="shared" si="5"/>
        <v>Gravel</v>
      </c>
      <c r="H106" s="4" t="s">
        <v>333</v>
      </c>
      <c r="I106" s="18" t="str" cm="1">
        <f t="array" ref="I106">_xlfn.LET(_xlpm.text, D106,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6" s="18" t="str" cm="1">
        <f t="array" ref="J106">_xlfn.LET(_xlpm.text, E106,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" s="14">
        <f t="shared" si="6"/>
        <v>46012</v>
      </c>
      <c r="L106" s="14">
        <f t="shared" si="7"/>
        <v>46012.624664351853</v>
      </c>
      <c r="N106" s="12"/>
    </row>
    <row r="107" spans="1:14" x14ac:dyDescent="0.25">
      <c r="A107" s="4" t="s">
        <v>30</v>
      </c>
      <c r="B107" s="16" t="str">
        <f t="shared" si="3"/>
        <v>SHYAM SUNDER BISHNOI</v>
      </c>
      <c r="C107" s="16" t="str">
        <f t="shared" si="4"/>
        <v>Chak No 6 Kharicharnan / Kolayat / Bikaner</v>
      </c>
      <c r="D107" s="4" t="s">
        <v>3029</v>
      </c>
      <c r="E107" s="4" t="s">
        <v>3119</v>
      </c>
      <c r="F107" s="5">
        <v>46011.999664351853</v>
      </c>
      <c r="G107" s="16" t="str">
        <f t="shared" si="5"/>
        <v>Gravel</v>
      </c>
      <c r="H107" s="4" t="s">
        <v>332</v>
      </c>
      <c r="I107" s="18" t="str" cm="1">
        <f t="array" ref="I107">_xlfn.LET(_xlpm.text, D107,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7" s="18" t="str" cm="1">
        <f t="array" ref="J107">_xlfn.LET(_xlpm.text, E107,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" s="14">
        <f t="shared" si="6"/>
        <v>46012</v>
      </c>
      <c r="L107" s="14">
        <f t="shared" si="7"/>
        <v>46012.624664351853</v>
      </c>
      <c r="N107" s="12"/>
    </row>
    <row r="108" spans="1:14" x14ac:dyDescent="0.25">
      <c r="A108" s="4" t="s">
        <v>31</v>
      </c>
      <c r="B108" s="16" t="str">
        <f t="shared" si="3"/>
        <v>SHYAM SUNDER BISHNOI</v>
      </c>
      <c r="C108" s="16" t="str">
        <f t="shared" si="4"/>
        <v>Chak No 6 Kharicharnan / Kolayat / Bikaner</v>
      </c>
      <c r="D108" s="4" t="s">
        <v>3029</v>
      </c>
      <c r="E108" s="4" t="s">
        <v>3119</v>
      </c>
      <c r="F108" s="5">
        <v>46010.999664351853</v>
      </c>
      <c r="G108" s="16" t="str">
        <f t="shared" si="5"/>
        <v>Gravel</v>
      </c>
      <c r="H108" s="4" t="s">
        <v>334</v>
      </c>
      <c r="I108" s="18" t="str" cm="1">
        <f t="array" ref="I108">_xlfn.LET(_xlpm.text, D108,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8" s="18" t="str" cm="1">
        <f t="array" ref="J108">_xlfn.LET(_xlpm.text, E108,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" s="14">
        <f t="shared" si="6"/>
        <v>46011</v>
      </c>
      <c r="L108" s="14">
        <f t="shared" si="7"/>
        <v>46011.624664351853</v>
      </c>
      <c r="N108" s="12"/>
    </row>
    <row r="109" spans="1:14" x14ac:dyDescent="0.25">
      <c r="A109" s="4" t="s">
        <v>32</v>
      </c>
      <c r="B109" s="16" t="str">
        <f t="shared" si="3"/>
        <v>SHYAM SUNDER BISHNOI</v>
      </c>
      <c r="C109" s="16" t="str">
        <f t="shared" si="4"/>
        <v>Chak No 6 Kharicharnan / Kolayat / Bikaner</v>
      </c>
      <c r="D109" s="4" t="s">
        <v>3029</v>
      </c>
      <c r="E109" s="4" t="s">
        <v>3119</v>
      </c>
      <c r="F109" s="5">
        <v>46010.999664351853</v>
      </c>
      <c r="G109" s="16" t="str">
        <f t="shared" si="5"/>
        <v>Gravel</v>
      </c>
      <c r="H109" s="4" t="s">
        <v>333</v>
      </c>
      <c r="I109" s="18" t="str" cm="1">
        <f t="array" ref="I109">_xlfn.LET(_xlpm.text, D109,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09" s="18" t="str" cm="1">
        <f t="array" ref="J109">_xlfn.LET(_xlpm.text, E109,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" s="14">
        <f t="shared" si="6"/>
        <v>46011</v>
      </c>
      <c r="L109" s="14">
        <f t="shared" si="7"/>
        <v>46011.624664351853</v>
      </c>
      <c r="N109" s="12"/>
    </row>
    <row r="110" spans="1:14" x14ac:dyDescent="0.25">
      <c r="A110" s="4" t="s">
        <v>33</v>
      </c>
      <c r="B110" s="16" t="str">
        <f t="shared" si="3"/>
        <v>SHYAM SUNDER BISHNOI</v>
      </c>
      <c r="C110" s="16" t="str">
        <f t="shared" si="4"/>
        <v>Chak No 6 Kharicharnan / Kolayat / Bikaner</v>
      </c>
      <c r="D110" s="4" t="s">
        <v>3029</v>
      </c>
      <c r="E110" s="4" t="s">
        <v>3119</v>
      </c>
      <c r="F110" s="5">
        <v>46010.999664351853</v>
      </c>
      <c r="G110" s="16" t="str">
        <f t="shared" si="5"/>
        <v>Gravel</v>
      </c>
      <c r="H110" s="4" t="s">
        <v>330</v>
      </c>
      <c r="I110" s="18" t="str" cm="1">
        <f t="array" ref="I110">_xlfn.LET(_xlpm.text, D110,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10" s="18" t="str" cm="1">
        <f t="array" ref="J110">_xlfn.LET(_xlpm.text, E110,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" s="14">
        <f t="shared" si="6"/>
        <v>46011</v>
      </c>
      <c r="L110" s="14">
        <f t="shared" si="7"/>
        <v>46011.624664351853</v>
      </c>
      <c r="N110" s="12"/>
    </row>
    <row r="111" spans="1:14" x14ac:dyDescent="0.25">
      <c r="A111" s="4" t="s">
        <v>34</v>
      </c>
      <c r="B111" s="16" t="str">
        <f t="shared" si="3"/>
        <v>SHYAM SUNDER BISHNOI</v>
      </c>
      <c r="C111" s="16" t="str">
        <f t="shared" si="4"/>
        <v>Chak No 6 Kharicharnan / Kolayat / Bikaner</v>
      </c>
      <c r="D111" s="4" t="s">
        <v>3029</v>
      </c>
      <c r="E111" s="4" t="s">
        <v>3119</v>
      </c>
      <c r="F111" s="5">
        <v>46010.999664351853</v>
      </c>
      <c r="G111" s="16" t="str">
        <f t="shared" si="5"/>
        <v>Gravel</v>
      </c>
      <c r="H111" s="4" t="s">
        <v>333</v>
      </c>
      <c r="I111" s="18" t="str" cm="1">
        <f t="array" ref="I111">_xlfn.LET(_xlpm.text, D111,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11" s="18" t="str" cm="1">
        <f t="array" ref="J111">_xlfn.LET(_xlpm.text, E111,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" s="14">
        <f t="shared" si="6"/>
        <v>46011</v>
      </c>
      <c r="L111" s="14">
        <f t="shared" si="7"/>
        <v>46011.624664351853</v>
      </c>
      <c r="N111" s="12"/>
    </row>
    <row r="112" spans="1:14" x14ac:dyDescent="0.25">
      <c r="A112" s="4" t="s">
        <v>35</v>
      </c>
      <c r="B112" s="16" t="str">
        <f t="shared" si="3"/>
        <v>SHYAM SUNDER BISHNOI</v>
      </c>
      <c r="C112" s="16" t="str">
        <f t="shared" si="4"/>
        <v>Chak No 6 Kharicharnan / Kolayat / Bikaner</v>
      </c>
      <c r="D112" s="4" t="s">
        <v>3029</v>
      </c>
      <c r="E112" s="4" t="s">
        <v>3119</v>
      </c>
      <c r="F112" s="5">
        <v>46005.999664351853</v>
      </c>
      <c r="G112" s="16" t="str">
        <f t="shared" si="5"/>
        <v>Gravel</v>
      </c>
      <c r="H112" s="4" t="s">
        <v>330</v>
      </c>
      <c r="I112" s="18" t="str" cm="1">
        <f t="array" ref="I112">_xlfn.LET(_xlpm.text, D112,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12" s="18" t="str" cm="1">
        <f t="array" ref="J112">_xlfn.LET(_xlpm.text, E112,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" s="14">
        <f t="shared" si="6"/>
        <v>46006</v>
      </c>
      <c r="L112" s="14">
        <f t="shared" si="7"/>
        <v>46006.624664351853</v>
      </c>
      <c r="N112" s="12"/>
    </row>
    <row r="113" spans="1:14" x14ac:dyDescent="0.25">
      <c r="A113" s="4" t="s">
        <v>36</v>
      </c>
      <c r="B113" s="16" t="str">
        <f t="shared" si="3"/>
        <v>SHYAM SUNDER BISHNOI</v>
      </c>
      <c r="C113" s="16" t="str">
        <f t="shared" si="4"/>
        <v>Chak No 6 Kharicharnan / Kolayat / Bikaner</v>
      </c>
      <c r="D113" s="4" t="s">
        <v>3029</v>
      </c>
      <c r="E113" s="4" t="s">
        <v>3119</v>
      </c>
      <c r="F113" s="5">
        <v>46005.999664351853</v>
      </c>
      <c r="G113" s="16" t="str">
        <f t="shared" si="5"/>
        <v>Gravel</v>
      </c>
      <c r="H113" s="4" t="s">
        <v>335</v>
      </c>
      <c r="I113" s="18" t="str" cm="1">
        <f t="array" ref="I113">_xlfn.LET(_xlpm.text, D113,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13" s="18" t="str" cm="1">
        <f t="array" ref="J113">_xlfn.LET(_xlpm.text, E113,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" s="14">
        <f t="shared" si="6"/>
        <v>46006</v>
      </c>
      <c r="L113" s="14">
        <f t="shared" si="7"/>
        <v>46006.624664351853</v>
      </c>
      <c r="N113" s="12"/>
    </row>
    <row r="114" spans="1:14" x14ac:dyDescent="0.25">
      <c r="A114" s="4" t="s">
        <v>37</v>
      </c>
      <c r="B114" s="16" t="str">
        <f t="shared" si="3"/>
        <v>SHYAM SUNDER BISHNOI</v>
      </c>
      <c r="C114" s="16" t="str">
        <f t="shared" si="4"/>
        <v>Chak No 6 Kharicharnan / Kolayat / Bikaner</v>
      </c>
      <c r="D114" s="4" t="s">
        <v>3029</v>
      </c>
      <c r="E114" s="4" t="s">
        <v>3119</v>
      </c>
      <c r="F114" s="5">
        <v>46006.999664351853</v>
      </c>
      <c r="G114" s="16" t="str">
        <f t="shared" si="5"/>
        <v>Gravel</v>
      </c>
      <c r="H114" s="4" t="s">
        <v>330</v>
      </c>
      <c r="I114" s="18" t="str" cm="1">
        <f t="array" ref="I114">_xlfn.LET(_xlpm.text, D114,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114" s="18" t="str" cm="1">
        <f t="array" ref="J114">_xlfn.LET(_xlpm.text, E114,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" s="14">
        <f t="shared" si="6"/>
        <v>46007</v>
      </c>
      <c r="L114" s="14">
        <f t="shared" si="7"/>
        <v>46007.624664351853</v>
      </c>
      <c r="N114" s="12"/>
    </row>
    <row r="115" spans="1:14" x14ac:dyDescent="0.25">
      <c r="A115" s="4" t="s">
        <v>38</v>
      </c>
      <c r="B115" s="16" t="str">
        <f t="shared" si="3"/>
        <v>SHYAM SUNDER BISHNOI</v>
      </c>
      <c r="C115" s="16" t="str">
        <f t="shared" si="4"/>
        <v>Chak No 6 Kharicharnan / Kolayat / Bikaner</v>
      </c>
      <c r="D115" s="4" t="s">
        <v>3030</v>
      </c>
      <c r="E115" s="4" t="s">
        <v>3119</v>
      </c>
      <c r="F115" s="5">
        <v>45897.999664351853</v>
      </c>
      <c r="G115" s="16" t="str">
        <f t="shared" si="5"/>
        <v>Gravel</v>
      </c>
      <c r="H115" s="4" t="s">
        <v>330</v>
      </c>
      <c r="I115" s="18" t="str" cm="1">
        <f t="array" ref="I115">_xlfn.LET(_xlpm.text, D115,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15" s="18" t="str" cm="1">
        <f t="array" ref="J115">_xlfn.LET(_xlpm.text, E115,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" s="14">
        <f t="shared" si="6"/>
        <v>45898</v>
      </c>
      <c r="L115" s="14">
        <f t="shared" si="7"/>
        <v>45898.624664351853</v>
      </c>
      <c r="N115" s="12"/>
    </row>
    <row r="116" spans="1:14" x14ac:dyDescent="0.25">
      <c r="A116" s="4" t="s">
        <v>39</v>
      </c>
      <c r="B116" s="16" t="str">
        <f t="shared" si="3"/>
        <v>SHYAM SUNDER BISHNOI</v>
      </c>
      <c r="C116" s="16" t="str">
        <f t="shared" si="4"/>
        <v>Chak No 6 Kharicharnan / Kolayat / Bikaner</v>
      </c>
      <c r="D116" s="4" t="s">
        <v>3030</v>
      </c>
      <c r="E116" s="4" t="s">
        <v>3119</v>
      </c>
      <c r="F116" s="5">
        <v>45895.999664351853</v>
      </c>
      <c r="G116" s="16" t="str">
        <f t="shared" si="5"/>
        <v>Gravel</v>
      </c>
      <c r="H116" s="4" t="s">
        <v>336</v>
      </c>
      <c r="I116" s="18" t="str" cm="1">
        <f t="array" ref="I116">_xlfn.LET(_xlpm.text, D116,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16" s="18" t="str" cm="1">
        <f t="array" ref="J116">_xlfn.LET(_xlpm.text, E116,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" s="14">
        <f t="shared" si="6"/>
        <v>45896</v>
      </c>
      <c r="L116" s="14">
        <f t="shared" si="7"/>
        <v>45896.624664351853</v>
      </c>
      <c r="N116" s="12"/>
    </row>
    <row r="117" spans="1:14" x14ac:dyDescent="0.25">
      <c r="A117" s="4" t="s">
        <v>40</v>
      </c>
      <c r="B117" s="16" t="str">
        <f t="shared" si="3"/>
        <v>SHYAM SUNDER BISHNOI</v>
      </c>
      <c r="C117" s="16" t="str">
        <f t="shared" si="4"/>
        <v>Chak No 6 Kharicharnan / Kolayat / Bikaner</v>
      </c>
      <c r="D117" s="4" t="s">
        <v>3030</v>
      </c>
      <c r="E117" s="4" t="s">
        <v>3119</v>
      </c>
      <c r="F117" s="5">
        <v>45894.999664351853</v>
      </c>
      <c r="G117" s="16" t="str">
        <f t="shared" si="5"/>
        <v>Gravel</v>
      </c>
      <c r="H117" s="4" t="s">
        <v>337</v>
      </c>
      <c r="I117" s="18" t="str" cm="1">
        <f t="array" ref="I117">_xlfn.LET(_xlpm.text, D117,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17" s="18" t="str" cm="1">
        <f t="array" ref="J117">_xlfn.LET(_xlpm.text, E117,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" s="14">
        <f t="shared" si="6"/>
        <v>45895</v>
      </c>
      <c r="L117" s="14">
        <f t="shared" si="7"/>
        <v>45895.624664351853</v>
      </c>
      <c r="N117" s="12"/>
    </row>
    <row r="118" spans="1:14" x14ac:dyDescent="0.25">
      <c r="A118" s="4" t="s">
        <v>41</v>
      </c>
      <c r="B118" s="16" t="str">
        <f t="shared" si="3"/>
        <v>SHYAM SUNDER BISHNOI</v>
      </c>
      <c r="C118" s="16" t="str">
        <f t="shared" si="4"/>
        <v>Chak No 6 Kharicharnan / Kolayat / Bikaner</v>
      </c>
      <c r="D118" s="4" t="s">
        <v>3030</v>
      </c>
      <c r="E118" s="4" t="s">
        <v>3119</v>
      </c>
      <c r="F118" s="5">
        <v>45895.999664351853</v>
      </c>
      <c r="G118" s="16" t="str">
        <f t="shared" si="5"/>
        <v>Gravel</v>
      </c>
      <c r="H118" s="4" t="s">
        <v>338</v>
      </c>
      <c r="I118" s="18" t="str" cm="1">
        <f t="array" ref="I118">_xlfn.LET(_xlpm.text, D118,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18" s="18" t="str" cm="1">
        <f t="array" ref="J118">_xlfn.LET(_xlpm.text, E118,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" s="14">
        <f t="shared" si="6"/>
        <v>45896</v>
      </c>
      <c r="L118" s="14">
        <f t="shared" si="7"/>
        <v>45896.624664351853</v>
      </c>
      <c r="N118" s="12"/>
    </row>
    <row r="119" spans="1:14" x14ac:dyDescent="0.25">
      <c r="A119" s="4" t="s">
        <v>42</v>
      </c>
      <c r="B119" s="16" t="str">
        <f t="shared" si="3"/>
        <v>SHYAM SUNDER BISHNOI</v>
      </c>
      <c r="C119" s="16" t="str">
        <f t="shared" si="4"/>
        <v>Chak No 6 Kharicharnan / Kolayat / Bikaner</v>
      </c>
      <c r="D119" s="4" t="s">
        <v>3030</v>
      </c>
      <c r="E119" s="4" t="s">
        <v>3119</v>
      </c>
      <c r="F119" s="5">
        <v>45894.999664351853</v>
      </c>
      <c r="G119" s="16" t="str">
        <f t="shared" si="5"/>
        <v>Gravel</v>
      </c>
      <c r="H119" s="4" t="s">
        <v>339</v>
      </c>
      <c r="I119" s="18" t="str" cm="1">
        <f t="array" ref="I119">_xlfn.LET(_xlpm.text, D119,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19" s="18" t="str" cm="1">
        <f t="array" ref="J119">_xlfn.LET(_xlpm.text, E119,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" s="14">
        <f t="shared" si="6"/>
        <v>45895</v>
      </c>
      <c r="L119" s="14">
        <f t="shared" si="7"/>
        <v>45895.624664351853</v>
      </c>
      <c r="N119" s="12"/>
    </row>
    <row r="120" spans="1:14" x14ac:dyDescent="0.25">
      <c r="A120" s="4" t="s">
        <v>43</v>
      </c>
      <c r="B120" s="16" t="str">
        <f t="shared" si="3"/>
        <v>SHYAM SUNDER BISHNOI</v>
      </c>
      <c r="C120" s="16" t="str">
        <f t="shared" si="4"/>
        <v>Chak No 6 Kharicharnan / Kolayat / Bikaner</v>
      </c>
      <c r="D120" s="4" t="s">
        <v>3030</v>
      </c>
      <c r="E120" s="4" t="s">
        <v>3119</v>
      </c>
      <c r="F120" s="5">
        <v>45897.999664351853</v>
      </c>
      <c r="G120" s="16" t="str">
        <f t="shared" si="5"/>
        <v>Gravel</v>
      </c>
      <c r="H120" s="4" t="s">
        <v>330</v>
      </c>
      <c r="I120" s="18" t="str" cm="1">
        <f t="array" ref="I120">_xlfn.LET(_xlpm.text, D120,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0" s="18" t="str" cm="1">
        <f t="array" ref="J120">_xlfn.LET(_xlpm.text, E120,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" s="14">
        <f t="shared" si="6"/>
        <v>45898</v>
      </c>
      <c r="L120" s="14">
        <f t="shared" si="7"/>
        <v>45898.624664351853</v>
      </c>
      <c r="N120" s="12"/>
    </row>
    <row r="121" spans="1:14" x14ac:dyDescent="0.25">
      <c r="A121" s="4" t="s">
        <v>44</v>
      </c>
      <c r="B121" s="16" t="str">
        <f t="shared" si="3"/>
        <v>SHYAM SUNDER BISHNOI</v>
      </c>
      <c r="C121" s="16" t="str">
        <f t="shared" si="4"/>
        <v>Chak No 6 Kharicharnan / Kolayat / Bikaner</v>
      </c>
      <c r="D121" s="4" t="s">
        <v>3030</v>
      </c>
      <c r="E121" s="4" t="s">
        <v>3119</v>
      </c>
      <c r="F121" s="5">
        <v>45894.999664351853</v>
      </c>
      <c r="G121" s="16" t="str">
        <f t="shared" si="5"/>
        <v>Gravel</v>
      </c>
      <c r="H121" s="4" t="s">
        <v>331</v>
      </c>
      <c r="I121" s="18" t="str" cm="1">
        <f t="array" ref="I121">_xlfn.LET(_xlpm.text, D121,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1" s="18" t="str" cm="1">
        <f t="array" ref="J121">_xlfn.LET(_xlpm.text, E121,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" s="14">
        <f t="shared" si="6"/>
        <v>45895</v>
      </c>
      <c r="L121" s="14">
        <f t="shared" si="7"/>
        <v>45895.624664351853</v>
      </c>
      <c r="N121" s="12"/>
    </row>
    <row r="122" spans="1:14" x14ac:dyDescent="0.25">
      <c r="A122" s="4" t="s">
        <v>45</v>
      </c>
      <c r="B122" s="16" t="str">
        <f t="shared" si="3"/>
        <v>SHYAM SUNDER BISHNOI</v>
      </c>
      <c r="C122" s="16" t="str">
        <f t="shared" si="4"/>
        <v>Chak No 6 Kharicharnan / Kolayat / Bikaner</v>
      </c>
      <c r="D122" s="4" t="s">
        <v>3030</v>
      </c>
      <c r="E122" s="4" t="s">
        <v>3119</v>
      </c>
      <c r="F122" s="5">
        <v>45896.999664351853</v>
      </c>
      <c r="G122" s="16" t="str">
        <f t="shared" si="5"/>
        <v>Gravel</v>
      </c>
      <c r="H122" s="4" t="s">
        <v>340</v>
      </c>
      <c r="I122" s="18" t="str" cm="1">
        <f t="array" ref="I122">_xlfn.LET(_xlpm.text, D122,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2" s="18" t="str" cm="1">
        <f t="array" ref="J122">_xlfn.LET(_xlpm.text, E122,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" s="14">
        <f t="shared" si="6"/>
        <v>45897</v>
      </c>
      <c r="L122" s="14">
        <f t="shared" si="7"/>
        <v>45897.624664351853</v>
      </c>
      <c r="N122" s="12"/>
    </row>
    <row r="123" spans="1:14" x14ac:dyDescent="0.25">
      <c r="A123" s="4" t="s">
        <v>46</v>
      </c>
      <c r="B123" s="16" t="str">
        <f t="shared" si="3"/>
        <v>SHYAM SUNDER BISHNOI</v>
      </c>
      <c r="C123" s="16" t="str">
        <f t="shared" si="4"/>
        <v>Chak No 6 Kharicharnan / Kolayat / Bikaner</v>
      </c>
      <c r="D123" s="4" t="s">
        <v>3030</v>
      </c>
      <c r="E123" s="4" t="s">
        <v>3119</v>
      </c>
      <c r="F123" s="5">
        <v>45896.999664351853</v>
      </c>
      <c r="G123" s="16" t="str">
        <f t="shared" si="5"/>
        <v>Gravel</v>
      </c>
      <c r="H123" s="4" t="s">
        <v>341</v>
      </c>
      <c r="I123" s="18" t="str" cm="1">
        <f t="array" ref="I123">_xlfn.LET(_xlpm.text, D123,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3" s="18" t="str" cm="1">
        <f t="array" ref="J123">_xlfn.LET(_xlpm.text, E123,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" s="14">
        <f t="shared" si="6"/>
        <v>45897</v>
      </c>
      <c r="L123" s="14">
        <f t="shared" si="7"/>
        <v>45897.624664351853</v>
      </c>
      <c r="N123" s="12"/>
    </row>
    <row r="124" spans="1:14" x14ac:dyDescent="0.25">
      <c r="A124" s="4" t="s">
        <v>47</v>
      </c>
      <c r="B124" s="16" t="str">
        <f t="shared" si="3"/>
        <v>SHYAM SUNDER BISHNOI</v>
      </c>
      <c r="C124" s="16" t="str">
        <f t="shared" si="4"/>
        <v>Chak No 6 Kharicharnan / Kolayat / Bikaner</v>
      </c>
      <c r="D124" s="4" t="s">
        <v>3030</v>
      </c>
      <c r="E124" s="4" t="s">
        <v>3119</v>
      </c>
      <c r="F124" s="5">
        <v>45896.999664351853</v>
      </c>
      <c r="G124" s="16" t="str">
        <f t="shared" si="5"/>
        <v>Gravel</v>
      </c>
      <c r="H124" s="4" t="s">
        <v>342</v>
      </c>
      <c r="I124" s="18" t="str" cm="1">
        <f t="array" ref="I124">_xlfn.LET(_xlpm.text, D124,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4" s="18" t="str" cm="1">
        <f t="array" ref="J124">_xlfn.LET(_xlpm.text, E124,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" s="14">
        <f t="shared" si="6"/>
        <v>45897</v>
      </c>
      <c r="L124" s="14">
        <f t="shared" si="7"/>
        <v>45897.624664351853</v>
      </c>
      <c r="N124" s="12"/>
    </row>
    <row r="125" spans="1:14" x14ac:dyDescent="0.25">
      <c r="A125" s="4" t="s">
        <v>48</v>
      </c>
      <c r="B125" s="16" t="str">
        <f t="shared" si="3"/>
        <v>SHYAM SUNDER BISHNOI</v>
      </c>
      <c r="C125" s="16" t="str">
        <f t="shared" si="4"/>
        <v>Chak No 6 Kharicharnan / Kolayat / Bikaner</v>
      </c>
      <c r="D125" s="4" t="s">
        <v>3030</v>
      </c>
      <c r="E125" s="4" t="s">
        <v>3119</v>
      </c>
      <c r="F125" s="5">
        <v>45896.999664351853</v>
      </c>
      <c r="G125" s="16" t="str">
        <f t="shared" si="5"/>
        <v>Gravel</v>
      </c>
      <c r="H125" s="4" t="s">
        <v>328</v>
      </c>
      <c r="I125" s="18" t="str" cm="1">
        <f t="array" ref="I125">_xlfn.LET(_xlpm.text, D125,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5" s="18" t="str" cm="1">
        <f t="array" ref="J125">_xlfn.LET(_xlpm.text, E125,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" s="14">
        <f t="shared" si="6"/>
        <v>45897</v>
      </c>
      <c r="L125" s="14">
        <f t="shared" si="7"/>
        <v>45897.624664351853</v>
      </c>
      <c r="N125" s="12"/>
    </row>
    <row r="126" spans="1:14" x14ac:dyDescent="0.25">
      <c r="A126" s="4" t="s">
        <v>49</v>
      </c>
      <c r="B126" s="16" t="str">
        <f t="shared" si="3"/>
        <v>SHYAM SUNDER BISHNOI</v>
      </c>
      <c r="C126" s="16" t="str">
        <f t="shared" si="4"/>
        <v>Chak No 6 Kharicharnan / Kolayat / Bikaner</v>
      </c>
      <c r="D126" s="4" t="s">
        <v>3030</v>
      </c>
      <c r="E126" s="4" t="s">
        <v>3119</v>
      </c>
      <c r="F126" s="5">
        <v>45895.999664351853</v>
      </c>
      <c r="G126" s="16" t="str">
        <f t="shared" si="5"/>
        <v>Gravel</v>
      </c>
      <c r="H126" s="4" t="s">
        <v>340</v>
      </c>
      <c r="I126" s="18" t="str" cm="1">
        <f t="array" ref="I126">_xlfn.LET(_xlpm.text, D126,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6" s="18" t="str" cm="1">
        <f t="array" ref="J126">_xlfn.LET(_xlpm.text, E126,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" s="14">
        <f t="shared" si="6"/>
        <v>45896</v>
      </c>
      <c r="L126" s="14">
        <f t="shared" si="7"/>
        <v>45896.624664351853</v>
      </c>
      <c r="N126" s="12"/>
    </row>
    <row r="127" spans="1:14" x14ac:dyDescent="0.25">
      <c r="A127" s="4" t="s">
        <v>50</v>
      </c>
      <c r="B127" s="16" t="str">
        <f t="shared" si="3"/>
        <v>SHYAM SUNDER BISHNOI</v>
      </c>
      <c r="C127" s="16" t="str">
        <f t="shared" si="4"/>
        <v>Chak No 6 Kharicharnan / Kolayat / Bikaner</v>
      </c>
      <c r="D127" s="4" t="s">
        <v>3030</v>
      </c>
      <c r="E127" s="4" t="s">
        <v>3119</v>
      </c>
      <c r="F127" s="5">
        <v>45897.999664351853</v>
      </c>
      <c r="G127" s="16" t="str">
        <f t="shared" si="5"/>
        <v>Gravel</v>
      </c>
      <c r="H127" s="4" t="s">
        <v>343</v>
      </c>
      <c r="I127" s="18" t="str" cm="1">
        <f t="array" ref="I127">_xlfn.LET(_xlpm.text, D127,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7" s="18" t="str" cm="1">
        <f t="array" ref="J127">_xlfn.LET(_xlpm.text, E127,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" s="14">
        <f t="shared" si="6"/>
        <v>45898</v>
      </c>
      <c r="L127" s="14">
        <f t="shared" si="7"/>
        <v>45898.624664351853</v>
      </c>
      <c r="N127" s="12"/>
    </row>
    <row r="128" spans="1:14" x14ac:dyDescent="0.25">
      <c r="A128" s="4" t="s">
        <v>51</v>
      </c>
      <c r="B128" s="16" t="str">
        <f t="shared" si="3"/>
        <v>SHYAM SUNDER BISHNOI</v>
      </c>
      <c r="C128" s="16" t="str">
        <f t="shared" si="4"/>
        <v>Chak No 6 Kharicharnan / Kolayat / Bikaner</v>
      </c>
      <c r="D128" s="4" t="s">
        <v>3030</v>
      </c>
      <c r="E128" s="4" t="s">
        <v>3119</v>
      </c>
      <c r="F128" s="5">
        <v>45895.999664351853</v>
      </c>
      <c r="G128" s="16" t="str">
        <f t="shared" si="5"/>
        <v>Gravel</v>
      </c>
      <c r="H128" s="4" t="s">
        <v>328</v>
      </c>
      <c r="I128" s="18" t="str" cm="1">
        <f t="array" ref="I128">_xlfn.LET(_xlpm.text, D128,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8" s="18" t="str" cm="1">
        <f t="array" ref="J128">_xlfn.LET(_xlpm.text, E128,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" s="14">
        <f t="shared" si="6"/>
        <v>45896</v>
      </c>
      <c r="L128" s="14">
        <f t="shared" si="7"/>
        <v>45896.624664351853</v>
      </c>
      <c r="N128" s="12"/>
    </row>
    <row r="129" spans="1:14" x14ac:dyDescent="0.25">
      <c r="A129" s="4" t="s">
        <v>52</v>
      </c>
      <c r="B129" s="16" t="str">
        <f t="shared" si="3"/>
        <v>SHYAM SUNDER BISHNOI</v>
      </c>
      <c r="C129" s="16" t="str">
        <f t="shared" si="4"/>
        <v>Chak No 6 Kharicharnan / Kolayat / Bikaner</v>
      </c>
      <c r="D129" s="4" t="s">
        <v>3030</v>
      </c>
      <c r="E129" s="4" t="s">
        <v>3119</v>
      </c>
      <c r="F129" s="5">
        <v>45896.999664351853</v>
      </c>
      <c r="G129" s="16" t="str">
        <f t="shared" si="5"/>
        <v>Gravel</v>
      </c>
      <c r="H129" s="4" t="s">
        <v>328</v>
      </c>
      <c r="I129" s="18" t="str" cm="1">
        <f t="array" ref="I129">_xlfn.LET(_xlpm.text, D129,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29" s="18" t="str" cm="1">
        <f t="array" ref="J129">_xlfn.LET(_xlpm.text, E129,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" s="14">
        <f t="shared" si="6"/>
        <v>45897</v>
      </c>
      <c r="L129" s="14">
        <f t="shared" si="7"/>
        <v>45897.624664351853</v>
      </c>
      <c r="N129" s="12"/>
    </row>
    <row r="130" spans="1:14" x14ac:dyDescent="0.25">
      <c r="A130" s="4" t="s">
        <v>53</v>
      </c>
      <c r="B130" s="16" t="str">
        <f t="shared" ref="B130:B193" si="8">VLOOKUP(LEFT($A130,4)&amp;"*",$O$3:$R$17, 2, FALSE)</f>
        <v>SHYAM SUNDER BISHNOI</v>
      </c>
      <c r="C130" s="16" t="str">
        <f t="shared" ref="C130:C193" si="9">VLOOKUP(LEFT($A130,4)&amp;"*",$O$3:$R$17, 3, FALSE)</f>
        <v>Chak No 6 Kharicharnan / Kolayat / Bikaner</v>
      </c>
      <c r="D130" s="4" t="s">
        <v>3030</v>
      </c>
      <c r="E130" s="4" t="s">
        <v>3119</v>
      </c>
      <c r="F130" s="5">
        <v>45897.999664351853</v>
      </c>
      <c r="G130" s="16" t="str">
        <f t="shared" ref="G130:G193" si="10">VLOOKUP(LEFT($A130,4)&amp;"*",$O$3:$R$17, 4, FALSE)</f>
        <v>Gravel</v>
      </c>
      <c r="H130" s="4" t="s">
        <v>328</v>
      </c>
      <c r="I130" s="18" t="str" cm="1">
        <f t="array" ref="I130">_xlfn.LET(_xlpm.text, D130,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0" s="18" t="str" cm="1">
        <f t="array" ref="J130">_xlfn.LET(_xlpm.text, E130,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" s="14">
        <f t="shared" si="6"/>
        <v>45898</v>
      </c>
      <c r="L130" s="14">
        <f t="shared" si="7"/>
        <v>45898.624664351853</v>
      </c>
      <c r="N130" s="12"/>
    </row>
    <row r="131" spans="1:14" x14ac:dyDescent="0.25">
      <c r="A131" s="4" t="s">
        <v>54</v>
      </c>
      <c r="B131" s="16" t="str">
        <f t="shared" si="8"/>
        <v>SHYAM SUNDER BISHNOI</v>
      </c>
      <c r="C131" s="16" t="str">
        <f t="shared" si="9"/>
        <v>Chak No 6 Kharicharnan / Kolayat / Bikaner</v>
      </c>
      <c r="D131" s="4" t="s">
        <v>3030</v>
      </c>
      <c r="E131" s="4" t="s">
        <v>3119</v>
      </c>
      <c r="F131" s="5">
        <v>45895.999664351853</v>
      </c>
      <c r="G131" s="16" t="str">
        <f t="shared" si="10"/>
        <v>Gravel</v>
      </c>
      <c r="H131" s="4" t="s">
        <v>344</v>
      </c>
      <c r="I131" s="18" t="str" cm="1">
        <f t="array" ref="I131">_xlfn.LET(_xlpm.text, D131,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1" s="18" t="str" cm="1">
        <f t="array" ref="J131">_xlfn.LET(_xlpm.text, E131,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" s="14">
        <f t="shared" ref="K131:K194" si="11">F131+(29/86400)</f>
        <v>45896</v>
      </c>
      <c r="L131" s="14">
        <f t="shared" ref="L131:L194" si="12">F131+(15/24)</f>
        <v>45896.624664351853</v>
      </c>
      <c r="N131" s="12"/>
    </row>
    <row r="132" spans="1:14" x14ac:dyDescent="0.25">
      <c r="A132" s="4" t="s">
        <v>55</v>
      </c>
      <c r="B132" s="16" t="str">
        <f t="shared" si="8"/>
        <v>SHYAM SUNDER BISHNOI</v>
      </c>
      <c r="C132" s="16" t="str">
        <f t="shared" si="9"/>
        <v>Chak No 6 Kharicharnan / Kolayat / Bikaner</v>
      </c>
      <c r="D132" s="4" t="s">
        <v>3030</v>
      </c>
      <c r="E132" s="4" t="s">
        <v>3119</v>
      </c>
      <c r="F132" s="5">
        <v>45897.999664351853</v>
      </c>
      <c r="G132" s="16" t="str">
        <f t="shared" si="10"/>
        <v>Gravel</v>
      </c>
      <c r="H132" s="4" t="s">
        <v>343</v>
      </c>
      <c r="I132" s="18" t="str" cm="1">
        <f t="array" ref="I132">_xlfn.LET(_xlpm.text, D132,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2" s="18" t="str" cm="1">
        <f t="array" ref="J132">_xlfn.LET(_xlpm.text, E132,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" s="14">
        <f t="shared" si="11"/>
        <v>45898</v>
      </c>
      <c r="L132" s="14">
        <f t="shared" si="12"/>
        <v>45898.624664351853</v>
      </c>
      <c r="N132" s="12"/>
    </row>
    <row r="133" spans="1:14" x14ac:dyDescent="0.25">
      <c r="A133" s="4" t="s">
        <v>56</v>
      </c>
      <c r="B133" s="16" t="str">
        <f t="shared" si="8"/>
        <v>SHYAM SUNDER BISHNOI</v>
      </c>
      <c r="C133" s="16" t="str">
        <f t="shared" si="9"/>
        <v>Chak No 6 Kharicharnan / Kolayat / Bikaner</v>
      </c>
      <c r="D133" s="4" t="s">
        <v>3030</v>
      </c>
      <c r="E133" s="4" t="s">
        <v>3119</v>
      </c>
      <c r="F133" s="5">
        <v>45896.999664351853</v>
      </c>
      <c r="G133" s="16" t="str">
        <f t="shared" si="10"/>
        <v>Gravel</v>
      </c>
      <c r="H133" s="4" t="s">
        <v>330</v>
      </c>
      <c r="I133" s="18" t="str" cm="1">
        <f t="array" ref="I133">_xlfn.LET(_xlpm.text, D133,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3" s="18" t="str" cm="1">
        <f t="array" ref="J133">_xlfn.LET(_xlpm.text, E133,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" s="14">
        <f t="shared" si="11"/>
        <v>45897</v>
      </c>
      <c r="L133" s="14">
        <f t="shared" si="12"/>
        <v>45897.624664351853</v>
      </c>
      <c r="N133" s="12"/>
    </row>
    <row r="134" spans="1:14" x14ac:dyDescent="0.25">
      <c r="A134" s="4" t="s">
        <v>57</v>
      </c>
      <c r="B134" s="16" t="str">
        <f t="shared" si="8"/>
        <v>SHYAM SUNDER BISHNOI</v>
      </c>
      <c r="C134" s="16" t="str">
        <f t="shared" si="9"/>
        <v>Chak No 6 Kharicharnan / Kolayat / Bikaner</v>
      </c>
      <c r="D134" s="4" t="s">
        <v>3030</v>
      </c>
      <c r="E134" s="4" t="s">
        <v>3119</v>
      </c>
      <c r="F134" s="5">
        <v>45896.999664351853</v>
      </c>
      <c r="G134" s="16" t="str">
        <f t="shared" si="10"/>
        <v>Gravel</v>
      </c>
      <c r="H134" s="4" t="s">
        <v>345</v>
      </c>
      <c r="I134" s="18" t="str" cm="1">
        <f t="array" ref="I134">_xlfn.LET(_xlpm.text, D134,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4" s="18" t="str" cm="1">
        <f t="array" ref="J134">_xlfn.LET(_xlpm.text, E134,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" s="14">
        <f t="shared" si="11"/>
        <v>45897</v>
      </c>
      <c r="L134" s="14">
        <f t="shared" si="12"/>
        <v>45897.624664351853</v>
      </c>
      <c r="N134" s="12"/>
    </row>
    <row r="135" spans="1:14" x14ac:dyDescent="0.25">
      <c r="A135" s="4" t="s">
        <v>58</v>
      </c>
      <c r="B135" s="16" t="str">
        <f t="shared" si="8"/>
        <v>SHYAM SUNDER BISHNOI</v>
      </c>
      <c r="C135" s="16" t="str">
        <f t="shared" si="9"/>
        <v>Chak No 6 Kharicharnan / Kolayat / Bikaner</v>
      </c>
      <c r="D135" s="4" t="s">
        <v>3030</v>
      </c>
      <c r="E135" s="4" t="s">
        <v>3119</v>
      </c>
      <c r="F135" s="5">
        <v>45896.999664351853</v>
      </c>
      <c r="G135" s="16" t="str">
        <f t="shared" si="10"/>
        <v>Gravel</v>
      </c>
      <c r="H135" s="4" t="s">
        <v>343</v>
      </c>
      <c r="I135" s="18" t="str" cm="1">
        <f t="array" ref="I135">_xlfn.LET(_xlpm.text, D135,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5" s="18" t="str" cm="1">
        <f t="array" ref="J135">_xlfn.LET(_xlpm.text, E135,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" s="14">
        <f t="shared" si="11"/>
        <v>45897</v>
      </c>
      <c r="L135" s="14">
        <f t="shared" si="12"/>
        <v>45897.624664351853</v>
      </c>
      <c r="N135" s="12"/>
    </row>
    <row r="136" spans="1:14" x14ac:dyDescent="0.25">
      <c r="A136" s="4" t="s">
        <v>59</v>
      </c>
      <c r="B136" s="16" t="str">
        <f t="shared" si="8"/>
        <v>SHYAM SUNDER BISHNOI</v>
      </c>
      <c r="C136" s="16" t="str">
        <f t="shared" si="9"/>
        <v>Chak No 6 Kharicharnan / Kolayat / Bikaner</v>
      </c>
      <c r="D136" s="4" t="s">
        <v>3030</v>
      </c>
      <c r="E136" s="4" t="s">
        <v>3119</v>
      </c>
      <c r="F136" s="5">
        <v>45895.999664351853</v>
      </c>
      <c r="G136" s="16" t="str">
        <f t="shared" si="10"/>
        <v>Gravel</v>
      </c>
      <c r="H136" s="4" t="s">
        <v>346</v>
      </c>
      <c r="I136" s="18" t="str" cm="1">
        <f t="array" ref="I136">_xlfn.LET(_xlpm.text, D136,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6" s="18" t="str" cm="1">
        <f t="array" ref="J136">_xlfn.LET(_xlpm.text, E136,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" s="14">
        <f t="shared" si="11"/>
        <v>45896</v>
      </c>
      <c r="L136" s="14">
        <f t="shared" si="12"/>
        <v>45896.624664351853</v>
      </c>
      <c r="N136" s="12"/>
    </row>
    <row r="137" spans="1:14" x14ac:dyDescent="0.25">
      <c r="A137" s="4" t="s">
        <v>60</v>
      </c>
      <c r="B137" s="16" t="str">
        <f t="shared" si="8"/>
        <v>SHYAM SUNDER BISHNOI</v>
      </c>
      <c r="C137" s="16" t="str">
        <f t="shared" si="9"/>
        <v>Chak No 6 Kharicharnan / Kolayat / Bikaner</v>
      </c>
      <c r="D137" s="4" t="s">
        <v>3030</v>
      </c>
      <c r="E137" s="4" t="s">
        <v>3119</v>
      </c>
      <c r="F137" s="5">
        <v>45897.999664351853</v>
      </c>
      <c r="G137" s="16" t="str">
        <f t="shared" si="10"/>
        <v>Gravel</v>
      </c>
      <c r="H137" s="4" t="s">
        <v>330</v>
      </c>
      <c r="I137" s="18" t="str" cm="1">
        <f t="array" ref="I137">_xlfn.LET(_xlpm.text, D137,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7" s="18" t="str" cm="1">
        <f t="array" ref="J137">_xlfn.LET(_xlpm.text, E137,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" s="14">
        <f t="shared" si="11"/>
        <v>45898</v>
      </c>
      <c r="L137" s="14">
        <f t="shared" si="12"/>
        <v>45898.624664351853</v>
      </c>
      <c r="N137" s="12"/>
    </row>
    <row r="138" spans="1:14" x14ac:dyDescent="0.25">
      <c r="A138" s="4" t="s">
        <v>61</v>
      </c>
      <c r="B138" s="16" t="str">
        <f t="shared" si="8"/>
        <v>SHYAM SUNDER BISHNOI</v>
      </c>
      <c r="C138" s="16" t="str">
        <f t="shared" si="9"/>
        <v>Chak No 6 Kharicharnan / Kolayat / Bikaner</v>
      </c>
      <c r="D138" s="4" t="s">
        <v>3030</v>
      </c>
      <c r="E138" s="4" t="s">
        <v>3119</v>
      </c>
      <c r="F138" s="5">
        <v>45896.999664351853</v>
      </c>
      <c r="G138" s="16" t="str">
        <f t="shared" si="10"/>
        <v>Gravel</v>
      </c>
      <c r="H138" s="4" t="s">
        <v>342</v>
      </c>
      <c r="I138" s="18" t="str" cm="1">
        <f t="array" ref="I138">_xlfn.LET(_xlpm.text, D138,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8" s="18" t="str" cm="1">
        <f t="array" ref="J138">_xlfn.LET(_xlpm.text, E138,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" s="14">
        <f t="shared" si="11"/>
        <v>45897</v>
      </c>
      <c r="L138" s="14">
        <f t="shared" si="12"/>
        <v>45897.624664351853</v>
      </c>
      <c r="N138" s="12"/>
    </row>
    <row r="139" spans="1:14" x14ac:dyDescent="0.25">
      <c r="A139" s="4" t="s">
        <v>62</v>
      </c>
      <c r="B139" s="16" t="str">
        <f t="shared" si="8"/>
        <v>SHYAM SUNDER BISHNOI</v>
      </c>
      <c r="C139" s="16" t="str">
        <f t="shared" si="9"/>
        <v>Chak No 6 Kharicharnan / Kolayat / Bikaner</v>
      </c>
      <c r="D139" s="4" t="s">
        <v>3030</v>
      </c>
      <c r="E139" s="4" t="s">
        <v>3119</v>
      </c>
      <c r="F139" s="5">
        <v>45897.999664351853</v>
      </c>
      <c r="G139" s="16" t="str">
        <f t="shared" si="10"/>
        <v>Gravel</v>
      </c>
      <c r="H139" s="4" t="s">
        <v>340</v>
      </c>
      <c r="I139" s="18" t="str" cm="1">
        <f t="array" ref="I139">_xlfn.LET(_xlpm.text, D139,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39" s="18" t="str" cm="1">
        <f t="array" ref="J139">_xlfn.LET(_xlpm.text, E139,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" s="14">
        <f t="shared" si="11"/>
        <v>45898</v>
      </c>
      <c r="L139" s="14">
        <f t="shared" si="12"/>
        <v>45898.624664351853</v>
      </c>
      <c r="N139" s="12"/>
    </row>
    <row r="140" spans="1:14" x14ac:dyDescent="0.25">
      <c r="A140" s="4" t="s">
        <v>63</v>
      </c>
      <c r="B140" s="16" t="str">
        <f t="shared" si="8"/>
        <v>SHYAM SUNDER BISHNOI</v>
      </c>
      <c r="C140" s="16" t="str">
        <f t="shared" si="9"/>
        <v>Chak No 6 Kharicharnan / Kolayat / Bikaner</v>
      </c>
      <c r="D140" s="4" t="s">
        <v>3030</v>
      </c>
      <c r="E140" s="4" t="s">
        <v>3119</v>
      </c>
      <c r="F140" s="5">
        <v>45897.999664351853</v>
      </c>
      <c r="G140" s="16" t="str">
        <f t="shared" si="10"/>
        <v>Gravel</v>
      </c>
      <c r="H140" s="4" t="s">
        <v>328</v>
      </c>
      <c r="I140" s="18" t="str" cm="1">
        <f t="array" ref="I140">_xlfn.LET(_xlpm.text, D140,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0" s="18" t="str" cm="1">
        <f t="array" ref="J140">_xlfn.LET(_xlpm.text, E140,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" s="14">
        <f t="shared" si="11"/>
        <v>45898</v>
      </c>
      <c r="L140" s="14">
        <f t="shared" si="12"/>
        <v>45898.624664351853</v>
      </c>
      <c r="N140" s="12"/>
    </row>
    <row r="141" spans="1:14" x14ac:dyDescent="0.25">
      <c r="A141" s="4" t="s">
        <v>64</v>
      </c>
      <c r="B141" s="16" t="str">
        <f t="shared" si="8"/>
        <v>SHYAM SUNDER BISHNOI</v>
      </c>
      <c r="C141" s="16" t="str">
        <f t="shared" si="9"/>
        <v>Chak No 6 Kharicharnan / Kolayat / Bikaner</v>
      </c>
      <c r="D141" s="4" t="s">
        <v>3030</v>
      </c>
      <c r="E141" s="4" t="s">
        <v>3119</v>
      </c>
      <c r="F141" s="5">
        <v>45897.999664351853</v>
      </c>
      <c r="G141" s="16" t="str">
        <f t="shared" si="10"/>
        <v>Gravel</v>
      </c>
      <c r="H141" s="4" t="s">
        <v>328</v>
      </c>
      <c r="I141" s="18" t="str" cm="1">
        <f t="array" ref="I141">_xlfn.LET(_xlpm.text, D141,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1" s="18" t="str" cm="1">
        <f t="array" ref="J141">_xlfn.LET(_xlpm.text, E141,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" s="14">
        <f t="shared" si="11"/>
        <v>45898</v>
      </c>
      <c r="L141" s="14">
        <f t="shared" si="12"/>
        <v>45898.624664351853</v>
      </c>
      <c r="N141" s="12"/>
    </row>
    <row r="142" spans="1:14" x14ac:dyDescent="0.25">
      <c r="A142" s="4" t="s">
        <v>65</v>
      </c>
      <c r="B142" s="16" t="str">
        <f t="shared" si="8"/>
        <v>SHYAM SUNDER BISHNOI</v>
      </c>
      <c r="C142" s="16" t="str">
        <f t="shared" si="9"/>
        <v>Chak No 6 Kharicharnan / Kolayat / Bikaner</v>
      </c>
      <c r="D142" s="4" t="s">
        <v>3030</v>
      </c>
      <c r="E142" s="4" t="s">
        <v>3119</v>
      </c>
      <c r="F142" s="5">
        <v>45897.999664351853</v>
      </c>
      <c r="G142" s="16" t="str">
        <f t="shared" si="10"/>
        <v>Gravel</v>
      </c>
      <c r="H142" s="4" t="s">
        <v>332</v>
      </c>
      <c r="I142" s="18" t="str" cm="1">
        <f t="array" ref="I142">_xlfn.LET(_xlpm.text, D142,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2" s="18" t="str" cm="1">
        <f t="array" ref="J142">_xlfn.LET(_xlpm.text, E142,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" s="14">
        <f t="shared" si="11"/>
        <v>45898</v>
      </c>
      <c r="L142" s="14">
        <f t="shared" si="12"/>
        <v>45898.624664351853</v>
      </c>
      <c r="N142" s="12"/>
    </row>
    <row r="143" spans="1:14" x14ac:dyDescent="0.25">
      <c r="A143" s="4" t="s">
        <v>66</v>
      </c>
      <c r="B143" s="16" t="str">
        <f t="shared" si="8"/>
        <v>SHYAM SUNDER BISHNOI</v>
      </c>
      <c r="C143" s="16" t="str">
        <f t="shared" si="9"/>
        <v>Chak No 6 Kharicharnan / Kolayat / Bikaner</v>
      </c>
      <c r="D143" s="4" t="s">
        <v>3030</v>
      </c>
      <c r="E143" s="4" t="s">
        <v>3119</v>
      </c>
      <c r="F143" s="5">
        <v>45896.999664351853</v>
      </c>
      <c r="G143" s="16" t="str">
        <f t="shared" si="10"/>
        <v>Gravel</v>
      </c>
      <c r="H143" s="4" t="s">
        <v>345</v>
      </c>
      <c r="I143" s="18" t="str" cm="1">
        <f t="array" ref="I143">_xlfn.LET(_xlpm.text, D143,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3" s="18" t="str" cm="1">
        <f t="array" ref="J143">_xlfn.LET(_xlpm.text, E143,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" s="14">
        <f t="shared" si="11"/>
        <v>45897</v>
      </c>
      <c r="L143" s="14">
        <f t="shared" si="12"/>
        <v>45897.624664351853</v>
      </c>
      <c r="N143" s="12"/>
    </row>
    <row r="144" spans="1:14" x14ac:dyDescent="0.25">
      <c r="A144" s="4" t="s">
        <v>67</v>
      </c>
      <c r="B144" s="16" t="str">
        <f t="shared" si="8"/>
        <v>SHYAM SUNDER BISHNOI</v>
      </c>
      <c r="C144" s="16" t="str">
        <f t="shared" si="9"/>
        <v>Chak No 6 Kharicharnan / Kolayat / Bikaner</v>
      </c>
      <c r="D144" s="4" t="s">
        <v>3030</v>
      </c>
      <c r="E144" s="4" t="s">
        <v>3119</v>
      </c>
      <c r="F144" s="5">
        <v>45897.999664351853</v>
      </c>
      <c r="G144" s="16" t="str">
        <f t="shared" si="10"/>
        <v>Gravel</v>
      </c>
      <c r="H144" s="4" t="s">
        <v>347</v>
      </c>
      <c r="I144" s="18" t="str" cm="1">
        <f t="array" ref="I144">_xlfn.LET(_xlpm.text, D144,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4" s="18" t="str" cm="1">
        <f t="array" ref="J144">_xlfn.LET(_xlpm.text, E144,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" s="14">
        <f t="shared" si="11"/>
        <v>45898</v>
      </c>
      <c r="L144" s="14">
        <f t="shared" si="12"/>
        <v>45898.624664351853</v>
      </c>
      <c r="N144" s="12"/>
    </row>
    <row r="145" spans="1:14" x14ac:dyDescent="0.25">
      <c r="A145" s="4" t="s">
        <v>68</v>
      </c>
      <c r="B145" s="16" t="str">
        <f t="shared" si="8"/>
        <v>SHYAM SUNDER BISHNOI</v>
      </c>
      <c r="C145" s="16" t="str">
        <f t="shared" si="9"/>
        <v>Chak No 6 Kharicharnan / Kolayat / Bikaner</v>
      </c>
      <c r="D145" s="4" t="s">
        <v>3030</v>
      </c>
      <c r="E145" s="4" t="s">
        <v>3119</v>
      </c>
      <c r="F145" s="5">
        <v>45895.999664351853</v>
      </c>
      <c r="G145" s="16" t="str">
        <f t="shared" si="10"/>
        <v>Gravel</v>
      </c>
      <c r="H145" s="4" t="s">
        <v>328</v>
      </c>
      <c r="I145" s="18" t="str" cm="1">
        <f t="array" ref="I145">_xlfn.LET(_xlpm.text, D145,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5" s="18" t="str" cm="1">
        <f t="array" ref="J145">_xlfn.LET(_xlpm.text, E145,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" s="14">
        <f t="shared" si="11"/>
        <v>45896</v>
      </c>
      <c r="L145" s="14">
        <f t="shared" si="12"/>
        <v>45896.624664351853</v>
      </c>
      <c r="N145" s="12"/>
    </row>
    <row r="146" spans="1:14" x14ac:dyDescent="0.25">
      <c r="A146" s="4" t="s">
        <v>69</v>
      </c>
      <c r="B146" s="16" t="str">
        <f t="shared" si="8"/>
        <v>SHYAM SUNDER BISHNOI</v>
      </c>
      <c r="C146" s="16" t="str">
        <f t="shared" si="9"/>
        <v>Chak No 6 Kharicharnan / Kolayat / Bikaner</v>
      </c>
      <c r="D146" s="4" t="s">
        <v>3030</v>
      </c>
      <c r="E146" s="4" t="s">
        <v>3119</v>
      </c>
      <c r="F146" s="5">
        <v>45895.999664351853</v>
      </c>
      <c r="G146" s="16" t="str">
        <f t="shared" si="10"/>
        <v>Gravel</v>
      </c>
      <c r="H146" s="4" t="s">
        <v>348</v>
      </c>
      <c r="I146" s="18" t="str" cm="1">
        <f t="array" ref="I146">_xlfn.LET(_xlpm.text, D146,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6" s="18" t="str" cm="1">
        <f t="array" ref="J146">_xlfn.LET(_xlpm.text, E146,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" s="14">
        <f t="shared" si="11"/>
        <v>45896</v>
      </c>
      <c r="L146" s="14">
        <f t="shared" si="12"/>
        <v>45896.624664351853</v>
      </c>
      <c r="N146" s="12"/>
    </row>
    <row r="147" spans="1:14" x14ac:dyDescent="0.25">
      <c r="A147" s="4" t="s">
        <v>70</v>
      </c>
      <c r="B147" s="16" t="str">
        <f t="shared" si="8"/>
        <v>SHYAM SUNDER BISHNOI</v>
      </c>
      <c r="C147" s="16" t="str">
        <f t="shared" si="9"/>
        <v>Chak No 6 Kharicharnan / Kolayat / Bikaner</v>
      </c>
      <c r="D147" s="4" t="s">
        <v>3030</v>
      </c>
      <c r="E147" s="4" t="s">
        <v>3119</v>
      </c>
      <c r="F147" s="5">
        <v>45902.999664351853</v>
      </c>
      <c r="G147" s="16" t="str">
        <f t="shared" si="10"/>
        <v>Gravel</v>
      </c>
      <c r="H147" s="4" t="s">
        <v>332</v>
      </c>
      <c r="I147" s="18" t="str" cm="1">
        <f t="array" ref="I147">_xlfn.LET(_xlpm.text, D147,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7" s="18" t="str" cm="1">
        <f t="array" ref="J147">_xlfn.LET(_xlpm.text, E147,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" s="14">
        <f t="shared" si="11"/>
        <v>45903</v>
      </c>
      <c r="L147" s="14">
        <f t="shared" si="12"/>
        <v>45903.624664351853</v>
      </c>
      <c r="N147" s="12"/>
    </row>
    <row r="148" spans="1:14" x14ac:dyDescent="0.25">
      <c r="A148" s="4" t="s">
        <v>71</v>
      </c>
      <c r="B148" s="16" t="str">
        <f t="shared" si="8"/>
        <v>SHYAM SUNDER BISHNOI</v>
      </c>
      <c r="C148" s="16" t="str">
        <f t="shared" si="9"/>
        <v>Chak No 6 Kharicharnan / Kolayat / Bikaner</v>
      </c>
      <c r="D148" s="4" t="s">
        <v>3030</v>
      </c>
      <c r="E148" s="4" t="s">
        <v>3119</v>
      </c>
      <c r="F148" s="5">
        <v>45902.999664351853</v>
      </c>
      <c r="G148" s="16" t="str">
        <f t="shared" si="10"/>
        <v>Gravel</v>
      </c>
      <c r="H148" s="4" t="s">
        <v>349</v>
      </c>
      <c r="I148" s="18" t="str" cm="1">
        <f t="array" ref="I148">_xlfn.LET(_xlpm.text, D148,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8" s="18" t="str" cm="1">
        <f t="array" ref="J148">_xlfn.LET(_xlpm.text, E148,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" s="14">
        <f t="shared" si="11"/>
        <v>45903</v>
      </c>
      <c r="L148" s="14">
        <f t="shared" si="12"/>
        <v>45903.624664351853</v>
      </c>
      <c r="N148" s="12"/>
    </row>
    <row r="149" spans="1:14" x14ac:dyDescent="0.25">
      <c r="A149" s="4" t="s">
        <v>72</v>
      </c>
      <c r="B149" s="16" t="str">
        <f t="shared" si="8"/>
        <v>SHYAM SUNDER BISHNOI</v>
      </c>
      <c r="C149" s="16" t="str">
        <f t="shared" si="9"/>
        <v>Chak No 6 Kharicharnan / Kolayat / Bikaner</v>
      </c>
      <c r="D149" s="4" t="s">
        <v>3030</v>
      </c>
      <c r="E149" s="4" t="s">
        <v>3119</v>
      </c>
      <c r="F149" s="5">
        <v>45902.999664351853</v>
      </c>
      <c r="G149" s="16" t="str">
        <f t="shared" si="10"/>
        <v>Gravel</v>
      </c>
      <c r="H149" s="4" t="s">
        <v>330</v>
      </c>
      <c r="I149" s="18" t="str" cm="1">
        <f t="array" ref="I149">_xlfn.LET(_xlpm.text, D149,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49" s="18" t="str" cm="1">
        <f t="array" ref="J149">_xlfn.LET(_xlpm.text, E149,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" s="14">
        <f t="shared" si="11"/>
        <v>45903</v>
      </c>
      <c r="L149" s="14">
        <f t="shared" si="12"/>
        <v>45903.624664351853</v>
      </c>
      <c r="N149" s="12"/>
    </row>
    <row r="150" spans="1:14" x14ac:dyDescent="0.25">
      <c r="A150" s="4" t="s">
        <v>73</v>
      </c>
      <c r="B150" s="16" t="str">
        <f t="shared" si="8"/>
        <v>SHYAM SUNDER BISHNOI</v>
      </c>
      <c r="C150" s="16" t="str">
        <f t="shared" si="9"/>
        <v>Chak No 6 Kharicharnan / Kolayat / Bikaner</v>
      </c>
      <c r="D150" s="4" t="s">
        <v>3030</v>
      </c>
      <c r="E150" s="4" t="s">
        <v>3119</v>
      </c>
      <c r="F150" s="5">
        <v>45904.999664351853</v>
      </c>
      <c r="G150" s="16" t="str">
        <f t="shared" si="10"/>
        <v>Gravel</v>
      </c>
      <c r="H150" s="4" t="s">
        <v>350</v>
      </c>
      <c r="I150" s="18" t="str" cm="1">
        <f t="array" ref="I150">_xlfn.LET(_xlpm.text, D150,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0" s="18" t="str" cm="1">
        <f t="array" ref="J150">_xlfn.LET(_xlpm.text, E150,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" s="14">
        <f t="shared" si="11"/>
        <v>45905</v>
      </c>
      <c r="L150" s="14">
        <f t="shared" si="12"/>
        <v>45905.624664351853</v>
      </c>
      <c r="N150" s="12"/>
    </row>
    <row r="151" spans="1:14" x14ac:dyDescent="0.25">
      <c r="A151" s="4" t="s">
        <v>74</v>
      </c>
      <c r="B151" s="16" t="str">
        <f t="shared" si="8"/>
        <v>SHYAM SUNDER BISHNOI</v>
      </c>
      <c r="C151" s="16" t="str">
        <f t="shared" si="9"/>
        <v>Chak No 6 Kharicharnan / Kolayat / Bikaner</v>
      </c>
      <c r="D151" s="4" t="s">
        <v>3030</v>
      </c>
      <c r="E151" s="4" t="s">
        <v>3119</v>
      </c>
      <c r="F151" s="5">
        <v>45902.999664351853</v>
      </c>
      <c r="G151" s="16" t="str">
        <f t="shared" si="10"/>
        <v>Gravel</v>
      </c>
      <c r="H151" s="4" t="s">
        <v>351</v>
      </c>
      <c r="I151" s="18" t="str" cm="1">
        <f t="array" ref="I151">_xlfn.LET(_xlpm.text, D151,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1" s="18" t="str" cm="1">
        <f t="array" ref="J151">_xlfn.LET(_xlpm.text, E151,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" s="14">
        <f t="shared" si="11"/>
        <v>45903</v>
      </c>
      <c r="L151" s="14">
        <f t="shared" si="12"/>
        <v>45903.624664351853</v>
      </c>
      <c r="N151" s="12"/>
    </row>
    <row r="152" spans="1:14" x14ac:dyDescent="0.25">
      <c r="A152" s="4" t="s">
        <v>75</v>
      </c>
      <c r="B152" s="16" t="str">
        <f t="shared" si="8"/>
        <v>SHYAM SUNDER BISHNOI</v>
      </c>
      <c r="C152" s="16" t="str">
        <f t="shared" si="9"/>
        <v>Chak No 6 Kharicharnan / Kolayat / Bikaner</v>
      </c>
      <c r="D152" s="4" t="s">
        <v>3030</v>
      </c>
      <c r="E152" s="4" t="s">
        <v>3119</v>
      </c>
      <c r="F152" s="5">
        <v>45904.999664351853</v>
      </c>
      <c r="G152" s="16" t="str">
        <f t="shared" si="10"/>
        <v>Gravel</v>
      </c>
      <c r="H152" s="4" t="s">
        <v>333</v>
      </c>
      <c r="I152" s="18" t="str" cm="1">
        <f t="array" ref="I152">_xlfn.LET(_xlpm.text, D152,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2" s="18" t="str" cm="1">
        <f t="array" ref="J152">_xlfn.LET(_xlpm.text, E152,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" s="14">
        <f t="shared" si="11"/>
        <v>45905</v>
      </c>
      <c r="L152" s="14">
        <f t="shared" si="12"/>
        <v>45905.624664351853</v>
      </c>
      <c r="N152" s="12"/>
    </row>
    <row r="153" spans="1:14" x14ac:dyDescent="0.25">
      <c r="A153" s="4" t="s">
        <v>76</v>
      </c>
      <c r="B153" s="16" t="str">
        <f t="shared" si="8"/>
        <v>SHYAM SUNDER BISHNOI</v>
      </c>
      <c r="C153" s="16" t="str">
        <f t="shared" si="9"/>
        <v>Chak No 6 Kharicharnan / Kolayat / Bikaner</v>
      </c>
      <c r="D153" s="4" t="s">
        <v>3030</v>
      </c>
      <c r="E153" s="4" t="s">
        <v>3119</v>
      </c>
      <c r="F153" s="5">
        <v>45906.999664351853</v>
      </c>
      <c r="G153" s="16" t="str">
        <f t="shared" si="10"/>
        <v>Gravel</v>
      </c>
      <c r="H153" s="4" t="s">
        <v>352</v>
      </c>
      <c r="I153" s="18" t="str" cm="1">
        <f t="array" ref="I153">_xlfn.LET(_xlpm.text, D153,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3" s="18" t="str" cm="1">
        <f t="array" ref="J153">_xlfn.LET(_xlpm.text, E153,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" s="14">
        <f t="shared" si="11"/>
        <v>45907</v>
      </c>
      <c r="L153" s="14">
        <f t="shared" si="12"/>
        <v>45907.624664351853</v>
      </c>
      <c r="N153" s="12"/>
    </row>
    <row r="154" spans="1:14" x14ac:dyDescent="0.25">
      <c r="A154" s="4" t="s">
        <v>77</v>
      </c>
      <c r="B154" s="16" t="str">
        <f t="shared" si="8"/>
        <v>SHYAM SUNDER BISHNOI</v>
      </c>
      <c r="C154" s="16" t="str">
        <f t="shared" si="9"/>
        <v>Chak No 6 Kharicharnan / Kolayat / Bikaner</v>
      </c>
      <c r="D154" s="4" t="s">
        <v>3030</v>
      </c>
      <c r="E154" s="4" t="s">
        <v>3119</v>
      </c>
      <c r="F154" s="5">
        <v>45903.999664351853</v>
      </c>
      <c r="G154" s="16" t="str">
        <f t="shared" si="10"/>
        <v>Gravel</v>
      </c>
      <c r="H154" s="4" t="s">
        <v>353</v>
      </c>
      <c r="I154" s="18" t="str" cm="1">
        <f t="array" ref="I154">_xlfn.LET(_xlpm.text, D154,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4" s="18" t="str" cm="1">
        <f t="array" ref="J154">_xlfn.LET(_xlpm.text, E154,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" s="14">
        <f t="shared" si="11"/>
        <v>45904</v>
      </c>
      <c r="L154" s="14">
        <f t="shared" si="12"/>
        <v>45904.624664351853</v>
      </c>
      <c r="N154" s="12"/>
    </row>
    <row r="155" spans="1:14" x14ac:dyDescent="0.25">
      <c r="A155" s="4" t="s">
        <v>78</v>
      </c>
      <c r="B155" s="16" t="str">
        <f t="shared" si="8"/>
        <v>SHYAM SUNDER BISHNOI</v>
      </c>
      <c r="C155" s="16" t="str">
        <f t="shared" si="9"/>
        <v>Chak No 6 Kharicharnan / Kolayat / Bikaner</v>
      </c>
      <c r="D155" s="4" t="s">
        <v>3030</v>
      </c>
      <c r="E155" s="4" t="s">
        <v>3119</v>
      </c>
      <c r="F155" s="5">
        <v>45903.999664351853</v>
      </c>
      <c r="G155" s="16" t="str">
        <f t="shared" si="10"/>
        <v>Gravel</v>
      </c>
      <c r="H155" s="4" t="s">
        <v>330</v>
      </c>
      <c r="I155" s="18" t="str" cm="1">
        <f t="array" ref="I155">_xlfn.LET(_xlpm.text, D155,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5" s="18" t="str" cm="1">
        <f t="array" ref="J155">_xlfn.LET(_xlpm.text, E155,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" s="14">
        <f t="shared" si="11"/>
        <v>45904</v>
      </c>
      <c r="L155" s="14">
        <f t="shared" si="12"/>
        <v>45904.624664351853</v>
      </c>
      <c r="N155" s="12"/>
    </row>
    <row r="156" spans="1:14" x14ac:dyDescent="0.25">
      <c r="A156" s="4" t="s">
        <v>79</v>
      </c>
      <c r="B156" s="16" t="str">
        <f t="shared" si="8"/>
        <v>SHYAM SUNDER BISHNOI</v>
      </c>
      <c r="C156" s="16" t="str">
        <f t="shared" si="9"/>
        <v>Chak No 6 Kharicharnan / Kolayat / Bikaner</v>
      </c>
      <c r="D156" s="4" t="s">
        <v>3030</v>
      </c>
      <c r="E156" s="4" t="s">
        <v>3119</v>
      </c>
      <c r="F156" s="5">
        <v>45901.999664351853</v>
      </c>
      <c r="G156" s="16" t="str">
        <f t="shared" si="10"/>
        <v>Gravel</v>
      </c>
      <c r="H156" s="4" t="s">
        <v>333</v>
      </c>
      <c r="I156" s="18" t="str" cm="1">
        <f t="array" ref="I156">_xlfn.LET(_xlpm.text, D156,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6" s="18" t="str" cm="1">
        <f t="array" ref="J156">_xlfn.LET(_xlpm.text, E156,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" s="14">
        <f t="shared" si="11"/>
        <v>45902</v>
      </c>
      <c r="L156" s="14">
        <f t="shared" si="12"/>
        <v>45902.624664351853</v>
      </c>
      <c r="N156" s="12"/>
    </row>
    <row r="157" spans="1:14" x14ac:dyDescent="0.25">
      <c r="A157" s="4" t="s">
        <v>80</v>
      </c>
      <c r="B157" s="16" t="str">
        <f t="shared" si="8"/>
        <v>SHYAM SUNDER BISHNOI</v>
      </c>
      <c r="C157" s="16" t="str">
        <f t="shared" si="9"/>
        <v>Chak No 6 Kharicharnan / Kolayat / Bikaner</v>
      </c>
      <c r="D157" s="4" t="s">
        <v>3030</v>
      </c>
      <c r="E157" s="4" t="s">
        <v>3119</v>
      </c>
      <c r="F157" s="5">
        <v>45903.999664351853</v>
      </c>
      <c r="G157" s="16" t="str">
        <f t="shared" si="10"/>
        <v>Gravel</v>
      </c>
      <c r="H157" s="4" t="s">
        <v>354</v>
      </c>
      <c r="I157" s="18" t="str" cm="1">
        <f t="array" ref="I157">_xlfn.LET(_xlpm.text, D157,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7" s="18" t="str" cm="1">
        <f t="array" ref="J157">_xlfn.LET(_xlpm.text, E157,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" s="14">
        <f t="shared" si="11"/>
        <v>45904</v>
      </c>
      <c r="L157" s="14">
        <f t="shared" si="12"/>
        <v>45904.624664351853</v>
      </c>
      <c r="N157" s="12"/>
    </row>
    <row r="158" spans="1:14" x14ac:dyDescent="0.25">
      <c r="A158" s="4" t="s">
        <v>81</v>
      </c>
      <c r="B158" s="16" t="str">
        <f t="shared" si="8"/>
        <v>SHYAM SUNDER BISHNOI</v>
      </c>
      <c r="C158" s="16" t="str">
        <f t="shared" si="9"/>
        <v>Chak No 6 Kharicharnan / Kolayat / Bikaner</v>
      </c>
      <c r="D158" s="4" t="s">
        <v>3030</v>
      </c>
      <c r="E158" s="4" t="s">
        <v>3119</v>
      </c>
      <c r="F158" s="5">
        <v>45905.999664351853</v>
      </c>
      <c r="G158" s="16" t="str">
        <f t="shared" si="10"/>
        <v>Gravel</v>
      </c>
      <c r="H158" s="4" t="s">
        <v>330</v>
      </c>
      <c r="I158" s="18" t="str" cm="1">
        <f t="array" ref="I158">_xlfn.LET(_xlpm.text, D158,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8" s="18" t="str" cm="1">
        <f t="array" ref="J158">_xlfn.LET(_xlpm.text, E158,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" s="14">
        <f t="shared" si="11"/>
        <v>45906</v>
      </c>
      <c r="L158" s="14">
        <f t="shared" si="12"/>
        <v>45906.624664351853</v>
      </c>
      <c r="N158" s="12"/>
    </row>
    <row r="159" spans="1:14" x14ac:dyDescent="0.25">
      <c r="A159" s="4" t="s">
        <v>82</v>
      </c>
      <c r="B159" s="16" t="str">
        <f t="shared" si="8"/>
        <v>SHYAM SUNDER BISHNOI</v>
      </c>
      <c r="C159" s="16" t="str">
        <f t="shared" si="9"/>
        <v>Chak No 6 Kharicharnan / Kolayat / Bikaner</v>
      </c>
      <c r="D159" s="4" t="s">
        <v>3030</v>
      </c>
      <c r="E159" s="4" t="s">
        <v>3119</v>
      </c>
      <c r="F159" s="5">
        <v>45901.999664351853</v>
      </c>
      <c r="G159" s="16" t="str">
        <f t="shared" si="10"/>
        <v>Gravel</v>
      </c>
      <c r="H159" s="4" t="s">
        <v>355</v>
      </c>
      <c r="I159" s="18" t="str" cm="1">
        <f t="array" ref="I159">_xlfn.LET(_xlpm.text, D159,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59" s="18" t="str" cm="1">
        <f t="array" ref="J159">_xlfn.LET(_xlpm.text, E159,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" s="14">
        <f t="shared" si="11"/>
        <v>45902</v>
      </c>
      <c r="L159" s="14">
        <f t="shared" si="12"/>
        <v>45902.624664351853</v>
      </c>
      <c r="N159" s="12"/>
    </row>
    <row r="160" spans="1:14" x14ac:dyDescent="0.25">
      <c r="A160" s="4" t="s">
        <v>83</v>
      </c>
      <c r="B160" s="16" t="str">
        <f t="shared" si="8"/>
        <v>SHYAM SUNDER BISHNOI</v>
      </c>
      <c r="C160" s="16" t="str">
        <f t="shared" si="9"/>
        <v>Chak No 6 Kharicharnan / Kolayat / Bikaner</v>
      </c>
      <c r="D160" s="4" t="s">
        <v>3030</v>
      </c>
      <c r="E160" s="4" t="s">
        <v>3119</v>
      </c>
      <c r="F160" s="5">
        <v>45901.999664351853</v>
      </c>
      <c r="G160" s="16" t="str">
        <f t="shared" si="10"/>
        <v>Gravel</v>
      </c>
      <c r="H160" s="4" t="s">
        <v>352</v>
      </c>
      <c r="I160" s="18" t="str" cm="1">
        <f t="array" ref="I160">_xlfn.LET(_xlpm.text, D160,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0" s="18" t="str" cm="1">
        <f t="array" ref="J160">_xlfn.LET(_xlpm.text, E160,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" s="14">
        <f t="shared" si="11"/>
        <v>45902</v>
      </c>
      <c r="L160" s="14">
        <f t="shared" si="12"/>
        <v>45902.624664351853</v>
      </c>
      <c r="N160" s="12"/>
    </row>
    <row r="161" spans="1:14" x14ac:dyDescent="0.25">
      <c r="A161" s="4" t="s">
        <v>84</v>
      </c>
      <c r="B161" s="16" t="str">
        <f t="shared" si="8"/>
        <v>SHYAM SUNDER BISHNOI</v>
      </c>
      <c r="C161" s="16" t="str">
        <f t="shared" si="9"/>
        <v>Chak No 6 Kharicharnan / Kolayat / Bikaner</v>
      </c>
      <c r="D161" s="4" t="s">
        <v>3030</v>
      </c>
      <c r="E161" s="4" t="s">
        <v>3119</v>
      </c>
      <c r="F161" s="5">
        <v>45903.999664351853</v>
      </c>
      <c r="G161" s="16" t="str">
        <f t="shared" si="10"/>
        <v>Gravel</v>
      </c>
      <c r="H161" s="4" t="s">
        <v>356</v>
      </c>
      <c r="I161" s="18" t="str" cm="1">
        <f t="array" ref="I161">_xlfn.LET(_xlpm.text, D161,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1" s="18" t="str" cm="1">
        <f t="array" ref="J161">_xlfn.LET(_xlpm.text, E161,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" s="14">
        <f t="shared" si="11"/>
        <v>45904</v>
      </c>
      <c r="L161" s="14">
        <f t="shared" si="12"/>
        <v>45904.624664351853</v>
      </c>
      <c r="N161" s="12"/>
    </row>
    <row r="162" spans="1:14" x14ac:dyDescent="0.25">
      <c r="A162" s="4" t="s">
        <v>85</v>
      </c>
      <c r="B162" s="16" t="str">
        <f t="shared" si="8"/>
        <v>SHYAM SUNDER BISHNOI</v>
      </c>
      <c r="C162" s="16" t="str">
        <f t="shared" si="9"/>
        <v>Chak No 6 Kharicharnan / Kolayat / Bikaner</v>
      </c>
      <c r="D162" s="4" t="s">
        <v>3030</v>
      </c>
      <c r="E162" s="4" t="s">
        <v>3119</v>
      </c>
      <c r="F162" s="5">
        <v>45904.999664351853</v>
      </c>
      <c r="G162" s="16" t="str">
        <f t="shared" si="10"/>
        <v>Gravel</v>
      </c>
      <c r="H162" s="4" t="s">
        <v>343</v>
      </c>
      <c r="I162" s="18" t="str" cm="1">
        <f t="array" ref="I162">_xlfn.LET(_xlpm.text, D162,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2" s="18" t="str" cm="1">
        <f t="array" ref="J162">_xlfn.LET(_xlpm.text, E162,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" s="14">
        <f t="shared" si="11"/>
        <v>45905</v>
      </c>
      <c r="L162" s="14">
        <f t="shared" si="12"/>
        <v>45905.624664351853</v>
      </c>
      <c r="N162" s="12"/>
    </row>
    <row r="163" spans="1:14" x14ac:dyDescent="0.25">
      <c r="A163" s="4" t="s">
        <v>86</v>
      </c>
      <c r="B163" s="16" t="str">
        <f t="shared" si="8"/>
        <v>SHYAM SUNDER BISHNOI</v>
      </c>
      <c r="C163" s="16" t="str">
        <f t="shared" si="9"/>
        <v>Chak No 6 Kharicharnan / Kolayat / Bikaner</v>
      </c>
      <c r="D163" s="4" t="s">
        <v>3030</v>
      </c>
      <c r="E163" s="4" t="s">
        <v>3119</v>
      </c>
      <c r="F163" s="5">
        <v>45904.999664351853</v>
      </c>
      <c r="G163" s="16" t="str">
        <f t="shared" si="10"/>
        <v>Gravel</v>
      </c>
      <c r="H163" s="4" t="s">
        <v>333</v>
      </c>
      <c r="I163" s="18" t="str" cm="1">
        <f t="array" ref="I163">_xlfn.LET(_xlpm.text, D163,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3" s="18" t="str" cm="1">
        <f t="array" ref="J163">_xlfn.LET(_xlpm.text, E163,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" s="14">
        <f t="shared" si="11"/>
        <v>45905</v>
      </c>
      <c r="L163" s="14">
        <f t="shared" si="12"/>
        <v>45905.624664351853</v>
      </c>
      <c r="N163" s="12"/>
    </row>
    <row r="164" spans="1:14" x14ac:dyDescent="0.25">
      <c r="A164" s="4" t="s">
        <v>87</v>
      </c>
      <c r="B164" s="16" t="str">
        <f t="shared" si="8"/>
        <v>SHYAM SUNDER BISHNOI</v>
      </c>
      <c r="C164" s="16" t="str">
        <f t="shared" si="9"/>
        <v>Chak No 6 Kharicharnan / Kolayat / Bikaner</v>
      </c>
      <c r="D164" s="4" t="s">
        <v>3030</v>
      </c>
      <c r="E164" s="4" t="s">
        <v>3119</v>
      </c>
      <c r="F164" s="5">
        <v>45904.999664351853</v>
      </c>
      <c r="G164" s="16" t="str">
        <f t="shared" si="10"/>
        <v>Gravel</v>
      </c>
      <c r="H164" s="4" t="s">
        <v>354</v>
      </c>
      <c r="I164" s="18" t="str" cm="1">
        <f t="array" ref="I164">_xlfn.LET(_xlpm.text, D164,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4" s="18" t="str" cm="1">
        <f t="array" ref="J164">_xlfn.LET(_xlpm.text, E164,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" s="14">
        <f t="shared" si="11"/>
        <v>45905</v>
      </c>
      <c r="L164" s="14">
        <f t="shared" si="12"/>
        <v>45905.624664351853</v>
      </c>
      <c r="N164" s="12"/>
    </row>
    <row r="165" spans="1:14" x14ac:dyDescent="0.25">
      <c r="A165" s="4" t="s">
        <v>88</v>
      </c>
      <c r="B165" s="16" t="str">
        <f t="shared" si="8"/>
        <v>SHYAM SUNDER BISHNOI</v>
      </c>
      <c r="C165" s="16" t="str">
        <f t="shared" si="9"/>
        <v>Chak No 6 Kharicharnan / Kolayat / Bikaner</v>
      </c>
      <c r="D165" s="4" t="s">
        <v>3030</v>
      </c>
      <c r="E165" s="4" t="s">
        <v>3119</v>
      </c>
      <c r="F165" s="5">
        <v>45905.999664351853</v>
      </c>
      <c r="G165" s="16" t="str">
        <f t="shared" si="10"/>
        <v>Gravel</v>
      </c>
      <c r="H165" s="4" t="s">
        <v>350</v>
      </c>
      <c r="I165" s="18" t="str" cm="1">
        <f t="array" ref="I165">_xlfn.LET(_xlpm.text, D165,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5" s="18" t="str" cm="1">
        <f t="array" ref="J165">_xlfn.LET(_xlpm.text, E165,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" s="14">
        <f t="shared" si="11"/>
        <v>45906</v>
      </c>
      <c r="L165" s="14">
        <f t="shared" si="12"/>
        <v>45906.624664351853</v>
      </c>
      <c r="N165" s="12"/>
    </row>
    <row r="166" spans="1:14" x14ac:dyDescent="0.25">
      <c r="A166" s="4" t="s">
        <v>89</v>
      </c>
      <c r="B166" s="16" t="str">
        <f t="shared" si="8"/>
        <v>SHYAM SUNDER BISHNOI</v>
      </c>
      <c r="C166" s="16" t="str">
        <f t="shared" si="9"/>
        <v>Chak No 6 Kharicharnan / Kolayat / Bikaner</v>
      </c>
      <c r="D166" s="4" t="s">
        <v>3030</v>
      </c>
      <c r="E166" s="4" t="s">
        <v>3119</v>
      </c>
      <c r="F166" s="5">
        <v>45871.999664351853</v>
      </c>
      <c r="G166" s="16" t="str">
        <f t="shared" si="10"/>
        <v>Gravel</v>
      </c>
      <c r="H166" s="4" t="s">
        <v>330</v>
      </c>
      <c r="I166" s="18" t="str" cm="1">
        <f t="array" ref="I166">_xlfn.LET(_xlpm.text, D166,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6" s="18" t="str" cm="1">
        <f t="array" ref="J166">_xlfn.LET(_xlpm.text, E166,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" s="14">
        <f t="shared" si="11"/>
        <v>45872</v>
      </c>
      <c r="L166" s="14">
        <f t="shared" si="12"/>
        <v>45872.624664351853</v>
      </c>
      <c r="N166" s="12"/>
    </row>
    <row r="167" spans="1:14" x14ac:dyDescent="0.25">
      <c r="A167" s="4" t="s">
        <v>90</v>
      </c>
      <c r="B167" s="16" t="str">
        <f t="shared" si="8"/>
        <v>SHYAM SUNDER BISHNOI</v>
      </c>
      <c r="C167" s="16" t="str">
        <f t="shared" si="9"/>
        <v>Chak No 6 Kharicharnan / Kolayat / Bikaner</v>
      </c>
      <c r="D167" s="4" t="s">
        <v>3030</v>
      </c>
      <c r="E167" s="4" t="s">
        <v>3119</v>
      </c>
      <c r="F167" s="5">
        <v>45903.999664351853</v>
      </c>
      <c r="G167" s="16" t="str">
        <f t="shared" si="10"/>
        <v>Gravel</v>
      </c>
      <c r="H167" s="4" t="s">
        <v>354</v>
      </c>
      <c r="I167" s="18" t="str" cm="1">
        <f t="array" ref="I167">_xlfn.LET(_xlpm.text, D167,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7" s="18" t="str" cm="1">
        <f t="array" ref="J167">_xlfn.LET(_xlpm.text, E167,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" s="14">
        <f t="shared" si="11"/>
        <v>45904</v>
      </c>
      <c r="L167" s="14">
        <f t="shared" si="12"/>
        <v>45904.624664351853</v>
      </c>
      <c r="N167" s="12"/>
    </row>
    <row r="168" spans="1:14" x14ac:dyDescent="0.25">
      <c r="A168" s="4" t="s">
        <v>91</v>
      </c>
      <c r="B168" s="16" t="str">
        <f t="shared" si="8"/>
        <v>SHYAM SUNDER BISHNOI</v>
      </c>
      <c r="C168" s="16" t="str">
        <f t="shared" si="9"/>
        <v>Chak No 6 Kharicharnan / Kolayat / Bikaner</v>
      </c>
      <c r="D168" s="4" t="s">
        <v>3030</v>
      </c>
      <c r="E168" s="4" t="s">
        <v>3119</v>
      </c>
      <c r="F168" s="5">
        <v>45904.999664351853</v>
      </c>
      <c r="G168" s="16" t="str">
        <f t="shared" si="10"/>
        <v>Gravel</v>
      </c>
      <c r="H168" s="4" t="s">
        <v>335</v>
      </c>
      <c r="I168" s="18" t="str" cm="1">
        <f t="array" ref="I168">_xlfn.LET(_xlpm.text, D168,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8" s="18" t="str" cm="1">
        <f t="array" ref="J168">_xlfn.LET(_xlpm.text, E168,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" s="14">
        <f t="shared" si="11"/>
        <v>45905</v>
      </c>
      <c r="L168" s="14">
        <f t="shared" si="12"/>
        <v>45905.624664351853</v>
      </c>
      <c r="N168" s="12"/>
    </row>
    <row r="169" spans="1:14" x14ac:dyDescent="0.25">
      <c r="A169" s="4" t="s">
        <v>92</v>
      </c>
      <c r="B169" s="16" t="str">
        <f t="shared" si="8"/>
        <v>SHYAM SUNDER BISHNOI</v>
      </c>
      <c r="C169" s="16" t="str">
        <f t="shared" si="9"/>
        <v>Chak No 6 Kharicharnan / Kolayat / Bikaner</v>
      </c>
      <c r="D169" s="4" t="s">
        <v>3030</v>
      </c>
      <c r="E169" s="4" t="s">
        <v>3119</v>
      </c>
      <c r="F169" s="5">
        <v>45900.999664351853</v>
      </c>
      <c r="G169" s="16" t="str">
        <f t="shared" si="10"/>
        <v>Gravel</v>
      </c>
      <c r="H169" s="4" t="s">
        <v>328</v>
      </c>
      <c r="I169" s="18" t="str" cm="1">
        <f t="array" ref="I169">_xlfn.LET(_xlpm.text, D169,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69" s="18" t="str" cm="1">
        <f t="array" ref="J169">_xlfn.LET(_xlpm.text, E169,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" s="14">
        <f t="shared" si="11"/>
        <v>45901</v>
      </c>
      <c r="L169" s="14">
        <f t="shared" si="12"/>
        <v>45901.624664351853</v>
      </c>
      <c r="N169" s="12"/>
    </row>
    <row r="170" spans="1:14" x14ac:dyDescent="0.25">
      <c r="A170" s="4" t="s">
        <v>93</v>
      </c>
      <c r="B170" s="16" t="str">
        <f t="shared" si="8"/>
        <v>SHYAM SUNDER BISHNOI</v>
      </c>
      <c r="C170" s="16" t="str">
        <f t="shared" si="9"/>
        <v>Chak No 6 Kharicharnan / Kolayat / Bikaner</v>
      </c>
      <c r="D170" s="4" t="s">
        <v>3030</v>
      </c>
      <c r="E170" s="4" t="s">
        <v>3119</v>
      </c>
      <c r="F170" s="5">
        <v>45904.999664351853</v>
      </c>
      <c r="G170" s="16" t="str">
        <f t="shared" si="10"/>
        <v>Gravel</v>
      </c>
      <c r="H170" s="4" t="s">
        <v>357</v>
      </c>
      <c r="I170" s="18" t="str" cm="1">
        <f t="array" ref="I170">_xlfn.LET(_xlpm.text, D170,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0" s="18" t="str" cm="1">
        <f t="array" ref="J170">_xlfn.LET(_xlpm.text, E170,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" s="14">
        <f t="shared" si="11"/>
        <v>45905</v>
      </c>
      <c r="L170" s="14">
        <f t="shared" si="12"/>
        <v>45905.624664351853</v>
      </c>
      <c r="N170" s="12"/>
    </row>
    <row r="171" spans="1:14" x14ac:dyDescent="0.25">
      <c r="A171" s="4" t="s">
        <v>94</v>
      </c>
      <c r="B171" s="16" t="str">
        <f t="shared" si="8"/>
        <v>SHYAM SUNDER BISHNOI</v>
      </c>
      <c r="C171" s="16" t="str">
        <f t="shared" si="9"/>
        <v>Chak No 6 Kharicharnan / Kolayat / Bikaner</v>
      </c>
      <c r="D171" s="4" t="s">
        <v>3030</v>
      </c>
      <c r="E171" s="4" t="s">
        <v>3119</v>
      </c>
      <c r="F171" s="5">
        <v>45904.999664351853</v>
      </c>
      <c r="G171" s="16" t="str">
        <f t="shared" si="10"/>
        <v>Gravel</v>
      </c>
      <c r="H171" s="4" t="s">
        <v>358</v>
      </c>
      <c r="I171" s="18" t="str" cm="1">
        <f t="array" ref="I171">_xlfn.LET(_xlpm.text, D171,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1" s="18" t="str" cm="1">
        <f t="array" ref="J171">_xlfn.LET(_xlpm.text, E171,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" s="14">
        <f t="shared" si="11"/>
        <v>45905</v>
      </c>
      <c r="L171" s="14">
        <f t="shared" si="12"/>
        <v>45905.624664351853</v>
      </c>
      <c r="N171" s="12"/>
    </row>
    <row r="172" spans="1:14" x14ac:dyDescent="0.25">
      <c r="A172" s="4" t="s">
        <v>95</v>
      </c>
      <c r="B172" s="16" t="str">
        <f t="shared" si="8"/>
        <v>SHYAM SUNDER BISHNOI</v>
      </c>
      <c r="C172" s="16" t="str">
        <f t="shared" si="9"/>
        <v>Chak No 6 Kharicharnan / Kolayat / Bikaner</v>
      </c>
      <c r="D172" s="4" t="s">
        <v>3030</v>
      </c>
      <c r="E172" s="4" t="s">
        <v>3119</v>
      </c>
      <c r="F172" s="5">
        <v>45906.999664351853</v>
      </c>
      <c r="G172" s="16" t="str">
        <f t="shared" si="10"/>
        <v>Gravel</v>
      </c>
      <c r="H172" s="4" t="s">
        <v>359</v>
      </c>
      <c r="I172" s="18" t="str" cm="1">
        <f t="array" ref="I172">_xlfn.LET(_xlpm.text, D172,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2" s="18" t="str" cm="1">
        <f t="array" ref="J172">_xlfn.LET(_xlpm.text, E172,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" s="14">
        <f t="shared" si="11"/>
        <v>45907</v>
      </c>
      <c r="L172" s="14">
        <f t="shared" si="12"/>
        <v>45907.624664351853</v>
      </c>
      <c r="N172" s="12"/>
    </row>
    <row r="173" spans="1:14" x14ac:dyDescent="0.25">
      <c r="A173" s="4" t="s">
        <v>96</v>
      </c>
      <c r="B173" s="16" t="str">
        <f t="shared" si="8"/>
        <v>SHYAM SUNDER BISHNOI</v>
      </c>
      <c r="C173" s="16" t="str">
        <f t="shared" si="9"/>
        <v>Chak No 6 Kharicharnan / Kolayat / Bikaner</v>
      </c>
      <c r="D173" s="4" t="s">
        <v>3030</v>
      </c>
      <c r="E173" s="4" t="s">
        <v>3119</v>
      </c>
      <c r="F173" s="5">
        <v>45902.999664351853</v>
      </c>
      <c r="G173" s="16" t="str">
        <f t="shared" si="10"/>
        <v>Gravel</v>
      </c>
      <c r="H173" s="4" t="s">
        <v>360</v>
      </c>
      <c r="I173" s="18" t="str" cm="1">
        <f t="array" ref="I173">_xlfn.LET(_xlpm.text, D173,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3" s="18" t="str" cm="1">
        <f t="array" ref="J173">_xlfn.LET(_xlpm.text, E173,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" s="14">
        <f t="shared" si="11"/>
        <v>45903</v>
      </c>
      <c r="L173" s="14">
        <f t="shared" si="12"/>
        <v>45903.624664351853</v>
      </c>
      <c r="N173" s="12"/>
    </row>
    <row r="174" spans="1:14" x14ac:dyDescent="0.25">
      <c r="A174" s="4" t="s">
        <v>97</v>
      </c>
      <c r="B174" s="16" t="str">
        <f t="shared" si="8"/>
        <v>SHYAM SUNDER BISHNOI</v>
      </c>
      <c r="C174" s="16" t="str">
        <f t="shared" si="9"/>
        <v>Chak No 6 Kharicharnan / Kolayat / Bikaner</v>
      </c>
      <c r="D174" s="4" t="s">
        <v>3030</v>
      </c>
      <c r="E174" s="4" t="s">
        <v>3119</v>
      </c>
      <c r="F174" s="5">
        <v>45905.999664351853</v>
      </c>
      <c r="G174" s="16" t="str">
        <f t="shared" si="10"/>
        <v>Gravel</v>
      </c>
      <c r="H174" s="4" t="s">
        <v>361</v>
      </c>
      <c r="I174" s="18" t="str" cm="1">
        <f t="array" ref="I174">_xlfn.LET(_xlpm.text, D174,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4" s="18" t="str" cm="1">
        <f t="array" ref="J174">_xlfn.LET(_xlpm.text, E174,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" s="14">
        <f t="shared" si="11"/>
        <v>45906</v>
      </c>
      <c r="L174" s="14">
        <f t="shared" si="12"/>
        <v>45906.624664351853</v>
      </c>
      <c r="N174" s="12"/>
    </row>
    <row r="175" spans="1:14" x14ac:dyDescent="0.25">
      <c r="A175" s="4" t="s">
        <v>98</v>
      </c>
      <c r="B175" s="16" t="str">
        <f t="shared" si="8"/>
        <v>SHYAM SUNDER BISHNOI</v>
      </c>
      <c r="C175" s="16" t="str">
        <f t="shared" si="9"/>
        <v>Chak No 6 Kharicharnan / Kolayat / Bikaner</v>
      </c>
      <c r="D175" s="4" t="s">
        <v>3030</v>
      </c>
      <c r="E175" s="4" t="s">
        <v>3119</v>
      </c>
      <c r="F175" s="5">
        <v>45905.999664351853</v>
      </c>
      <c r="G175" s="16" t="str">
        <f t="shared" si="10"/>
        <v>Gravel</v>
      </c>
      <c r="H175" s="4" t="s">
        <v>362</v>
      </c>
      <c r="I175" s="18" t="str" cm="1">
        <f t="array" ref="I175">_xlfn.LET(_xlpm.text, D175,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5" s="18" t="str" cm="1">
        <f t="array" ref="J175">_xlfn.LET(_xlpm.text, E175,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" s="14">
        <f t="shared" si="11"/>
        <v>45906</v>
      </c>
      <c r="L175" s="14">
        <f t="shared" si="12"/>
        <v>45906.624664351853</v>
      </c>
      <c r="N175" s="12"/>
    </row>
    <row r="176" spans="1:14" x14ac:dyDescent="0.25">
      <c r="A176" s="4" t="s">
        <v>99</v>
      </c>
      <c r="B176" s="16" t="str">
        <f t="shared" si="8"/>
        <v>SHYAM SUNDER BISHNOI</v>
      </c>
      <c r="C176" s="16" t="str">
        <f t="shared" si="9"/>
        <v>Chak No 6 Kharicharnan / Kolayat / Bikaner</v>
      </c>
      <c r="D176" s="4" t="s">
        <v>3030</v>
      </c>
      <c r="E176" s="4" t="s">
        <v>3119</v>
      </c>
      <c r="F176" s="5">
        <v>45902.999664351853</v>
      </c>
      <c r="G176" s="16" t="str">
        <f t="shared" si="10"/>
        <v>Gravel</v>
      </c>
      <c r="H176" s="4" t="s">
        <v>351</v>
      </c>
      <c r="I176" s="18" t="str" cm="1">
        <f t="array" ref="I176">_xlfn.LET(_xlpm.text, D176,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6" s="18" t="str" cm="1">
        <f t="array" ref="J176">_xlfn.LET(_xlpm.text, E176,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" s="14">
        <f t="shared" si="11"/>
        <v>45903</v>
      </c>
      <c r="L176" s="14">
        <f t="shared" si="12"/>
        <v>45903.624664351853</v>
      </c>
      <c r="N176" s="12"/>
    </row>
    <row r="177" spans="1:14" x14ac:dyDescent="0.25">
      <c r="A177" s="4" t="s">
        <v>100</v>
      </c>
      <c r="B177" s="16" t="str">
        <f t="shared" si="8"/>
        <v>SHYAM SUNDER BISHNOI</v>
      </c>
      <c r="C177" s="16" t="str">
        <f t="shared" si="9"/>
        <v>Chak No 6 Kharicharnan / Kolayat / Bikaner</v>
      </c>
      <c r="D177" s="4" t="s">
        <v>3030</v>
      </c>
      <c r="E177" s="4" t="s">
        <v>3119</v>
      </c>
      <c r="F177" s="5">
        <v>45902.999664351853</v>
      </c>
      <c r="G177" s="16" t="str">
        <f t="shared" si="10"/>
        <v>Gravel</v>
      </c>
      <c r="H177" s="4" t="s">
        <v>352</v>
      </c>
      <c r="I177" s="18" t="str" cm="1">
        <f t="array" ref="I177">_xlfn.LET(_xlpm.text, D177,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7" s="18" t="str" cm="1">
        <f t="array" ref="J177">_xlfn.LET(_xlpm.text, E177,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" s="14">
        <f t="shared" si="11"/>
        <v>45903</v>
      </c>
      <c r="L177" s="14">
        <f t="shared" si="12"/>
        <v>45903.624664351853</v>
      </c>
      <c r="N177" s="12"/>
    </row>
    <row r="178" spans="1:14" x14ac:dyDescent="0.25">
      <c r="A178" s="4" t="s">
        <v>101</v>
      </c>
      <c r="B178" s="16" t="str">
        <f t="shared" si="8"/>
        <v>SHYAM SUNDER BISHNOI</v>
      </c>
      <c r="C178" s="16" t="str">
        <f t="shared" si="9"/>
        <v>Chak No 6 Kharicharnan / Kolayat / Bikaner</v>
      </c>
      <c r="D178" s="4" t="s">
        <v>3030</v>
      </c>
      <c r="E178" s="4" t="s">
        <v>3119</v>
      </c>
      <c r="F178" s="5">
        <v>45902.999664351853</v>
      </c>
      <c r="G178" s="16" t="str">
        <f t="shared" si="10"/>
        <v>Gravel</v>
      </c>
      <c r="H178" s="4" t="s">
        <v>330</v>
      </c>
      <c r="I178" s="18" t="str" cm="1">
        <f t="array" ref="I178">_xlfn.LET(_xlpm.text, D178,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8" s="18" t="str" cm="1">
        <f t="array" ref="J178">_xlfn.LET(_xlpm.text, E178,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" s="14">
        <f t="shared" si="11"/>
        <v>45903</v>
      </c>
      <c r="L178" s="14">
        <f t="shared" si="12"/>
        <v>45903.624664351853</v>
      </c>
      <c r="N178" s="12"/>
    </row>
    <row r="179" spans="1:14" x14ac:dyDescent="0.25">
      <c r="A179" s="4" t="s">
        <v>102</v>
      </c>
      <c r="B179" s="16" t="str">
        <f t="shared" si="8"/>
        <v>SHYAM SUNDER BISHNOI</v>
      </c>
      <c r="C179" s="16" t="str">
        <f t="shared" si="9"/>
        <v>Chak No 6 Kharicharnan / Kolayat / Bikaner</v>
      </c>
      <c r="D179" s="4" t="s">
        <v>3030</v>
      </c>
      <c r="E179" s="4" t="s">
        <v>3119</v>
      </c>
      <c r="F179" s="5">
        <v>45902.999664351853</v>
      </c>
      <c r="G179" s="16" t="str">
        <f t="shared" si="10"/>
        <v>Gravel</v>
      </c>
      <c r="H179" s="4" t="s">
        <v>345</v>
      </c>
      <c r="I179" s="18" t="str" cm="1">
        <f t="array" ref="I179">_xlfn.LET(_xlpm.text, D179,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79" s="18" t="str" cm="1">
        <f t="array" ref="J179">_xlfn.LET(_xlpm.text, E179,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" s="14">
        <f t="shared" si="11"/>
        <v>45903</v>
      </c>
      <c r="L179" s="14">
        <f t="shared" si="12"/>
        <v>45903.624664351853</v>
      </c>
      <c r="N179" s="12"/>
    </row>
    <row r="180" spans="1:14" x14ac:dyDescent="0.25">
      <c r="A180" s="4" t="s">
        <v>103</v>
      </c>
      <c r="B180" s="16" t="str">
        <f t="shared" si="8"/>
        <v>SHYAM SUNDER BISHNOI</v>
      </c>
      <c r="C180" s="16" t="str">
        <f t="shared" si="9"/>
        <v>Chak No 6 Kharicharnan / Kolayat / Bikaner</v>
      </c>
      <c r="D180" s="4" t="s">
        <v>3030</v>
      </c>
      <c r="E180" s="4" t="s">
        <v>3119</v>
      </c>
      <c r="F180" s="5">
        <v>45903.999664351853</v>
      </c>
      <c r="G180" s="16" t="str">
        <f t="shared" si="10"/>
        <v>Gravel</v>
      </c>
      <c r="H180" s="4" t="s">
        <v>363</v>
      </c>
      <c r="I180" s="18" t="str" cm="1">
        <f t="array" ref="I180">_xlfn.LET(_xlpm.text, D180,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0" s="18" t="str" cm="1">
        <f t="array" ref="J180">_xlfn.LET(_xlpm.text, E180,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" s="14">
        <f t="shared" si="11"/>
        <v>45904</v>
      </c>
      <c r="L180" s="14">
        <f t="shared" si="12"/>
        <v>45904.624664351853</v>
      </c>
      <c r="N180" s="12"/>
    </row>
    <row r="181" spans="1:14" x14ac:dyDescent="0.25">
      <c r="A181" s="4" t="s">
        <v>104</v>
      </c>
      <c r="B181" s="16" t="str">
        <f t="shared" si="8"/>
        <v>SHYAM SUNDER BISHNOI</v>
      </c>
      <c r="C181" s="16" t="str">
        <f t="shared" si="9"/>
        <v>Chak No 6 Kharicharnan / Kolayat / Bikaner</v>
      </c>
      <c r="D181" s="4" t="s">
        <v>3030</v>
      </c>
      <c r="E181" s="4" t="s">
        <v>3119</v>
      </c>
      <c r="F181" s="5">
        <v>45905.999664351853</v>
      </c>
      <c r="G181" s="16" t="str">
        <f t="shared" si="10"/>
        <v>Gravel</v>
      </c>
      <c r="H181" s="4" t="s">
        <v>364</v>
      </c>
      <c r="I181" s="18" t="str" cm="1">
        <f t="array" ref="I181">_xlfn.LET(_xlpm.text, D181,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1" s="18" t="str" cm="1">
        <f t="array" ref="J181">_xlfn.LET(_xlpm.text, E181,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" s="14">
        <f t="shared" si="11"/>
        <v>45906</v>
      </c>
      <c r="L181" s="14">
        <f t="shared" si="12"/>
        <v>45906.624664351853</v>
      </c>
      <c r="N181" s="12"/>
    </row>
    <row r="182" spans="1:14" x14ac:dyDescent="0.25">
      <c r="A182" s="4" t="s">
        <v>105</v>
      </c>
      <c r="B182" s="16" t="str">
        <f t="shared" si="8"/>
        <v>SHYAM SUNDER BISHNOI</v>
      </c>
      <c r="C182" s="16" t="str">
        <f t="shared" si="9"/>
        <v>Chak No 6 Kharicharnan / Kolayat / Bikaner</v>
      </c>
      <c r="D182" s="4" t="s">
        <v>3030</v>
      </c>
      <c r="E182" s="4" t="s">
        <v>3119</v>
      </c>
      <c r="F182" s="5">
        <v>45903.999664351853</v>
      </c>
      <c r="G182" s="16" t="str">
        <f t="shared" si="10"/>
        <v>Gravel</v>
      </c>
      <c r="H182" s="4" t="s">
        <v>364</v>
      </c>
      <c r="I182" s="18" t="str" cm="1">
        <f t="array" ref="I182">_xlfn.LET(_xlpm.text, D182,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2" s="18" t="str" cm="1">
        <f t="array" ref="J182">_xlfn.LET(_xlpm.text, E182,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" s="14">
        <f t="shared" si="11"/>
        <v>45904</v>
      </c>
      <c r="L182" s="14">
        <f t="shared" si="12"/>
        <v>45904.624664351853</v>
      </c>
      <c r="N182" s="12"/>
    </row>
    <row r="183" spans="1:14" x14ac:dyDescent="0.25">
      <c r="A183" s="4" t="s">
        <v>106</v>
      </c>
      <c r="B183" s="16" t="str">
        <f t="shared" si="8"/>
        <v>SHYAM SUNDER BISHNOI</v>
      </c>
      <c r="C183" s="16" t="str">
        <f t="shared" si="9"/>
        <v>Chak No 6 Kharicharnan / Kolayat / Bikaner</v>
      </c>
      <c r="D183" s="4" t="s">
        <v>3030</v>
      </c>
      <c r="E183" s="4" t="s">
        <v>3119</v>
      </c>
      <c r="F183" s="5">
        <v>45903.999664351853</v>
      </c>
      <c r="G183" s="16" t="str">
        <f t="shared" si="10"/>
        <v>Gravel</v>
      </c>
      <c r="H183" s="4" t="s">
        <v>330</v>
      </c>
      <c r="I183" s="18" t="str" cm="1">
        <f t="array" ref="I183">_xlfn.LET(_xlpm.text, D183,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3" s="18" t="str" cm="1">
        <f t="array" ref="J183">_xlfn.LET(_xlpm.text, E183,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" s="14">
        <f t="shared" si="11"/>
        <v>45904</v>
      </c>
      <c r="L183" s="14">
        <f t="shared" si="12"/>
        <v>45904.624664351853</v>
      </c>
      <c r="N183" s="12"/>
    </row>
    <row r="184" spans="1:14" x14ac:dyDescent="0.25">
      <c r="A184" s="4" t="s">
        <v>107</v>
      </c>
      <c r="B184" s="16" t="str">
        <f t="shared" si="8"/>
        <v>SHYAM SUNDER BISHNOI</v>
      </c>
      <c r="C184" s="16" t="str">
        <f t="shared" si="9"/>
        <v>Chak No 6 Kharicharnan / Kolayat / Bikaner</v>
      </c>
      <c r="D184" s="4" t="s">
        <v>3030</v>
      </c>
      <c r="E184" s="4" t="s">
        <v>3119</v>
      </c>
      <c r="F184" s="5">
        <v>45904.999664351853</v>
      </c>
      <c r="G184" s="16" t="str">
        <f t="shared" si="10"/>
        <v>Gravel</v>
      </c>
      <c r="H184" s="4" t="s">
        <v>343</v>
      </c>
      <c r="I184" s="18" t="str" cm="1">
        <f t="array" ref="I184">_xlfn.LET(_xlpm.text, D184,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4" s="18" t="str" cm="1">
        <f t="array" ref="J184">_xlfn.LET(_xlpm.text, E184,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" s="14">
        <f t="shared" si="11"/>
        <v>45905</v>
      </c>
      <c r="L184" s="14">
        <f t="shared" si="12"/>
        <v>45905.624664351853</v>
      </c>
      <c r="N184" s="12"/>
    </row>
    <row r="185" spans="1:14" x14ac:dyDescent="0.25">
      <c r="A185" s="4" t="s">
        <v>108</v>
      </c>
      <c r="B185" s="16" t="str">
        <f t="shared" si="8"/>
        <v>SHYAM SUNDER BISHNOI</v>
      </c>
      <c r="C185" s="16" t="str">
        <f t="shared" si="9"/>
        <v>Chak No 6 Kharicharnan / Kolayat / Bikaner</v>
      </c>
      <c r="D185" s="4" t="s">
        <v>3030</v>
      </c>
      <c r="E185" s="4" t="s">
        <v>3119</v>
      </c>
      <c r="F185" s="5">
        <v>45901.999664351853</v>
      </c>
      <c r="G185" s="16" t="str">
        <f t="shared" si="10"/>
        <v>Gravel</v>
      </c>
      <c r="H185" s="4" t="s">
        <v>330</v>
      </c>
      <c r="I185" s="18" t="str" cm="1">
        <f t="array" ref="I185">_xlfn.LET(_xlpm.text, D185,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5" s="18" t="str" cm="1">
        <f t="array" ref="J185">_xlfn.LET(_xlpm.text, E185,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" s="14">
        <f t="shared" si="11"/>
        <v>45902</v>
      </c>
      <c r="L185" s="14">
        <f t="shared" si="12"/>
        <v>45902.624664351853</v>
      </c>
      <c r="N185" s="12"/>
    </row>
    <row r="186" spans="1:14" x14ac:dyDescent="0.25">
      <c r="A186" s="4" t="s">
        <v>109</v>
      </c>
      <c r="B186" s="16" t="str">
        <f t="shared" si="8"/>
        <v>SHYAM SUNDER BISHNOI</v>
      </c>
      <c r="C186" s="16" t="str">
        <f t="shared" si="9"/>
        <v>Chak No 6 Kharicharnan / Kolayat / Bikaner</v>
      </c>
      <c r="D186" s="4" t="s">
        <v>3030</v>
      </c>
      <c r="E186" s="4" t="s">
        <v>3119</v>
      </c>
      <c r="F186" s="5">
        <v>45906.999664351853</v>
      </c>
      <c r="G186" s="16" t="str">
        <f t="shared" si="10"/>
        <v>Gravel</v>
      </c>
      <c r="H186" s="4" t="s">
        <v>340</v>
      </c>
      <c r="I186" s="18" t="str" cm="1">
        <f t="array" ref="I186">_xlfn.LET(_xlpm.text, D186,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6" s="18" t="str" cm="1">
        <f t="array" ref="J186">_xlfn.LET(_xlpm.text, E186,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" s="14">
        <f t="shared" si="11"/>
        <v>45907</v>
      </c>
      <c r="L186" s="14">
        <f t="shared" si="12"/>
        <v>45907.624664351853</v>
      </c>
      <c r="N186" s="12"/>
    </row>
    <row r="187" spans="1:14" x14ac:dyDescent="0.25">
      <c r="A187" s="4" t="s">
        <v>110</v>
      </c>
      <c r="B187" s="16" t="str">
        <f t="shared" si="8"/>
        <v>SHYAM SUNDER BISHNOI</v>
      </c>
      <c r="C187" s="16" t="str">
        <f t="shared" si="9"/>
        <v>Chak No 6 Kharicharnan / Kolayat / Bikaner</v>
      </c>
      <c r="D187" s="4" t="s">
        <v>3030</v>
      </c>
      <c r="E187" s="4" t="s">
        <v>3119</v>
      </c>
      <c r="F187" s="5">
        <v>45904.999664351853</v>
      </c>
      <c r="G187" s="16" t="str">
        <f t="shared" si="10"/>
        <v>Gravel</v>
      </c>
      <c r="H187" s="4" t="s">
        <v>365</v>
      </c>
      <c r="I187" s="18" t="str" cm="1">
        <f t="array" ref="I187">_xlfn.LET(_xlpm.text, D187,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7" s="18" t="str" cm="1">
        <f t="array" ref="J187">_xlfn.LET(_xlpm.text, E187,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" s="14">
        <f t="shared" si="11"/>
        <v>45905</v>
      </c>
      <c r="L187" s="14">
        <f t="shared" si="12"/>
        <v>45905.624664351853</v>
      </c>
      <c r="N187" s="12"/>
    </row>
    <row r="188" spans="1:14" x14ac:dyDescent="0.25">
      <c r="A188" s="4" t="s">
        <v>111</v>
      </c>
      <c r="B188" s="16" t="str">
        <f t="shared" si="8"/>
        <v>SHYAM SUNDER BISHNOI</v>
      </c>
      <c r="C188" s="16" t="str">
        <f t="shared" si="9"/>
        <v>Chak No 6 Kharicharnan / Kolayat / Bikaner</v>
      </c>
      <c r="D188" s="4" t="s">
        <v>3030</v>
      </c>
      <c r="E188" s="4" t="s">
        <v>3119</v>
      </c>
      <c r="F188" s="5">
        <v>45904.999664351853</v>
      </c>
      <c r="G188" s="16" t="str">
        <f t="shared" si="10"/>
        <v>Gravel</v>
      </c>
      <c r="H188" s="4" t="s">
        <v>366</v>
      </c>
      <c r="I188" s="18" t="str" cm="1">
        <f t="array" ref="I188">_xlfn.LET(_xlpm.text, D188,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8" s="18" t="str" cm="1">
        <f t="array" ref="J188">_xlfn.LET(_xlpm.text, E188,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" s="14">
        <f t="shared" si="11"/>
        <v>45905</v>
      </c>
      <c r="L188" s="14">
        <f t="shared" si="12"/>
        <v>45905.624664351853</v>
      </c>
      <c r="N188" s="12"/>
    </row>
    <row r="189" spans="1:14" x14ac:dyDescent="0.25">
      <c r="A189" s="4" t="s">
        <v>112</v>
      </c>
      <c r="B189" s="16" t="str">
        <f t="shared" si="8"/>
        <v>SHYAM SUNDER BISHNOI</v>
      </c>
      <c r="C189" s="16" t="str">
        <f t="shared" si="9"/>
        <v>Chak No 6 Kharicharnan / Kolayat / Bikaner</v>
      </c>
      <c r="D189" s="4" t="s">
        <v>3030</v>
      </c>
      <c r="E189" s="4" t="s">
        <v>3119</v>
      </c>
      <c r="F189" s="5">
        <v>45903.999664351853</v>
      </c>
      <c r="G189" s="16" t="str">
        <f t="shared" si="10"/>
        <v>Gravel</v>
      </c>
      <c r="H189" s="4" t="s">
        <v>330</v>
      </c>
      <c r="I189" s="18" t="str" cm="1">
        <f t="array" ref="I189">_xlfn.LET(_xlpm.text, D189,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89" s="18" t="str" cm="1">
        <f t="array" ref="J189">_xlfn.LET(_xlpm.text, E189,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" s="14">
        <f t="shared" si="11"/>
        <v>45904</v>
      </c>
      <c r="L189" s="14">
        <f t="shared" si="12"/>
        <v>45904.624664351853</v>
      </c>
      <c r="N189" s="12"/>
    </row>
    <row r="190" spans="1:14" x14ac:dyDescent="0.25">
      <c r="A190" s="4" t="s">
        <v>113</v>
      </c>
      <c r="B190" s="16" t="str">
        <f t="shared" si="8"/>
        <v>SHYAM SUNDER BISHNOI</v>
      </c>
      <c r="C190" s="16" t="str">
        <f t="shared" si="9"/>
        <v>Chak No 6 Kharicharnan / Kolayat / Bikaner</v>
      </c>
      <c r="D190" s="4" t="s">
        <v>3030</v>
      </c>
      <c r="E190" s="4" t="s">
        <v>3119</v>
      </c>
      <c r="F190" s="5">
        <v>45886.999664351853</v>
      </c>
      <c r="G190" s="16" t="str">
        <f t="shared" si="10"/>
        <v>Gravel</v>
      </c>
      <c r="H190" s="4" t="s">
        <v>367</v>
      </c>
      <c r="I190" s="18" t="str" cm="1">
        <f t="array" ref="I190">_xlfn.LET(_xlpm.text, D190,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0" s="18" t="str" cm="1">
        <f t="array" ref="J190">_xlfn.LET(_xlpm.text, E190,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" s="14">
        <f t="shared" si="11"/>
        <v>45887</v>
      </c>
      <c r="L190" s="14">
        <f t="shared" si="12"/>
        <v>45887.624664351853</v>
      </c>
      <c r="N190" s="12"/>
    </row>
    <row r="191" spans="1:14" x14ac:dyDescent="0.25">
      <c r="A191" s="4" t="s">
        <v>114</v>
      </c>
      <c r="B191" s="16" t="str">
        <f t="shared" si="8"/>
        <v>SHYAM SUNDER BISHNOI</v>
      </c>
      <c r="C191" s="16" t="str">
        <f t="shared" si="9"/>
        <v>Chak No 6 Kharicharnan / Kolayat / Bikaner</v>
      </c>
      <c r="D191" s="4" t="s">
        <v>3030</v>
      </c>
      <c r="E191" s="4" t="s">
        <v>3119</v>
      </c>
      <c r="F191" s="5">
        <v>45887.999664351853</v>
      </c>
      <c r="G191" s="16" t="str">
        <f t="shared" si="10"/>
        <v>Gravel</v>
      </c>
      <c r="H191" s="4" t="s">
        <v>368</v>
      </c>
      <c r="I191" s="18" t="str" cm="1">
        <f t="array" ref="I191">_xlfn.LET(_xlpm.text, D191,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1" s="18" t="str" cm="1">
        <f t="array" ref="J191">_xlfn.LET(_xlpm.text, E191,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" s="14">
        <f t="shared" si="11"/>
        <v>45888</v>
      </c>
      <c r="L191" s="14">
        <f t="shared" si="12"/>
        <v>45888.624664351853</v>
      </c>
      <c r="N191" s="12"/>
    </row>
    <row r="192" spans="1:14" x14ac:dyDescent="0.25">
      <c r="A192" s="4" t="s">
        <v>115</v>
      </c>
      <c r="B192" s="16" t="str">
        <f t="shared" si="8"/>
        <v>SHYAM SUNDER BISHNOI</v>
      </c>
      <c r="C192" s="16" t="str">
        <f t="shared" si="9"/>
        <v>Chak No 6 Kharicharnan / Kolayat / Bikaner</v>
      </c>
      <c r="D192" s="4" t="s">
        <v>3030</v>
      </c>
      <c r="E192" s="4" t="s">
        <v>3119</v>
      </c>
      <c r="F192" s="5">
        <v>45886.999664351853</v>
      </c>
      <c r="G192" s="16" t="str">
        <f t="shared" si="10"/>
        <v>Gravel</v>
      </c>
      <c r="H192" s="4" t="s">
        <v>330</v>
      </c>
      <c r="I192" s="18" t="str" cm="1">
        <f t="array" ref="I192">_xlfn.LET(_xlpm.text, D192,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2" s="18" t="str" cm="1">
        <f t="array" ref="J192">_xlfn.LET(_xlpm.text, E192,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" s="14">
        <f t="shared" si="11"/>
        <v>45887</v>
      </c>
      <c r="L192" s="14">
        <f t="shared" si="12"/>
        <v>45887.624664351853</v>
      </c>
      <c r="N192" s="12"/>
    </row>
    <row r="193" spans="1:14" x14ac:dyDescent="0.25">
      <c r="A193" s="4" t="s">
        <v>116</v>
      </c>
      <c r="B193" s="16" t="str">
        <f t="shared" si="8"/>
        <v>SHYAM SUNDER BISHNOI</v>
      </c>
      <c r="C193" s="16" t="str">
        <f t="shared" si="9"/>
        <v>Chak No 6 Kharicharnan / Kolayat / Bikaner</v>
      </c>
      <c r="D193" s="4" t="s">
        <v>3030</v>
      </c>
      <c r="E193" s="4" t="s">
        <v>3119</v>
      </c>
      <c r="F193" s="5">
        <v>45885.999664351853</v>
      </c>
      <c r="G193" s="16" t="str">
        <f t="shared" si="10"/>
        <v>Gravel</v>
      </c>
      <c r="H193" s="4" t="s">
        <v>369</v>
      </c>
      <c r="I193" s="18" t="str" cm="1">
        <f t="array" ref="I193">_xlfn.LET(_xlpm.text, D193,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3" s="18" t="str" cm="1">
        <f t="array" ref="J193">_xlfn.LET(_xlpm.text, E193,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" s="14">
        <f t="shared" si="11"/>
        <v>45886</v>
      </c>
      <c r="L193" s="14">
        <f t="shared" si="12"/>
        <v>45886.624664351853</v>
      </c>
      <c r="N193" s="12"/>
    </row>
    <row r="194" spans="1:14" x14ac:dyDescent="0.25">
      <c r="A194" s="4" t="s">
        <v>117</v>
      </c>
      <c r="B194" s="16" t="str">
        <f t="shared" ref="B194:B257" si="13">VLOOKUP(LEFT($A194,4)&amp;"*",$O$3:$R$17, 2, FALSE)</f>
        <v>SHYAM SUNDER BISHNOI</v>
      </c>
      <c r="C194" s="16" t="str">
        <f t="shared" ref="C194:C257" si="14">VLOOKUP(LEFT($A194,4)&amp;"*",$O$3:$R$17, 3, FALSE)</f>
        <v>Chak No 6 Kharicharnan / Kolayat / Bikaner</v>
      </c>
      <c r="D194" s="4" t="s">
        <v>3030</v>
      </c>
      <c r="E194" s="4" t="s">
        <v>3119</v>
      </c>
      <c r="F194" s="5">
        <v>45886.999664351853</v>
      </c>
      <c r="G194" s="16" t="str">
        <f t="shared" ref="G194:G257" si="15">VLOOKUP(LEFT($A194,4)&amp;"*",$O$3:$R$17, 4, FALSE)</f>
        <v>Gravel</v>
      </c>
      <c r="H194" s="4" t="s">
        <v>370</v>
      </c>
      <c r="I194" s="18" t="str" cm="1">
        <f t="array" ref="I194">_xlfn.LET(_xlpm.text, D194,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4" s="18" t="str" cm="1">
        <f t="array" ref="J194">_xlfn.LET(_xlpm.text, E194,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" s="14">
        <f t="shared" si="11"/>
        <v>45887</v>
      </c>
      <c r="L194" s="14">
        <f t="shared" si="12"/>
        <v>45887.624664351853</v>
      </c>
      <c r="N194" s="12"/>
    </row>
    <row r="195" spans="1:14" x14ac:dyDescent="0.25">
      <c r="A195" s="4" t="s">
        <v>118</v>
      </c>
      <c r="B195" s="16" t="str">
        <f t="shared" si="13"/>
        <v>SHYAM SUNDER BISHNOI</v>
      </c>
      <c r="C195" s="16" t="str">
        <f t="shared" si="14"/>
        <v>Chak No 6 Kharicharnan / Kolayat / Bikaner</v>
      </c>
      <c r="D195" s="4" t="s">
        <v>3030</v>
      </c>
      <c r="E195" s="4" t="s">
        <v>3119</v>
      </c>
      <c r="F195" s="5">
        <v>45886.999664351853</v>
      </c>
      <c r="G195" s="16" t="str">
        <f t="shared" si="15"/>
        <v>Gravel</v>
      </c>
      <c r="H195" s="4" t="s">
        <v>371</v>
      </c>
      <c r="I195" s="18" t="str" cm="1">
        <f t="array" ref="I195">_xlfn.LET(_xlpm.text, D195,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5" s="18" t="str" cm="1">
        <f t="array" ref="J195">_xlfn.LET(_xlpm.text, E195,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" s="14">
        <f t="shared" ref="K195:K258" si="16">F195+(29/86400)</f>
        <v>45887</v>
      </c>
      <c r="L195" s="14">
        <f t="shared" ref="L195:L258" si="17">F195+(15/24)</f>
        <v>45887.624664351853</v>
      </c>
      <c r="N195" s="12"/>
    </row>
    <row r="196" spans="1:14" x14ac:dyDescent="0.25">
      <c r="A196" s="4" t="s">
        <v>119</v>
      </c>
      <c r="B196" s="16" t="str">
        <f t="shared" si="13"/>
        <v>SHYAM SUNDER BISHNOI</v>
      </c>
      <c r="C196" s="16" t="str">
        <f t="shared" si="14"/>
        <v>Chak No 6 Kharicharnan / Kolayat / Bikaner</v>
      </c>
      <c r="D196" s="4" t="s">
        <v>3030</v>
      </c>
      <c r="E196" s="4" t="s">
        <v>3119</v>
      </c>
      <c r="F196" s="5">
        <v>45885.999664351853</v>
      </c>
      <c r="G196" s="16" t="str">
        <f t="shared" si="15"/>
        <v>Gravel</v>
      </c>
      <c r="H196" s="4" t="s">
        <v>328</v>
      </c>
      <c r="I196" s="18" t="str" cm="1">
        <f t="array" ref="I196">_xlfn.LET(_xlpm.text, D196,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6" s="18" t="str" cm="1">
        <f t="array" ref="J196">_xlfn.LET(_xlpm.text, E196,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" s="14">
        <f t="shared" si="16"/>
        <v>45886</v>
      </c>
      <c r="L196" s="14">
        <f t="shared" si="17"/>
        <v>45886.624664351853</v>
      </c>
      <c r="N196" s="12"/>
    </row>
    <row r="197" spans="1:14" x14ac:dyDescent="0.25">
      <c r="A197" s="4" t="s">
        <v>120</v>
      </c>
      <c r="B197" s="16" t="str">
        <f t="shared" si="13"/>
        <v>SHYAM SUNDER BISHNOI</v>
      </c>
      <c r="C197" s="16" t="str">
        <f t="shared" si="14"/>
        <v>Chak No 6 Kharicharnan / Kolayat / Bikaner</v>
      </c>
      <c r="D197" s="4" t="s">
        <v>3030</v>
      </c>
      <c r="E197" s="4" t="s">
        <v>3119</v>
      </c>
      <c r="F197" s="5">
        <v>45885.999664351853</v>
      </c>
      <c r="G197" s="16" t="str">
        <f t="shared" si="15"/>
        <v>Gravel</v>
      </c>
      <c r="H197" s="4" t="s">
        <v>372</v>
      </c>
      <c r="I197" s="18" t="str" cm="1">
        <f t="array" ref="I197">_xlfn.LET(_xlpm.text, D197,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7" s="18" t="str" cm="1">
        <f t="array" ref="J197">_xlfn.LET(_xlpm.text, E197,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" s="14">
        <f t="shared" si="16"/>
        <v>45886</v>
      </c>
      <c r="L197" s="14">
        <f t="shared" si="17"/>
        <v>45886.624664351853</v>
      </c>
      <c r="N197" s="12"/>
    </row>
    <row r="198" spans="1:14" x14ac:dyDescent="0.25">
      <c r="A198" s="4" t="s">
        <v>121</v>
      </c>
      <c r="B198" s="16" t="str">
        <f t="shared" si="13"/>
        <v>SHYAM SUNDER BISHNOI</v>
      </c>
      <c r="C198" s="16" t="str">
        <f t="shared" si="14"/>
        <v>Chak No 6 Kharicharnan / Kolayat / Bikaner</v>
      </c>
      <c r="D198" s="4" t="s">
        <v>3030</v>
      </c>
      <c r="E198" s="4" t="s">
        <v>3119</v>
      </c>
      <c r="F198" s="5">
        <v>45885.999664351853</v>
      </c>
      <c r="G198" s="16" t="str">
        <f t="shared" si="15"/>
        <v>Gravel</v>
      </c>
      <c r="H198" s="4" t="s">
        <v>342</v>
      </c>
      <c r="I198" s="18" t="str" cm="1">
        <f t="array" ref="I198">_xlfn.LET(_xlpm.text, D198,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8" s="18" t="str" cm="1">
        <f t="array" ref="J198">_xlfn.LET(_xlpm.text, E198,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" s="14">
        <f t="shared" si="16"/>
        <v>45886</v>
      </c>
      <c r="L198" s="14">
        <f t="shared" si="17"/>
        <v>45886.624664351853</v>
      </c>
      <c r="N198" s="12"/>
    </row>
    <row r="199" spans="1:14" x14ac:dyDescent="0.25">
      <c r="A199" s="4" t="s">
        <v>122</v>
      </c>
      <c r="B199" s="16" t="str">
        <f t="shared" si="13"/>
        <v>SHYAM SUNDER BISHNOI</v>
      </c>
      <c r="C199" s="16" t="str">
        <f t="shared" si="14"/>
        <v>Chak No 6 Kharicharnan / Kolayat / Bikaner</v>
      </c>
      <c r="D199" s="4" t="s">
        <v>3030</v>
      </c>
      <c r="E199" s="4" t="s">
        <v>3119</v>
      </c>
      <c r="F199" s="5">
        <v>45883.999664351853</v>
      </c>
      <c r="G199" s="16" t="str">
        <f t="shared" si="15"/>
        <v>Gravel</v>
      </c>
      <c r="H199" s="4" t="s">
        <v>358</v>
      </c>
      <c r="I199" s="18" t="str" cm="1">
        <f t="array" ref="I199">_xlfn.LET(_xlpm.text, D199,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199" s="18" t="str" cm="1">
        <f t="array" ref="J199">_xlfn.LET(_xlpm.text, E199,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" s="14">
        <f t="shared" si="16"/>
        <v>45884</v>
      </c>
      <c r="L199" s="14">
        <f t="shared" si="17"/>
        <v>45884.624664351853</v>
      </c>
      <c r="N199" s="12"/>
    </row>
    <row r="200" spans="1:14" x14ac:dyDescent="0.25">
      <c r="A200" s="4" t="s">
        <v>123</v>
      </c>
      <c r="B200" s="16" t="str">
        <f t="shared" si="13"/>
        <v>SHYAM SUNDER BISHNOI</v>
      </c>
      <c r="C200" s="16" t="str">
        <f t="shared" si="14"/>
        <v>Chak No 6 Kharicharnan / Kolayat / Bikaner</v>
      </c>
      <c r="D200" s="4" t="s">
        <v>3030</v>
      </c>
      <c r="E200" s="4" t="s">
        <v>3119</v>
      </c>
      <c r="F200" s="5">
        <v>45894.999664351853</v>
      </c>
      <c r="G200" s="16" t="str">
        <f t="shared" si="15"/>
        <v>Gravel</v>
      </c>
      <c r="H200" s="4" t="s">
        <v>331</v>
      </c>
      <c r="I200" s="18" t="str" cm="1">
        <f t="array" ref="I200">_xlfn.LET(_xlpm.text, D200,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0" s="18" t="str" cm="1">
        <f t="array" ref="J200">_xlfn.LET(_xlpm.text, E200,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" s="14">
        <f t="shared" si="16"/>
        <v>45895</v>
      </c>
      <c r="L200" s="14">
        <f t="shared" si="17"/>
        <v>45895.624664351853</v>
      </c>
      <c r="N200" s="12"/>
    </row>
    <row r="201" spans="1:14" x14ac:dyDescent="0.25">
      <c r="A201" s="4" t="s">
        <v>124</v>
      </c>
      <c r="B201" s="16" t="str">
        <f t="shared" si="13"/>
        <v>SHYAM SUNDER BISHNOI</v>
      </c>
      <c r="C201" s="16" t="str">
        <f t="shared" si="14"/>
        <v>Chak No 6 Kharicharnan / Kolayat / Bikaner</v>
      </c>
      <c r="D201" s="4" t="s">
        <v>3030</v>
      </c>
      <c r="E201" s="4" t="s">
        <v>3119</v>
      </c>
      <c r="F201" s="5">
        <v>45886.999664351853</v>
      </c>
      <c r="G201" s="16" t="str">
        <f t="shared" si="15"/>
        <v>Gravel</v>
      </c>
      <c r="H201" s="4" t="s">
        <v>343</v>
      </c>
      <c r="I201" s="18" t="str" cm="1">
        <f t="array" ref="I201">_xlfn.LET(_xlpm.text, D201,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1" s="18" t="str" cm="1">
        <f t="array" ref="J201">_xlfn.LET(_xlpm.text, E201,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" s="14">
        <f t="shared" si="16"/>
        <v>45887</v>
      </c>
      <c r="L201" s="14">
        <f t="shared" si="17"/>
        <v>45887.624664351853</v>
      </c>
      <c r="N201" s="12"/>
    </row>
    <row r="202" spans="1:14" x14ac:dyDescent="0.25">
      <c r="A202" s="4" t="s">
        <v>125</v>
      </c>
      <c r="B202" s="16" t="str">
        <f t="shared" si="13"/>
        <v>SHYAM SUNDER BISHNOI</v>
      </c>
      <c r="C202" s="16" t="str">
        <f t="shared" si="14"/>
        <v>Chak No 6 Kharicharnan / Kolayat / Bikaner</v>
      </c>
      <c r="D202" s="4" t="s">
        <v>3030</v>
      </c>
      <c r="E202" s="4" t="s">
        <v>3119</v>
      </c>
      <c r="F202" s="5">
        <v>45885.999664351853</v>
      </c>
      <c r="G202" s="16" t="str">
        <f t="shared" si="15"/>
        <v>Gravel</v>
      </c>
      <c r="H202" s="4" t="s">
        <v>328</v>
      </c>
      <c r="I202" s="18" t="str" cm="1">
        <f t="array" ref="I202">_xlfn.LET(_xlpm.text, D202,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2" s="18" t="str" cm="1">
        <f t="array" ref="J202">_xlfn.LET(_xlpm.text, E202,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" s="14">
        <f t="shared" si="16"/>
        <v>45886</v>
      </c>
      <c r="L202" s="14">
        <f t="shared" si="17"/>
        <v>45886.624664351853</v>
      </c>
      <c r="N202" s="12"/>
    </row>
    <row r="203" spans="1:14" x14ac:dyDescent="0.25">
      <c r="A203" s="4" t="s">
        <v>126</v>
      </c>
      <c r="B203" s="16" t="str">
        <f t="shared" si="13"/>
        <v>SHYAM SUNDER BISHNOI</v>
      </c>
      <c r="C203" s="16" t="str">
        <f t="shared" si="14"/>
        <v>Chak No 6 Kharicharnan / Kolayat / Bikaner</v>
      </c>
      <c r="D203" s="4" t="s">
        <v>3030</v>
      </c>
      <c r="E203" s="4" t="s">
        <v>3119</v>
      </c>
      <c r="F203" s="5">
        <v>45885.999664351853</v>
      </c>
      <c r="G203" s="16" t="str">
        <f t="shared" si="15"/>
        <v>Gravel</v>
      </c>
      <c r="H203" s="4" t="s">
        <v>332</v>
      </c>
      <c r="I203" s="18" t="str" cm="1">
        <f t="array" ref="I203">_xlfn.LET(_xlpm.text, D203,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3" s="18" t="str" cm="1">
        <f t="array" ref="J203">_xlfn.LET(_xlpm.text, E203,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" s="14">
        <f t="shared" si="16"/>
        <v>45886</v>
      </c>
      <c r="L203" s="14">
        <f t="shared" si="17"/>
        <v>45886.624664351853</v>
      </c>
      <c r="N203" s="12"/>
    </row>
    <row r="204" spans="1:14" x14ac:dyDescent="0.25">
      <c r="A204" s="4" t="s">
        <v>127</v>
      </c>
      <c r="B204" s="16" t="str">
        <f t="shared" si="13"/>
        <v>SHYAM SUNDER BISHNOI</v>
      </c>
      <c r="C204" s="16" t="str">
        <f t="shared" si="14"/>
        <v>Chak No 6 Kharicharnan / Kolayat / Bikaner</v>
      </c>
      <c r="D204" s="4" t="s">
        <v>3030</v>
      </c>
      <c r="E204" s="4" t="s">
        <v>3119</v>
      </c>
      <c r="F204" s="5">
        <v>45883.999664351853</v>
      </c>
      <c r="G204" s="16" t="str">
        <f t="shared" si="15"/>
        <v>Gravel</v>
      </c>
      <c r="H204" s="4" t="s">
        <v>373</v>
      </c>
      <c r="I204" s="18" t="str" cm="1">
        <f t="array" ref="I204">_xlfn.LET(_xlpm.text, D204,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4" s="18" t="str" cm="1">
        <f t="array" ref="J204">_xlfn.LET(_xlpm.text, E204,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" s="14">
        <f t="shared" si="16"/>
        <v>45884</v>
      </c>
      <c r="L204" s="14">
        <f t="shared" si="17"/>
        <v>45884.624664351853</v>
      </c>
      <c r="N204" s="12"/>
    </row>
    <row r="205" spans="1:14" x14ac:dyDescent="0.25">
      <c r="A205" s="4" t="s">
        <v>128</v>
      </c>
      <c r="B205" s="16" t="str">
        <f t="shared" si="13"/>
        <v>SHYAM SUNDER BISHNOI</v>
      </c>
      <c r="C205" s="16" t="str">
        <f t="shared" si="14"/>
        <v>Chak No 6 Kharicharnan / Kolayat / Bikaner</v>
      </c>
      <c r="D205" s="4" t="s">
        <v>3030</v>
      </c>
      <c r="E205" s="4" t="s">
        <v>3119</v>
      </c>
      <c r="F205" s="5">
        <v>45889.999664351853</v>
      </c>
      <c r="G205" s="16" t="str">
        <f t="shared" si="15"/>
        <v>Gravel</v>
      </c>
      <c r="H205" s="4" t="s">
        <v>374</v>
      </c>
      <c r="I205" s="18" t="str" cm="1">
        <f t="array" ref="I205">_xlfn.LET(_xlpm.text, D205,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5" s="18" t="str" cm="1">
        <f t="array" ref="J205">_xlfn.LET(_xlpm.text, E205,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" s="14">
        <f t="shared" si="16"/>
        <v>45890</v>
      </c>
      <c r="L205" s="14">
        <f t="shared" si="17"/>
        <v>45890.624664351853</v>
      </c>
      <c r="N205" s="12"/>
    </row>
    <row r="206" spans="1:14" x14ac:dyDescent="0.25">
      <c r="A206" s="4" t="s">
        <v>129</v>
      </c>
      <c r="B206" s="16" t="str">
        <f t="shared" si="13"/>
        <v>SHYAM SUNDER BISHNOI</v>
      </c>
      <c r="C206" s="16" t="str">
        <f t="shared" si="14"/>
        <v>Chak No 6 Kharicharnan / Kolayat / Bikaner</v>
      </c>
      <c r="D206" s="4" t="s">
        <v>3030</v>
      </c>
      <c r="E206" s="4" t="s">
        <v>3119</v>
      </c>
      <c r="F206" s="5">
        <v>45885.999664351853</v>
      </c>
      <c r="G206" s="16" t="str">
        <f t="shared" si="15"/>
        <v>Gravel</v>
      </c>
      <c r="H206" s="4" t="s">
        <v>337</v>
      </c>
      <c r="I206" s="18" t="str" cm="1">
        <f t="array" ref="I206">_xlfn.LET(_xlpm.text, D206,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6" s="18" t="str" cm="1">
        <f t="array" ref="J206">_xlfn.LET(_xlpm.text, E206,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" s="14">
        <f t="shared" si="16"/>
        <v>45886</v>
      </c>
      <c r="L206" s="14">
        <f t="shared" si="17"/>
        <v>45886.624664351853</v>
      </c>
      <c r="N206" s="12"/>
    </row>
    <row r="207" spans="1:14" x14ac:dyDescent="0.25">
      <c r="A207" s="4" t="s">
        <v>130</v>
      </c>
      <c r="B207" s="16" t="str">
        <f t="shared" si="13"/>
        <v>SHYAM SUNDER BISHNOI</v>
      </c>
      <c r="C207" s="16" t="str">
        <f t="shared" si="14"/>
        <v>Chak No 6 Kharicharnan / Kolayat / Bikaner</v>
      </c>
      <c r="D207" s="4" t="s">
        <v>3030</v>
      </c>
      <c r="E207" s="4" t="s">
        <v>3119</v>
      </c>
      <c r="F207" s="5">
        <v>45888.999664351853</v>
      </c>
      <c r="G207" s="16" t="str">
        <f t="shared" si="15"/>
        <v>Gravel</v>
      </c>
      <c r="H207" s="4" t="s">
        <v>343</v>
      </c>
      <c r="I207" s="18" t="str" cm="1">
        <f t="array" ref="I207">_xlfn.LET(_xlpm.text, D207,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7" s="18" t="str" cm="1">
        <f t="array" ref="J207">_xlfn.LET(_xlpm.text, E207,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" s="14">
        <f t="shared" si="16"/>
        <v>45889</v>
      </c>
      <c r="L207" s="14">
        <f t="shared" si="17"/>
        <v>45889.624664351853</v>
      </c>
      <c r="N207" s="12"/>
    </row>
    <row r="208" spans="1:14" x14ac:dyDescent="0.25">
      <c r="A208" s="4" t="s">
        <v>131</v>
      </c>
      <c r="B208" s="16" t="str">
        <f t="shared" si="13"/>
        <v>SHYAM SUNDER BISHNOI</v>
      </c>
      <c r="C208" s="16" t="str">
        <f t="shared" si="14"/>
        <v>Chak No 6 Kharicharnan / Kolayat / Bikaner</v>
      </c>
      <c r="D208" s="4" t="s">
        <v>3030</v>
      </c>
      <c r="E208" s="4" t="s">
        <v>3119</v>
      </c>
      <c r="F208" s="5">
        <v>45889.999664351853</v>
      </c>
      <c r="G208" s="16" t="str">
        <f t="shared" si="15"/>
        <v>Gravel</v>
      </c>
      <c r="H208" s="4" t="s">
        <v>375</v>
      </c>
      <c r="I208" s="18" t="str" cm="1">
        <f t="array" ref="I208">_xlfn.LET(_xlpm.text, D208,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8" s="18" t="str" cm="1">
        <f t="array" ref="J208">_xlfn.LET(_xlpm.text, E208,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" s="14">
        <f t="shared" si="16"/>
        <v>45890</v>
      </c>
      <c r="L208" s="14">
        <f t="shared" si="17"/>
        <v>45890.624664351853</v>
      </c>
      <c r="N208" s="12"/>
    </row>
    <row r="209" spans="1:14" x14ac:dyDescent="0.25">
      <c r="A209" s="4" t="s">
        <v>132</v>
      </c>
      <c r="B209" s="16" t="str">
        <f t="shared" si="13"/>
        <v>SHYAM SUNDER BISHNOI</v>
      </c>
      <c r="C209" s="16" t="str">
        <f t="shared" si="14"/>
        <v>Chak No 6 Kharicharnan / Kolayat / Bikaner</v>
      </c>
      <c r="D209" s="4" t="s">
        <v>3030</v>
      </c>
      <c r="E209" s="4" t="s">
        <v>3119</v>
      </c>
      <c r="F209" s="5">
        <v>45889.999664351853</v>
      </c>
      <c r="G209" s="16" t="str">
        <f t="shared" si="15"/>
        <v>Gravel</v>
      </c>
      <c r="H209" s="4" t="s">
        <v>368</v>
      </c>
      <c r="I209" s="18" t="str" cm="1">
        <f t="array" ref="I209">_xlfn.LET(_xlpm.text, D209,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09" s="18" t="str" cm="1">
        <f t="array" ref="J209">_xlfn.LET(_xlpm.text, E209,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" s="14">
        <f t="shared" si="16"/>
        <v>45890</v>
      </c>
      <c r="L209" s="14">
        <f t="shared" si="17"/>
        <v>45890.624664351853</v>
      </c>
      <c r="N209" s="12"/>
    </row>
    <row r="210" spans="1:14" x14ac:dyDescent="0.25">
      <c r="A210" s="4" t="s">
        <v>133</v>
      </c>
      <c r="B210" s="16" t="str">
        <f t="shared" si="13"/>
        <v>SHYAM SUNDER BISHNOI</v>
      </c>
      <c r="C210" s="16" t="str">
        <f t="shared" si="14"/>
        <v>Chak No 6 Kharicharnan / Kolayat / Bikaner</v>
      </c>
      <c r="D210" s="4" t="s">
        <v>3030</v>
      </c>
      <c r="E210" s="4" t="s">
        <v>3119</v>
      </c>
      <c r="F210" s="5">
        <v>45885.999664351853</v>
      </c>
      <c r="G210" s="16" t="str">
        <f t="shared" si="15"/>
        <v>Gravel</v>
      </c>
      <c r="H210" s="4" t="s">
        <v>376</v>
      </c>
      <c r="I210" s="18" t="str" cm="1">
        <f t="array" ref="I210">_xlfn.LET(_xlpm.text, D210,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0" s="18" t="str" cm="1">
        <f t="array" ref="J210">_xlfn.LET(_xlpm.text, E210,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" s="14">
        <f t="shared" si="16"/>
        <v>45886</v>
      </c>
      <c r="L210" s="14">
        <f t="shared" si="17"/>
        <v>45886.624664351853</v>
      </c>
      <c r="N210" s="12"/>
    </row>
    <row r="211" spans="1:14" x14ac:dyDescent="0.25">
      <c r="A211" s="4" t="s">
        <v>134</v>
      </c>
      <c r="B211" s="16" t="str">
        <f t="shared" si="13"/>
        <v>SHYAM SUNDER BISHNOI</v>
      </c>
      <c r="C211" s="16" t="str">
        <f t="shared" si="14"/>
        <v>Chak No 6 Kharicharnan / Kolayat / Bikaner</v>
      </c>
      <c r="D211" s="4" t="s">
        <v>3030</v>
      </c>
      <c r="E211" s="4" t="s">
        <v>3119</v>
      </c>
      <c r="F211" s="5">
        <v>45885.999664351853</v>
      </c>
      <c r="G211" s="16" t="str">
        <f t="shared" si="15"/>
        <v>Gravel</v>
      </c>
      <c r="H211" s="4" t="s">
        <v>377</v>
      </c>
      <c r="I211" s="18" t="str" cm="1">
        <f t="array" ref="I211">_xlfn.LET(_xlpm.text, D211,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1" s="18" t="str" cm="1">
        <f t="array" ref="J211">_xlfn.LET(_xlpm.text, E211,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" s="14">
        <f t="shared" si="16"/>
        <v>45886</v>
      </c>
      <c r="L211" s="14">
        <f t="shared" si="17"/>
        <v>45886.624664351853</v>
      </c>
      <c r="N211" s="12"/>
    </row>
    <row r="212" spans="1:14" x14ac:dyDescent="0.25">
      <c r="A212" s="4" t="s">
        <v>135</v>
      </c>
      <c r="B212" s="16" t="str">
        <f t="shared" si="13"/>
        <v>SHYAM SUNDER BISHNOI</v>
      </c>
      <c r="C212" s="16" t="str">
        <f t="shared" si="14"/>
        <v>Chak No 6 Kharicharnan / Kolayat / Bikaner</v>
      </c>
      <c r="D212" s="4" t="s">
        <v>3030</v>
      </c>
      <c r="E212" s="4" t="s">
        <v>3119</v>
      </c>
      <c r="F212" s="5">
        <v>45887.999664351853</v>
      </c>
      <c r="G212" s="16" t="str">
        <f t="shared" si="15"/>
        <v>Gravel</v>
      </c>
      <c r="H212" s="4" t="s">
        <v>378</v>
      </c>
      <c r="I212" s="18" t="str" cm="1">
        <f t="array" ref="I212">_xlfn.LET(_xlpm.text, D212,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2" s="18" t="str" cm="1">
        <f t="array" ref="J212">_xlfn.LET(_xlpm.text, E212,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" s="14">
        <f t="shared" si="16"/>
        <v>45888</v>
      </c>
      <c r="L212" s="14">
        <f t="shared" si="17"/>
        <v>45888.624664351853</v>
      </c>
      <c r="N212" s="12"/>
    </row>
    <row r="213" spans="1:14" x14ac:dyDescent="0.25">
      <c r="A213" s="4" t="s">
        <v>136</v>
      </c>
      <c r="B213" s="16" t="str">
        <f t="shared" si="13"/>
        <v>SHYAM SUNDER BISHNOI</v>
      </c>
      <c r="C213" s="16" t="str">
        <f t="shared" si="14"/>
        <v>Chak No 6 Kharicharnan / Kolayat / Bikaner</v>
      </c>
      <c r="D213" s="4" t="s">
        <v>3030</v>
      </c>
      <c r="E213" s="4" t="s">
        <v>3119</v>
      </c>
      <c r="F213" s="5">
        <v>45886.999664351853</v>
      </c>
      <c r="G213" s="16" t="str">
        <f t="shared" si="15"/>
        <v>Gravel</v>
      </c>
      <c r="H213" s="4" t="s">
        <v>343</v>
      </c>
      <c r="I213" s="18" t="str" cm="1">
        <f t="array" ref="I213">_xlfn.LET(_xlpm.text, D213,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3" s="18" t="str" cm="1">
        <f t="array" ref="J213">_xlfn.LET(_xlpm.text, E213,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" s="14">
        <f t="shared" si="16"/>
        <v>45887</v>
      </c>
      <c r="L213" s="14">
        <f t="shared" si="17"/>
        <v>45887.624664351853</v>
      </c>
      <c r="N213" s="12"/>
    </row>
    <row r="214" spans="1:14" x14ac:dyDescent="0.25">
      <c r="A214" s="4" t="s">
        <v>137</v>
      </c>
      <c r="B214" s="16" t="str">
        <f t="shared" si="13"/>
        <v>SHYAM SUNDER BISHNOI</v>
      </c>
      <c r="C214" s="16" t="str">
        <f t="shared" si="14"/>
        <v>Chak No 6 Kharicharnan / Kolayat / Bikaner</v>
      </c>
      <c r="D214" s="4" t="s">
        <v>3030</v>
      </c>
      <c r="E214" s="4" t="s">
        <v>3119</v>
      </c>
      <c r="F214" s="5">
        <v>45886.999664351853</v>
      </c>
      <c r="G214" s="16" t="str">
        <f t="shared" si="15"/>
        <v>Gravel</v>
      </c>
      <c r="H214" s="4" t="s">
        <v>328</v>
      </c>
      <c r="I214" s="18" t="str" cm="1">
        <f t="array" ref="I214">_xlfn.LET(_xlpm.text, D214,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4" s="18" t="str" cm="1">
        <f t="array" ref="J214">_xlfn.LET(_xlpm.text, E214,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" s="14">
        <f t="shared" si="16"/>
        <v>45887</v>
      </c>
      <c r="L214" s="14">
        <f t="shared" si="17"/>
        <v>45887.624664351853</v>
      </c>
      <c r="N214" s="12"/>
    </row>
    <row r="215" spans="1:14" x14ac:dyDescent="0.25">
      <c r="A215" s="4" t="s">
        <v>138</v>
      </c>
      <c r="B215" s="16" t="str">
        <f t="shared" si="13"/>
        <v>SHYAM SUNDER BISHNOI</v>
      </c>
      <c r="C215" s="16" t="str">
        <f t="shared" si="14"/>
        <v>Chak No 6 Kharicharnan / Kolayat / Bikaner</v>
      </c>
      <c r="D215" s="4" t="s">
        <v>3030</v>
      </c>
      <c r="E215" s="4" t="s">
        <v>3119</v>
      </c>
      <c r="F215" s="5">
        <v>45886.999664351853</v>
      </c>
      <c r="G215" s="16" t="str">
        <f t="shared" si="15"/>
        <v>Gravel</v>
      </c>
      <c r="H215" s="4" t="s">
        <v>379</v>
      </c>
      <c r="I215" s="18" t="str" cm="1">
        <f t="array" ref="I215">_xlfn.LET(_xlpm.text, D215,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5" s="18" t="str" cm="1">
        <f t="array" ref="J215">_xlfn.LET(_xlpm.text, E215,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" s="14">
        <f t="shared" si="16"/>
        <v>45887</v>
      </c>
      <c r="L215" s="14">
        <f t="shared" si="17"/>
        <v>45887.624664351853</v>
      </c>
      <c r="N215" s="12"/>
    </row>
    <row r="216" spans="1:14" x14ac:dyDescent="0.25">
      <c r="A216" s="4" t="s">
        <v>139</v>
      </c>
      <c r="B216" s="16" t="str">
        <f t="shared" si="13"/>
        <v>SHYAM SUNDER BISHNOI</v>
      </c>
      <c r="C216" s="16" t="str">
        <f t="shared" si="14"/>
        <v>Chak No 6 Kharicharnan / Kolayat / Bikaner</v>
      </c>
      <c r="D216" s="4" t="s">
        <v>3030</v>
      </c>
      <c r="E216" s="4" t="s">
        <v>3119</v>
      </c>
      <c r="F216" s="5">
        <v>45888.999664351853</v>
      </c>
      <c r="G216" s="16" t="str">
        <f t="shared" si="15"/>
        <v>Gravel</v>
      </c>
      <c r="H216" s="4" t="s">
        <v>380</v>
      </c>
      <c r="I216" s="18" t="str" cm="1">
        <f t="array" ref="I216">_xlfn.LET(_xlpm.text, D216,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6" s="18" t="str" cm="1">
        <f t="array" ref="J216">_xlfn.LET(_xlpm.text, E216,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" s="14">
        <f t="shared" si="16"/>
        <v>45889</v>
      </c>
      <c r="L216" s="14">
        <f t="shared" si="17"/>
        <v>45889.624664351853</v>
      </c>
      <c r="N216" s="12"/>
    </row>
    <row r="217" spans="1:14" x14ac:dyDescent="0.25">
      <c r="A217" s="4" t="s">
        <v>140</v>
      </c>
      <c r="B217" s="16" t="str">
        <f t="shared" si="13"/>
        <v>SHYAM SUNDER BISHNOI</v>
      </c>
      <c r="C217" s="16" t="str">
        <f t="shared" si="14"/>
        <v>Chak No 6 Kharicharnan / Kolayat / Bikaner</v>
      </c>
      <c r="D217" s="4" t="s">
        <v>3030</v>
      </c>
      <c r="E217" s="4" t="s">
        <v>3119</v>
      </c>
      <c r="F217" s="5">
        <v>45888.999664351853</v>
      </c>
      <c r="G217" s="16" t="str">
        <f t="shared" si="15"/>
        <v>Gravel</v>
      </c>
      <c r="H217" s="4" t="s">
        <v>330</v>
      </c>
      <c r="I217" s="18" t="str" cm="1">
        <f t="array" ref="I217">_xlfn.LET(_xlpm.text, D217,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7" s="18" t="str" cm="1">
        <f t="array" ref="J217">_xlfn.LET(_xlpm.text, E217,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" s="14">
        <f t="shared" si="16"/>
        <v>45889</v>
      </c>
      <c r="L217" s="14">
        <f t="shared" si="17"/>
        <v>45889.624664351853</v>
      </c>
      <c r="N217" s="12"/>
    </row>
    <row r="218" spans="1:14" x14ac:dyDescent="0.25">
      <c r="A218" s="4" t="s">
        <v>141</v>
      </c>
      <c r="B218" s="16" t="str">
        <f t="shared" si="13"/>
        <v>SHYAM SUNDER BISHNOI</v>
      </c>
      <c r="C218" s="16" t="str">
        <f t="shared" si="14"/>
        <v>Chak No 6 Kharicharnan / Kolayat / Bikaner</v>
      </c>
      <c r="D218" s="4" t="s">
        <v>3030</v>
      </c>
      <c r="E218" s="4" t="s">
        <v>3119</v>
      </c>
      <c r="F218" s="5">
        <v>45887.999664351853</v>
      </c>
      <c r="G218" s="16" t="str">
        <f t="shared" si="15"/>
        <v>Gravel</v>
      </c>
      <c r="H218" s="4" t="s">
        <v>381</v>
      </c>
      <c r="I218" s="18" t="str" cm="1">
        <f t="array" ref="I218">_xlfn.LET(_xlpm.text, D218,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8" s="18" t="str" cm="1">
        <f t="array" ref="J218">_xlfn.LET(_xlpm.text, E218,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" s="14">
        <f t="shared" si="16"/>
        <v>45888</v>
      </c>
      <c r="L218" s="14">
        <f t="shared" si="17"/>
        <v>45888.624664351853</v>
      </c>
      <c r="N218" s="12"/>
    </row>
    <row r="219" spans="1:14" x14ac:dyDescent="0.25">
      <c r="A219" s="4" t="s">
        <v>142</v>
      </c>
      <c r="B219" s="16" t="str">
        <f t="shared" si="13"/>
        <v>SHYAM SUNDER BISHNOI</v>
      </c>
      <c r="C219" s="16" t="str">
        <f t="shared" si="14"/>
        <v>Chak No 6 Kharicharnan / Kolayat / Bikaner</v>
      </c>
      <c r="D219" s="4" t="s">
        <v>3030</v>
      </c>
      <c r="E219" s="4" t="s">
        <v>3119</v>
      </c>
      <c r="F219" s="5">
        <v>45887.999664351853</v>
      </c>
      <c r="G219" s="16" t="str">
        <f t="shared" si="15"/>
        <v>Gravel</v>
      </c>
      <c r="H219" s="4" t="s">
        <v>328</v>
      </c>
      <c r="I219" s="18" t="str" cm="1">
        <f t="array" ref="I219">_xlfn.LET(_xlpm.text, D219,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19" s="18" t="str" cm="1">
        <f t="array" ref="J219">_xlfn.LET(_xlpm.text, E219,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" s="14">
        <f t="shared" si="16"/>
        <v>45888</v>
      </c>
      <c r="L219" s="14">
        <f t="shared" si="17"/>
        <v>45888.624664351853</v>
      </c>
      <c r="N219" s="12"/>
    </row>
    <row r="220" spans="1:14" x14ac:dyDescent="0.25">
      <c r="A220" s="4" t="s">
        <v>143</v>
      </c>
      <c r="B220" s="16" t="str">
        <f t="shared" si="13"/>
        <v>SHYAM SUNDER BISHNOI</v>
      </c>
      <c r="C220" s="16" t="str">
        <f t="shared" si="14"/>
        <v>Chak No 6 Kharicharnan / Kolayat / Bikaner</v>
      </c>
      <c r="D220" s="4" t="s">
        <v>3030</v>
      </c>
      <c r="E220" s="4" t="s">
        <v>3119</v>
      </c>
      <c r="F220" s="5">
        <v>45883.999664351853</v>
      </c>
      <c r="G220" s="16" t="str">
        <f t="shared" si="15"/>
        <v>Gravel</v>
      </c>
      <c r="H220" s="4" t="s">
        <v>328</v>
      </c>
      <c r="I220" s="18" t="str" cm="1">
        <f t="array" ref="I220">_xlfn.LET(_xlpm.text, D220,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0" s="18" t="str" cm="1">
        <f t="array" ref="J220">_xlfn.LET(_xlpm.text, E220,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0" s="14">
        <f t="shared" si="16"/>
        <v>45884</v>
      </c>
      <c r="L220" s="14">
        <f t="shared" si="17"/>
        <v>45884.624664351853</v>
      </c>
      <c r="N220" s="12"/>
    </row>
    <row r="221" spans="1:14" x14ac:dyDescent="0.25">
      <c r="A221" s="4" t="s">
        <v>144</v>
      </c>
      <c r="B221" s="16" t="str">
        <f t="shared" si="13"/>
        <v>SHYAM SUNDER BISHNOI</v>
      </c>
      <c r="C221" s="16" t="str">
        <f t="shared" si="14"/>
        <v>Chak No 6 Kharicharnan / Kolayat / Bikaner</v>
      </c>
      <c r="D221" s="4" t="s">
        <v>3030</v>
      </c>
      <c r="E221" s="4" t="s">
        <v>3119</v>
      </c>
      <c r="F221" s="5">
        <v>45885.999664351853</v>
      </c>
      <c r="G221" s="16" t="str">
        <f t="shared" si="15"/>
        <v>Gravel</v>
      </c>
      <c r="H221" s="4" t="s">
        <v>382</v>
      </c>
      <c r="I221" s="18" t="str" cm="1">
        <f t="array" ref="I221">_xlfn.LET(_xlpm.text, D221,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1" s="18" t="str" cm="1">
        <f t="array" ref="J221">_xlfn.LET(_xlpm.text, E221,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1" s="14">
        <f t="shared" si="16"/>
        <v>45886</v>
      </c>
      <c r="L221" s="14">
        <f t="shared" si="17"/>
        <v>45886.624664351853</v>
      </c>
      <c r="N221" s="12"/>
    </row>
    <row r="222" spans="1:14" x14ac:dyDescent="0.25">
      <c r="A222" s="4" t="s">
        <v>145</v>
      </c>
      <c r="B222" s="16" t="str">
        <f t="shared" si="13"/>
        <v>SHYAM SUNDER BISHNOI</v>
      </c>
      <c r="C222" s="16" t="str">
        <f t="shared" si="14"/>
        <v>Chak No 6 Kharicharnan / Kolayat / Bikaner</v>
      </c>
      <c r="D222" s="4" t="s">
        <v>3030</v>
      </c>
      <c r="E222" s="4" t="s">
        <v>3119</v>
      </c>
      <c r="F222" s="5">
        <v>45888.999664351853</v>
      </c>
      <c r="G222" s="16" t="str">
        <f t="shared" si="15"/>
        <v>Gravel</v>
      </c>
      <c r="H222" s="4" t="s">
        <v>383</v>
      </c>
      <c r="I222" s="18" t="str" cm="1">
        <f t="array" ref="I222">_xlfn.LET(_xlpm.text, D222,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2" s="18" t="str" cm="1">
        <f t="array" ref="J222">_xlfn.LET(_xlpm.text, E222,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2" s="14">
        <f t="shared" si="16"/>
        <v>45889</v>
      </c>
      <c r="L222" s="14">
        <f t="shared" si="17"/>
        <v>45889.624664351853</v>
      </c>
      <c r="N222" s="12"/>
    </row>
    <row r="223" spans="1:14" x14ac:dyDescent="0.25">
      <c r="A223" s="4" t="s">
        <v>146</v>
      </c>
      <c r="B223" s="16" t="str">
        <f t="shared" si="13"/>
        <v>SHYAM SUNDER BISHNOI</v>
      </c>
      <c r="C223" s="16" t="str">
        <f t="shared" si="14"/>
        <v>Chak No 6 Kharicharnan / Kolayat / Bikaner</v>
      </c>
      <c r="D223" s="4" t="s">
        <v>3030</v>
      </c>
      <c r="E223" s="4" t="s">
        <v>3119</v>
      </c>
      <c r="F223" s="5">
        <v>45888.999664351853</v>
      </c>
      <c r="G223" s="16" t="str">
        <f t="shared" si="15"/>
        <v>Gravel</v>
      </c>
      <c r="H223" s="4" t="s">
        <v>332</v>
      </c>
      <c r="I223" s="18" t="str" cm="1">
        <f t="array" ref="I223">_xlfn.LET(_xlpm.text, D223,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3" s="18" t="str" cm="1">
        <f t="array" ref="J223">_xlfn.LET(_xlpm.text, E223,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3" s="14">
        <f t="shared" si="16"/>
        <v>45889</v>
      </c>
      <c r="L223" s="14">
        <f t="shared" si="17"/>
        <v>45889.624664351853</v>
      </c>
      <c r="N223" s="12"/>
    </row>
    <row r="224" spans="1:14" x14ac:dyDescent="0.25">
      <c r="A224" s="4" t="s">
        <v>147</v>
      </c>
      <c r="B224" s="16" t="str">
        <f t="shared" si="13"/>
        <v>SHYAM SUNDER BISHNOI</v>
      </c>
      <c r="C224" s="16" t="str">
        <f t="shared" si="14"/>
        <v>Chak No 6 Kharicharnan / Kolayat / Bikaner</v>
      </c>
      <c r="D224" s="4" t="s">
        <v>3030</v>
      </c>
      <c r="E224" s="4" t="s">
        <v>3119</v>
      </c>
      <c r="F224" s="5">
        <v>45890.999664351853</v>
      </c>
      <c r="G224" s="16" t="str">
        <f t="shared" si="15"/>
        <v>Gravel</v>
      </c>
      <c r="H224" s="4" t="s">
        <v>345</v>
      </c>
      <c r="I224" s="18" t="str" cm="1">
        <f t="array" ref="I224">_xlfn.LET(_xlpm.text, D224,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4" s="18" t="str" cm="1">
        <f t="array" ref="J224">_xlfn.LET(_xlpm.text, E224,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4" s="14">
        <f t="shared" si="16"/>
        <v>45891</v>
      </c>
      <c r="L224" s="14">
        <f t="shared" si="17"/>
        <v>45891.624664351853</v>
      </c>
      <c r="N224" s="12"/>
    </row>
    <row r="225" spans="1:14" x14ac:dyDescent="0.25">
      <c r="A225" s="4" t="s">
        <v>148</v>
      </c>
      <c r="B225" s="16" t="str">
        <f t="shared" si="13"/>
        <v>SHYAM SUNDER BISHNOI</v>
      </c>
      <c r="C225" s="16" t="str">
        <f t="shared" si="14"/>
        <v>Chak No 6 Kharicharnan / Kolayat / Bikaner</v>
      </c>
      <c r="D225" s="4" t="s">
        <v>3030</v>
      </c>
      <c r="E225" s="4" t="s">
        <v>3119</v>
      </c>
      <c r="F225" s="5">
        <v>45884.999664351853</v>
      </c>
      <c r="G225" s="16" t="str">
        <f t="shared" si="15"/>
        <v>Gravel</v>
      </c>
      <c r="H225" s="4" t="s">
        <v>328</v>
      </c>
      <c r="I225" s="18" t="str" cm="1">
        <f t="array" ref="I225">_xlfn.LET(_xlpm.text, D225,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5" s="18" t="str" cm="1">
        <f t="array" ref="J225">_xlfn.LET(_xlpm.text, E225,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5" s="14">
        <f t="shared" si="16"/>
        <v>45885</v>
      </c>
      <c r="L225" s="14">
        <f t="shared" si="17"/>
        <v>45885.624664351853</v>
      </c>
      <c r="N225" s="12"/>
    </row>
    <row r="226" spans="1:14" x14ac:dyDescent="0.25">
      <c r="A226" s="4" t="s">
        <v>149</v>
      </c>
      <c r="B226" s="16" t="str">
        <f t="shared" si="13"/>
        <v>SHYAM SUNDER BISHNOI</v>
      </c>
      <c r="C226" s="16" t="str">
        <f t="shared" si="14"/>
        <v>Chak No 6 Kharicharnan / Kolayat / Bikaner</v>
      </c>
      <c r="D226" s="4" t="s">
        <v>3030</v>
      </c>
      <c r="E226" s="4" t="s">
        <v>3119</v>
      </c>
      <c r="F226" s="5">
        <v>45885.999664351853</v>
      </c>
      <c r="G226" s="16" t="str">
        <f t="shared" si="15"/>
        <v>Gravel</v>
      </c>
      <c r="H226" s="4" t="s">
        <v>384</v>
      </c>
      <c r="I226" s="18" t="str" cm="1">
        <f t="array" ref="I226">_xlfn.LET(_xlpm.text, D226,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6" s="18" t="str" cm="1">
        <f t="array" ref="J226">_xlfn.LET(_xlpm.text, E226,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6" s="14">
        <f t="shared" si="16"/>
        <v>45886</v>
      </c>
      <c r="L226" s="14">
        <f t="shared" si="17"/>
        <v>45886.624664351853</v>
      </c>
      <c r="N226" s="12"/>
    </row>
    <row r="227" spans="1:14" x14ac:dyDescent="0.25">
      <c r="A227" s="4" t="s">
        <v>150</v>
      </c>
      <c r="B227" s="16" t="str">
        <f t="shared" si="13"/>
        <v>SHYAM SUNDER BISHNOI</v>
      </c>
      <c r="C227" s="16" t="str">
        <f t="shared" si="14"/>
        <v>Chak No 6 Kharicharnan / Kolayat / Bikaner</v>
      </c>
      <c r="D227" s="4" t="s">
        <v>3030</v>
      </c>
      <c r="E227" s="4" t="s">
        <v>3119</v>
      </c>
      <c r="F227" s="5">
        <v>45883.999664351853</v>
      </c>
      <c r="G227" s="16" t="str">
        <f t="shared" si="15"/>
        <v>Gravel</v>
      </c>
      <c r="H227" s="4" t="s">
        <v>385</v>
      </c>
      <c r="I227" s="18" t="str" cm="1">
        <f t="array" ref="I227">_xlfn.LET(_xlpm.text, D227,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7" s="18" t="str" cm="1">
        <f t="array" ref="J227">_xlfn.LET(_xlpm.text, E227,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7" s="14">
        <f t="shared" si="16"/>
        <v>45884</v>
      </c>
      <c r="L227" s="14">
        <f t="shared" si="17"/>
        <v>45884.624664351853</v>
      </c>
      <c r="N227" s="12"/>
    </row>
    <row r="228" spans="1:14" x14ac:dyDescent="0.25">
      <c r="A228" s="4" t="s">
        <v>151</v>
      </c>
      <c r="B228" s="16" t="str">
        <f t="shared" si="13"/>
        <v>SHYAM SUNDER BISHNOI</v>
      </c>
      <c r="C228" s="16" t="str">
        <f t="shared" si="14"/>
        <v>Chak No 6 Kharicharnan / Kolayat / Bikaner</v>
      </c>
      <c r="D228" s="4" t="s">
        <v>3030</v>
      </c>
      <c r="E228" s="4" t="s">
        <v>3119</v>
      </c>
      <c r="F228" s="5">
        <v>45885.999664351853</v>
      </c>
      <c r="G228" s="16" t="str">
        <f t="shared" si="15"/>
        <v>Gravel</v>
      </c>
      <c r="H228" s="4" t="s">
        <v>386</v>
      </c>
      <c r="I228" s="18" t="str" cm="1">
        <f t="array" ref="I228">_xlfn.LET(_xlpm.text, D228,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8" s="18" t="str" cm="1">
        <f t="array" ref="J228">_xlfn.LET(_xlpm.text, E228,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8" s="14">
        <f t="shared" si="16"/>
        <v>45886</v>
      </c>
      <c r="L228" s="14">
        <f t="shared" si="17"/>
        <v>45886.624664351853</v>
      </c>
      <c r="N228" s="12"/>
    </row>
    <row r="229" spans="1:14" x14ac:dyDescent="0.25">
      <c r="A229" s="4" t="s">
        <v>152</v>
      </c>
      <c r="B229" s="16" t="str">
        <f t="shared" si="13"/>
        <v>SHYAM SUNDER BISHNOI</v>
      </c>
      <c r="C229" s="16" t="str">
        <f t="shared" si="14"/>
        <v>Chak No 6 Kharicharnan / Kolayat / Bikaner</v>
      </c>
      <c r="D229" s="4" t="s">
        <v>3030</v>
      </c>
      <c r="E229" s="4" t="s">
        <v>3119</v>
      </c>
      <c r="F229" s="5">
        <v>45884.999664351853</v>
      </c>
      <c r="G229" s="16" t="str">
        <f t="shared" si="15"/>
        <v>Gravel</v>
      </c>
      <c r="H229" s="4" t="s">
        <v>387</v>
      </c>
      <c r="I229" s="18" t="str" cm="1">
        <f t="array" ref="I229">_xlfn.LET(_xlpm.text, D229,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29" s="18" t="str" cm="1">
        <f t="array" ref="J229">_xlfn.LET(_xlpm.text, E229,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9" s="14">
        <f t="shared" si="16"/>
        <v>45885</v>
      </c>
      <c r="L229" s="14">
        <f t="shared" si="17"/>
        <v>45885.624664351853</v>
      </c>
      <c r="N229" s="12"/>
    </row>
    <row r="230" spans="1:14" x14ac:dyDescent="0.25">
      <c r="A230" s="4" t="s">
        <v>153</v>
      </c>
      <c r="B230" s="16" t="str">
        <f t="shared" si="13"/>
        <v>SHYAM SUNDER BISHNOI</v>
      </c>
      <c r="C230" s="16" t="str">
        <f t="shared" si="14"/>
        <v>Chak No 6 Kharicharnan / Kolayat / Bikaner</v>
      </c>
      <c r="D230" s="4" t="s">
        <v>3030</v>
      </c>
      <c r="E230" s="4" t="s">
        <v>3119</v>
      </c>
      <c r="F230" s="5">
        <v>45914.999664351853</v>
      </c>
      <c r="G230" s="16" t="str">
        <f t="shared" si="15"/>
        <v>Gravel</v>
      </c>
      <c r="H230" s="4" t="s">
        <v>330</v>
      </c>
      <c r="I230" s="18" t="str" cm="1">
        <f t="array" ref="I230">_xlfn.LET(_xlpm.text, D230,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0" s="18" t="str" cm="1">
        <f t="array" ref="J230">_xlfn.LET(_xlpm.text, E230,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0" s="14">
        <f t="shared" si="16"/>
        <v>45915</v>
      </c>
      <c r="L230" s="14">
        <f t="shared" si="17"/>
        <v>45915.624664351853</v>
      </c>
      <c r="N230" s="12"/>
    </row>
    <row r="231" spans="1:14" x14ac:dyDescent="0.25">
      <c r="A231" s="4" t="s">
        <v>154</v>
      </c>
      <c r="B231" s="16" t="str">
        <f t="shared" si="13"/>
        <v>SHYAM SUNDER BISHNOI</v>
      </c>
      <c r="C231" s="16" t="str">
        <f t="shared" si="14"/>
        <v>Chak No 6 Kharicharnan / Kolayat / Bikaner</v>
      </c>
      <c r="D231" s="4" t="s">
        <v>3030</v>
      </c>
      <c r="E231" s="4" t="s">
        <v>3119</v>
      </c>
      <c r="F231" s="5">
        <v>45914.999664351853</v>
      </c>
      <c r="G231" s="16" t="str">
        <f t="shared" si="15"/>
        <v>Gravel</v>
      </c>
      <c r="H231" s="4" t="s">
        <v>388</v>
      </c>
      <c r="I231" s="18" t="str" cm="1">
        <f t="array" ref="I231">_xlfn.LET(_xlpm.text, D231,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1" s="18" t="str" cm="1">
        <f t="array" ref="J231">_xlfn.LET(_xlpm.text, E231,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1" s="14">
        <f t="shared" si="16"/>
        <v>45915</v>
      </c>
      <c r="L231" s="14">
        <f t="shared" si="17"/>
        <v>45915.624664351853</v>
      </c>
      <c r="N231" s="12"/>
    </row>
    <row r="232" spans="1:14" x14ac:dyDescent="0.25">
      <c r="A232" s="4" t="s">
        <v>155</v>
      </c>
      <c r="B232" s="16" t="str">
        <f t="shared" si="13"/>
        <v>SHYAM SUNDER BISHNOI</v>
      </c>
      <c r="C232" s="16" t="str">
        <f t="shared" si="14"/>
        <v>Chak No 6 Kharicharnan / Kolayat / Bikaner</v>
      </c>
      <c r="D232" s="4" t="s">
        <v>3030</v>
      </c>
      <c r="E232" s="4" t="s">
        <v>3119</v>
      </c>
      <c r="F232" s="5">
        <v>45914.999664351853</v>
      </c>
      <c r="G232" s="16" t="str">
        <f t="shared" si="15"/>
        <v>Gravel</v>
      </c>
      <c r="H232" s="4" t="s">
        <v>364</v>
      </c>
      <c r="I232" s="18" t="str" cm="1">
        <f t="array" ref="I232">_xlfn.LET(_xlpm.text, D232,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2" s="18" t="str" cm="1">
        <f t="array" ref="J232">_xlfn.LET(_xlpm.text, E232,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2" s="14">
        <f t="shared" si="16"/>
        <v>45915</v>
      </c>
      <c r="L232" s="14">
        <f t="shared" si="17"/>
        <v>45915.624664351853</v>
      </c>
      <c r="N232" s="12"/>
    </row>
    <row r="233" spans="1:14" x14ac:dyDescent="0.25">
      <c r="A233" s="4" t="s">
        <v>156</v>
      </c>
      <c r="B233" s="16" t="str">
        <f t="shared" si="13"/>
        <v>SHYAM SUNDER BISHNOI</v>
      </c>
      <c r="C233" s="16" t="str">
        <f t="shared" si="14"/>
        <v>Chak No 6 Kharicharnan / Kolayat / Bikaner</v>
      </c>
      <c r="D233" s="4" t="s">
        <v>3030</v>
      </c>
      <c r="E233" s="4" t="s">
        <v>3119</v>
      </c>
      <c r="F233" s="5">
        <v>45914.999664351853</v>
      </c>
      <c r="G233" s="16" t="str">
        <f t="shared" si="15"/>
        <v>Gravel</v>
      </c>
      <c r="H233" s="4" t="s">
        <v>352</v>
      </c>
      <c r="I233" s="18" t="str" cm="1">
        <f t="array" ref="I233">_xlfn.LET(_xlpm.text, D233,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3" s="18" t="str" cm="1">
        <f t="array" ref="J233">_xlfn.LET(_xlpm.text, E233,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3" s="14">
        <f t="shared" si="16"/>
        <v>45915</v>
      </c>
      <c r="L233" s="14">
        <f t="shared" si="17"/>
        <v>45915.624664351853</v>
      </c>
      <c r="N233" s="12"/>
    </row>
    <row r="234" spans="1:14" x14ac:dyDescent="0.25">
      <c r="A234" s="4" t="s">
        <v>157</v>
      </c>
      <c r="B234" s="16" t="str">
        <f t="shared" si="13"/>
        <v>SHYAM SUNDER BISHNOI</v>
      </c>
      <c r="C234" s="16" t="str">
        <f t="shared" si="14"/>
        <v>Chak No 6 Kharicharnan / Kolayat / Bikaner</v>
      </c>
      <c r="D234" s="4" t="s">
        <v>3030</v>
      </c>
      <c r="E234" s="4" t="s">
        <v>3119</v>
      </c>
      <c r="F234" s="5">
        <v>45914.999664351853</v>
      </c>
      <c r="G234" s="16" t="str">
        <f t="shared" si="15"/>
        <v>Gravel</v>
      </c>
      <c r="H234" s="4" t="s">
        <v>351</v>
      </c>
      <c r="I234" s="18" t="str" cm="1">
        <f t="array" ref="I234">_xlfn.LET(_xlpm.text, D234,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4" s="18" t="str" cm="1">
        <f t="array" ref="J234">_xlfn.LET(_xlpm.text, E234,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4" s="14">
        <f t="shared" si="16"/>
        <v>45915</v>
      </c>
      <c r="L234" s="14">
        <f t="shared" si="17"/>
        <v>45915.624664351853</v>
      </c>
      <c r="N234" s="12"/>
    </row>
    <row r="235" spans="1:14" x14ac:dyDescent="0.25">
      <c r="A235" s="4" t="s">
        <v>158</v>
      </c>
      <c r="B235" s="16" t="str">
        <f t="shared" si="13"/>
        <v>SHYAM SUNDER BISHNOI</v>
      </c>
      <c r="C235" s="16" t="str">
        <f t="shared" si="14"/>
        <v>Chak No 6 Kharicharnan / Kolayat / Bikaner</v>
      </c>
      <c r="D235" s="4" t="s">
        <v>3030</v>
      </c>
      <c r="E235" s="4" t="s">
        <v>3119</v>
      </c>
      <c r="F235" s="5">
        <v>45913.999664351853</v>
      </c>
      <c r="G235" s="16" t="str">
        <f t="shared" si="15"/>
        <v>Gravel</v>
      </c>
      <c r="H235" s="4" t="s">
        <v>389</v>
      </c>
      <c r="I235" s="18" t="str" cm="1">
        <f t="array" ref="I235">_xlfn.LET(_xlpm.text, D235,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5" s="18" t="str" cm="1">
        <f t="array" ref="J235">_xlfn.LET(_xlpm.text, E235,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5" s="14">
        <f t="shared" si="16"/>
        <v>45914</v>
      </c>
      <c r="L235" s="14">
        <f t="shared" si="17"/>
        <v>45914.624664351853</v>
      </c>
      <c r="N235" s="12"/>
    </row>
    <row r="236" spans="1:14" x14ac:dyDescent="0.25">
      <c r="A236" s="4" t="s">
        <v>159</v>
      </c>
      <c r="B236" s="16" t="str">
        <f t="shared" si="13"/>
        <v>SHYAM SUNDER BISHNOI</v>
      </c>
      <c r="C236" s="16" t="str">
        <f t="shared" si="14"/>
        <v>Chak No 6 Kharicharnan / Kolayat / Bikaner</v>
      </c>
      <c r="D236" s="4" t="s">
        <v>3030</v>
      </c>
      <c r="E236" s="4" t="s">
        <v>3119</v>
      </c>
      <c r="F236" s="5">
        <v>45912.999664351853</v>
      </c>
      <c r="G236" s="16" t="str">
        <f t="shared" si="15"/>
        <v>Gravel</v>
      </c>
      <c r="H236" s="4" t="s">
        <v>330</v>
      </c>
      <c r="I236" s="18" t="str" cm="1">
        <f t="array" ref="I236">_xlfn.LET(_xlpm.text, D236,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6" s="18" t="str" cm="1">
        <f t="array" ref="J236">_xlfn.LET(_xlpm.text, E236,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6" s="14">
        <f t="shared" si="16"/>
        <v>45913</v>
      </c>
      <c r="L236" s="14">
        <f t="shared" si="17"/>
        <v>45913.624664351853</v>
      </c>
      <c r="N236" s="12"/>
    </row>
    <row r="237" spans="1:14" x14ac:dyDescent="0.25">
      <c r="A237" s="4" t="s">
        <v>160</v>
      </c>
      <c r="B237" s="16" t="str">
        <f t="shared" si="13"/>
        <v>SHYAM SUNDER BISHNOI</v>
      </c>
      <c r="C237" s="16" t="str">
        <f t="shared" si="14"/>
        <v>Chak No 6 Kharicharnan / Kolayat / Bikaner</v>
      </c>
      <c r="D237" s="4" t="s">
        <v>3030</v>
      </c>
      <c r="E237" s="4" t="s">
        <v>3119</v>
      </c>
      <c r="F237" s="5">
        <v>45913.999664351853</v>
      </c>
      <c r="G237" s="16" t="str">
        <f t="shared" si="15"/>
        <v>Gravel</v>
      </c>
      <c r="H237" s="4" t="s">
        <v>330</v>
      </c>
      <c r="I237" s="18" t="str" cm="1">
        <f t="array" ref="I237">_xlfn.LET(_xlpm.text, D237,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7" s="18" t="str" cm="1">
        <f t="array" ref="J237">_xlfn.LET(_xlpm.text, E237,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7" s="14">
        <f t="shared" si="16"/>
        <v>45914</v>
      </c>
      <c r="L237" s="14">
        <f t="shared" si="17"/>
        <v>45914.624664351853</v>
      </c>
      <c r="N237" s="12"/>
    </row>
    <row r="238" spans="1:14" x14ac:dyDescent="0.25">
      <c r="A238" s="4" t="s">
        <v>161</v>
      </c>
      <c r="B238" s="16" t="str">
        <f t="shared" si="13"/>
        <v>SHYAM SUNDER BISHNOI</v>
      </c>
      <c r="C238" s="16" t="str">
        <f t="shared" si="14"/>
        <v>Chak No 6 Kharicharnan / Kolayat / Bikaner</v>
      </c>
      <c r="D238" s="4" t="s">
        <v>3030</v>
      </c>
      <c r="E238" s="4" t="s">
        <v>3119</v>
      </c>
      <c r="F238" s="5">
        <v>45911.999664351853</v>
      </c>
      <c r="G238" s="16" t="str">
        <f t="shared" si="15"/>
        <v>Gravel</v>
      </c>
      <c r="H238" s="4" t="s">
        <v>330</v>
      </c>
      <c r="I238" s="18" t="str" cm="1">
        <f t="array" ref="I238">_xlfn.LET(_xlpm.text, D238,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8" s="18" t="str" cm="1">
        <f t="array" ref="J238">_xlfn.LET(_xlpm.text, E238,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8" s="14">
        <f t="shared" si="16"/>
        <v>45912</v>
      </c>
      <c r="L238" s="14">
        <f t="shared" si="17"/>
        <v>45912.624664351853</v>
      </c>
      <c r="N238" s="12"/>
    </row>
    <row r="239" spans="1:14" x14ac:dyDescent="0.25">
      <c r="A239" s="4" t="s">
        <v>162</v>
      </c>
      <c r="B239" s="16" t="str">
        <f t="shared" si="13"/>
        <v>SHYAM SUNDER BISHNOI</v>
      </c>
      <c r="C239" s="16" t="str">
        <f t="shared" si="14"/>
        <v>Chak No 6 Kharicharnan / Kolayat / Bikaner</v>
      </c>
      <c r="D239" s="4" t="s">
        <v>3030</v>
      </c>
      <c r="E239" s="4" t="s">
        <v>3119</v>
      </c>
      <c r="F239" s="5">
        <v>45911.999664351853</v>
      </c>
      <c r="G239" s="16" t="str">
        <f t="shared" si="15"/>
        <v>Gravel</v>
      </c>
      <c r="H239" s="4" t="s">
        <v>366</v>
      </c>
      <c r="I239" s="18" t="str" cm="1">
        <f t="array" ref="I239">_xlfn.LET(_xlpm.text, D239,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39" s="18" t="str" cm="1">
        <f t="array" ref="J239">_xlfn.LET(_xlpm.text, E239,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39" s="14">
        <f t="shared" si="16"/>
        <v>45912</v>
      </c>
      <c r="L239" s="14">
        <f t="shared" si="17"/>
        <v>45912.624664351853</v>
      </c>
      <c r="N239" s="12"/>
    </row>
    <row r="240" spans="1:14" x14ac:dyDescent="0.25">
      <c r="A240" s="4" t="s">
        <v>163</v>
      </c>
      <c r="B240" s="16" t="str">
        <f t="shared" si="13"/>
        <v>SHYAM SUNDER BISHNOI</v>
      </c>
      <c r="C240" s="16" t="str">
        <f t="shared" si="14"/>
        <v>Chak No 6 Kharicharnan / Kolayat / Bikaner</v>
      </c>
      <c r="D240" s="4" t="s">
        <v>3030</v>
      </c>
      <c r="E240" s="4" t="s">
        <v>3119</v>
      </c>
      <c r="F240" s="5">
        <v>45911.999664351853</v>
      </c>
      <c r="G240" s="16" t="str">
        <f t="shared" si="15"/>
        <v>Gravel</v>
      </c>
      <c r="H240" s="4" t="s">
        <v>390</v>
      </c>
      <c r="I240" s="18" t="str" cm="1">
        <f t="array" ref="I240">_xlfn.LET(_xlpm.text, D240,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0" s="18" t="str" cm="1">
        <f t="array" ref="J240">_xlfn.LET(_xlpm.text, E240,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0" s="14">
        <f t="shared" si="16"/>
        <v>45912</v>
      </c>
      <c r="L240" s="14">
        <f t="shared" si="17"/>
        <v>45912.624664351853</v>
      </c>
      <c r="N240" s="12"/>
    </row>
    <row r="241" spans="1:14" x14ac:dyDescent="0.25">
      <c r="A241" s="4" t="s">
        <v>164</v>
      </c>
      <c r="B241" s="16" t="str">
        <f t="shared" si="13"/>
        <v>SHYAM SUNDER BISHNOI</v>
      </c>
      <c r="C241" s="16" t="str">
        <f t="shared" si="14"/>
        <v>Chak No 6 Kharicharnan / Kolayat / Bikaner</v>
      </c>
      <c r="D241" s="4" t="s">
        <v>3030</v>
      </c>
      <c r="E241" s="4" t="s">
        <v>3119</v>
      </c>
      <c r="F241" s="5">
        <v>45912.999664351853</v>
      </c>
      <c r="G241" s="16" t="str">
        <f t="shared" si="15"/>
        <v>Gravel</v>
      </c>
      <c r="H241" s="4" t="s">
        <v>391</v>
      </c>
      <c r="I241" s="18" t="str" cm="1">
        <f t="array" ref="I241">_xlfn.LET(_xlpm.text, D241,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1" s="18" t="str" cm="1">
        <f t="array" ref="J241">_xlfn.LET(_xlpm.text, E241,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1" s="14">
        <f t="shared" si="16"/>
        <v>45913</v>
      </c>
      <c r="L241" s="14">
        <f t="shared" si="17"/>
        <v>45913.624664351853</v>
      </c>
      <c r="N241" s="12"/>
    </row>
    <row r="242" spans="1:14" x14ac:dyDescent="0.25">
      <c r="A242" s="4" t="s">
        <v>165</v>
      </c>
      <c r="B242" s="16" t="str">
        <f t="shared" si="13"/>
        <v>SHYAM SUNDER BISHNOI</v>
      </c>
      <c r="C242" s="16" t="str">
        <f t="shared" si="14"/>
        <v>Chak No 6 Kharicharnan / Kolayat / Bikaner</v>
      </c>
      <c r="D242" s="4" t="s">
        <v>3030</v>
      </c>
      <c r="E242" s="4" t="s">
        <v>3119</v>
      </c>
      <c r="F242" s="5">
        <v>45912.999664351853</v>
      </c>
      <c r="G242" s="16" t="str">
        <f t="shared" si="15"/>
        <v>Gravel</v>
      </c>
      <c r="H242" s="4" t="s">
        <v>330</v>
      </c>
      <c r="I242" s="18" t="str" cm="1">
        <f t="array" ref="I242">_xlfn.LET(_xlpm.text, D242,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2" s="18" t="str" cm="1">
        <f t="array" ref="J242">_xlfn.LET(_xlpm.text, E242,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2" s="14">
        <f t="shared" si="16"/>
        <v>45913</v>
      </c>
      <c r="L242" s="14">
        <f t="shared" si="17"/>
        <v>45913.624664351853</v>
      </c>
      <c r="N242" s="12"/>
    </row>
    <row r="243" spans="1:14" x14ac:dyDescent="0.25">
      <c r="A243" s="4" t="s">
        <v>166</v>
      </c>
      <c r="B243" s="16" t="str">
        <f t="shared" si="13"/>
        <v>SHYAM SUNDER BISHNOI</v>
      </c>
      <c r="C243" s="16" t="str">
        <f t="shared" si="14"/>
        <v>Chak No 6 Kharicharnan / Kolayat / Bikaner</v>
      </c>
      <c r="D243" s="4" t="s">
        <v>3030</v>
      </c>
      <c r="E243" s="4" t="s">
        <v>3119</v>
      </c>
      <c r="F243" s="5">
        <v>45911.999664351853</v>
      </c>
      <c r="G243" s="16" t="str">
        <f t="shared" si="15"/>
        <v>Gravel</v>
      </c>
      <c r="H243" s="4" t="s">
        <v>340</v>
      </c>
      <c r="I243" s="18" t="str" cm="1">
        <f t="array" ref="I243">_xlfn.LET(_xlpm.text, D243,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3" s="18" t="str" cm="1">
        <f t="array" ref="J243">_xlfn.LET(_xlpm.text, E243,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3" s="14">
        <f t="shared" si="16"/>
        <v>45912</v>
      </c>
      <c r="L243" s="14">
        <f t="shared" si="17"/>
        <v>45912.624664351853</v>
      </c>
      <c r="N243" s="12"/>
    </row>
    <row r="244" spans="1:14" x14ac:dyDescent="0.25">
      <c r="A244" s="4" t="s">
        <v>167</v>
      </c>
      <c r="B244" s="16" t="str">
        <f t="shared" si="13"/>
        <v>SHYAM SUNDER BISHNOI</v>
      </c>
      <c r="C244" s="16" t="str">
        <f t="shared" si="14"/>
        <v>Chak No 6 Kharicharnan / Kolayat / Bikaner</v>
      </c>
      <c r="D244" s="4" t="s">
        <v>3030</v>
      </c>
      <c r="E244" s="4" t="s">
        <v>3119</v>
      </c>
      <c r="F244" s="5">
        <v>45911.999664351853</v>
      </c>
      <c r="G244" s="16" t="str">
        <f t="shared" si="15"/>
        <v>Gravel</v>
      </c>
      <c r="H244" s="4" t="s">
        <v>392</v>
      </c>
      <c r="I244" s="18" t="str" cm="1">
        <f t="array" ref="I244">_xlfn.LET(_xlpm.text, D244,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4" s="18" t="str" cm="1">
        <f t="array" ref="J244">_xlfn.LET(_xlpm.text, E244,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4" s="14">
        <f t="shared" si="16"/>
        <v>45912</v>
      </c>
      <c r="L244" s="14">
        <f t="shared" si="17"/>
        <v>45912.624664351853</v>
      </c>
      <c r="N244" s="12"/>
    </row>
    <row r="245" spans="1:14" x14ac:dyDescent="0.25">
      <c r="A245" s="4" t="s">
        <v>168</v>
      </c>
      <c r="B245" s="16" t="str">
        <f t="shared" si="13"/>
        <v>SHYAM SUNDER BISHNOI</v>
      </c>
      <c r="C245" s="16" t="str">
        <f t="shared" si="14"/>
        <v>Chak No 6 Kharicharnan / Kolayat / Bikaner</v>
      </c>
      <c r="D245" s="4" t="s">
        <v>3030</v>
      </c>
      <c r="E245" s="4" t="s">
        <v>3119</v>
      </c>
      <c r="F245" s="5">
        <v>45911.999664351853</v>
      </c>
      <c r="G245" s="16" t="str">
        <f t="shared" si="15"/>
        <v>Gravel</v>
      </c>
      <c r="H245" s="4" t="s">
        <v>366</v>
      </c>
      <c r="I245" s="18" t="str" cm="1">
        <f t="array" ref="I245">_xlfn.LET(_xlpm.text, D245,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5" s="18" t="str" cm="1">
        <f t="array" ref="J245">_xlfn.LET(_xlpm.text, E245,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5" s="14">
        <f t="shared" si="16"/>
        <v>45912</v>
      </c>
      <c r="L245" s="14">
        <f t="shared" si="17"/>
        <v>45912.624664351853</v>
      </c>
      <c r="N245" s="12"/>
    </row>
    <row r="246" spans="1:14" x14ac:dyDescent="0.25">
      <c r="A246" s="4" t="s">
        <v>169</v>
      </c>
      <c r="B246" s="16" t="str">
        <f t="shared" si="13"/>
        <v>SHYAM SUNDER BISHNOI</v>
      </c>
      <c r="C246" s="16" t="str">
        <f t="shared" si="14"/>
        <v>Chak No 6 Kharicharnan / Kolayat / Bikaner</v>
      </c>
      <c r="D246" s="4" t="s">
        <v>3030</v>
      </c>
      <c r="E246" s="4" t="s">
        <v>3119</v>
      </c>
      <c r="F246" s="5">
        <v>45911.999664351853</v>
      </c>
      <c r="G246" s="16" t="str">
        <f t="shared" si="15"/>
        <v>Gravel</v>
      </c>
      <c r="H246" s="4" t="s">
        <v>364</v>
      </c>
      <c r="I246" s="18" t="str" cm="1">
        <f t="array" ref="I246">_xlfn.LET(_xlpm.text, D246,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6" s="18" t="str" cm="1">
        <f t="array" ref="J246">_xlfn.LET(_xlpm.text, E246,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6" s="14">
        <f t="shared" si="16"/>
        <v>45912</v>
      </c>
      <c r="L246" s="14">
        <f t="shared" si="17"/>
        <v>45912.624664351853</v>
      </c>
      <c r="N246" s="12"/>
    </row>
    <row r="247" spans="1:14" x14ac:dyDescent="0.25">
      <c r="A247" s="4" t="s">
        <v>170</v>
      </c>
      <c r="B247" s="16" t="str">
        <f t="shared" si="13"/>
        <v>SHYAM SUNDER BISHNOI</v>
      </c>
      <c r="C247" s="16" t="str">
        <f t="shared" si="14"/>
        <v>Chak No 6 Kharicharnan / Kolayat / Bikaner</v>
      </c>
      <c r="D247" s="4" t="s">
        <v>3030</v>
      </c>
      <c r="E247" s="4" t="s">
        <v>3119</v>
      </c>
      <c r="F247" s="5">
        <v>45911.999664351853</v>
      </c>
      <c r="G247" s="16" t="str">
        <f t="shared" si="15"/>
        <v>Gravel</v>
      </c>
      <c r="H247" s="4" t="s">
        <v>366</v>
      </c>
      <c r="I247" s="18" t="str" cm="1">
        <f t="array" ref="I247">_xlfn.LET(_xlpm.text, D247,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7" s="18" t="str" cm="1">
        <f t="array" ref="J247">_xlfn.LET(_xlpm.text, E247,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7" s="14">
        <f t="shared" si="16"/>
        <v>45912</v>
      </c>
      <c r="L247" s="14">
        <f t="shared" si="17"/>
        <v>45912.624664351853</v>
      </c>
      <c r="N247" s="12"/>
    </row>
    <row r="248" spans="1:14" x14ac:dyDescent="0.25">
      <c r="A248" s="4" t="s">
        <v>171</v>
      </c>
      <c r="B248" s="16" t="str">
        <f t="shared" si="13"/>
        <v>SHYAM SUNDER BISHNOI</v>
      </c>
      <c r="C248" s="16" t="str">
        <f t="shared" si="14"/>
        <v>Chak No 6 Kharicharnan / Kolayat / Bikaner</v>
      </c>
      <c r="D248" s="4" t="s">
        <v>3030</v>
      </c>
      <c r="E248" s="4" t="s">
        <v>3119</v>
      </c>
      <c r="F248" s="5">
        <v>45911.999664351853</v>
      </c>
      <c r="G248" s="16" t="str">
        <f t="shared" si="15"/>
        <v>Gravel</v>
      </c>
      <c r="H248" s="4" t="s">
        <v>393</v>
      </c>
      <c r="I248" s="18" t="str" cm="1">
        <f t="array" ref="I248">_xlfn.LET(_xlpm.text, D248,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8" s="18" t="str" cm="1">
        <f t="array" ref="J248">_xlfn.LET(_xlpm.text, E248,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8" s="14">
        <f t="shared" si="16"/>
        <v>45912</v>
      </c>
      <c r="L248" s="14">
        <f t="shared" si="17"/>
        <v>45912.624664351853</v>
      </c>
      <c r="N248" s="12"/>
    </row>
    <row r="249" spans="1:14" x14ac:dyDescent="0.25">
      <c r="A249" s="4" t="s">
        <v>172</v>
      </c>
      <c r="B249" s="16" t="str">
        <f t="shared" si="13"/>
        <v>SHYAM SUNDER BISHNOI</v>
      </c>
      <c r="C249" s="16" t="str">
        <f t="shared" si="14"/>
        <v>Chak No 6 Kharicharnan / Kolayat / Bikaner</v>
      </c>
      <c r="D249" s="4" t="s">
        <v>3030</v>
      </c>
      <c r="E249" s="4" t="s">
        <v>3119</v>
      </c>
      <c r="F249" s="5">
        <v>45911.999664351853</v>
      </c>
      <c r="G249" s="16" t="str">
        <f t="shared" si="15"/>
        <v>Gravel</v>
      </c>
      <c r="H249" s="4" t="s">
        <v>391</v>
      </c>
      <c r="I249" s="18" t="str" cm="1">
        <f t="array" ref="I249">_xlfn.LET(_xlpm.text, D249,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49" s="18" t="str" cm="1">
        <f t="array" ref="J249">_xlfn.LET(_xlpm.text, E249,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49" s="14">
        <f t="shared" si="16"/>
        <v>45912</v>
      </c>
      <c r="L249" s="14">
        <f t="shared" si="17"/>
        <v>45912.624664351853</v>
      </c>
      <c r="N249" s="12"/>
    </row>
    <row r="250" spans="1:14" x14ac:dyDescent="0.25">
      <c r="A250" s="4" t="s">
        <v>173</v>
      </c>
      <c r="B250" s="16" t="str">
        <f t="shared" si="13"/>
        <v>SHYAM SUNDER BISHNOI</v>
      </c>
      <c r="C250" s="16" t="str">
        <f t="shared" si="14"/>
        <v>Chak No 6 Kharicharnan / Kolayat / Bikaner</v>
      </c>
      <c r="D250" s="4" t="s">
        <v>3030</v>
      </c>
      <c r="E250" s="4" t="s">
        <v>3119</v>
      </c>
      <c r="F250" s="5">
        <v>45912.999664351853</v>
      </c>
      <c r="G250" s="16" t="str">
        <f t="shared" si="15"/>
        <v>Gravel</v>
      </c>
      <c r="H250" s="4" t="s">
        <v>394</v>
      </c>
      <c r="I250" s="18" t="str" cm="1">
        <f t="array" ref="I250">_xlfn.LET(_xlpm.text, D250,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0" s="18" t="str" cm="1">
        <f t="array" ref="J250">_xlfn.LET(_xlpm.text, E250,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0" s="14">
        <f t="shared" si="16"/>
        <v>45913</v>
      </c>
      <c r="L250" s="14">
        <f t="shared" si="17"/>
        <v>45913.624664351853</v>
      </c>
      <c r="N250" s="12"/>
    </row>
    <row r="251" spans="1:14" x14ac:dyDescent="0.25">
      <c r="A251" s="4" t="s">
        <v>174</v>
      </c>
      <c r="B251" s="16" t="str">
        <f t="shared" si="13"/>
        <v>SHYAM SUNDER BISHNOI</v>
      </c>
      <c r="C251" s="16" t="str">
        <f t="shared" si="14"/>
        <v>Chak No 6 Kharicharnan / Kolayat / Bikaner</v>
      </c>
      <c r="D251" s="4" t="s">
        <v>3030</v>
      </c>
      <c r="E251" s="4" t="s">
        <v>3119</v>
      </c>
      <c r="F251" s="5">
        <v>45913.999664351853</v>
      </c>
      <c r="G251" s="16" t="str">
        <f t="shared" si="15"/>
        <v>Gravel</v>
      </c>
      <c r="H251" s="4" t="s">
        <v>330</v>
      </c>
      <c r="I251" s="18" t="str" cm="1">
        <f t="array" ref="I251">_xlfn.LET(_xlpm.text, D251,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1" s="18" t="str" cm="1">
        <f t="array" ref="J251">_xlfn.LET(_xlpm.text, E251,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1" s="14">
        <f t="shared" si="16"/>
        <v>45914</v>
      </c>
      <c r="L251" s="14">
        <f t="shared" si="17"/>
        <v>45914.624664351853</v>
      </c>
      <c r="N251" s="12"/>
    </row>
    <row r="252" spans="1:14" x14ac:dyDescent="0.25">
      <c r="A252" s="4" t="s">
        <v>175</v>
      </c>
      <c r="B252" s="16" t="str">
        <f t="shared" si="13"/>
        <v>SHYAM SUNDER BISHNOI</v>
      </c>
      <c r="C252" s="16" t="str">
        <f t="shared" si="14"/>
        <v>Chak No 6 Kharicharnan / Kolayat / Bikaner</v>
      </c>
      <c r="D252" s="4" t="s">
        <v>3030</v>
      </c>
      <c r="E252" s="4" t="s">
        <v>3119</v>
      </c>
      <c r="F252" s="5">
        <v>45913.999664351853</v>
      </c>
      <c r="G252" s="16" t="str">
        <f t="shared" si="15"/>
        <v>Gravel</v>
      </c>
      <c r="H252" s="4" t="s">
        <v>330</v>
      </c>
      <c r="I252" s="18" t="str" cm="1">
        <f t="array" ref="I252">_xlfn.LET(_xlpm.text, D252,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2" s="18" t="str" cm="1">
        <f t="array" ref="J252">_xlfn.LET(_xlpm.text, E252,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2" s="14">
        <f t="shared" si="16"/>
        <v>45914</v>
      </c>
      <c r="L252" s="14">
        <f t="shared" si="17"/>
        <v>45914.624664351853</v>
      </c>
      <c r="N252" s="12"/>
    </row>
    <row r="253" spans="1:14" x14ac:dyDescent="0.25">
      <c r="A253" s="4" t="s">
        <v>176</v>
      </c>
      <c r="B253" s="16" t="str">
        <f t="shared" si="13"/>
        <v>SHYAM SUNDER BISHNOI</v>
      </c>
      <c r="C253" s="16" t="str">
        <f t="shared" si="14"/>
        <v>Chak No 6 Kharicharnan / Kolayat / Bikaner</v>
      </c>
      <c r="D253" s="4" t="s">
        <v>3030</v>
      </c>
      <c r="E253" s="4" t="s">
        <v>3119</v>
      </c>
      <c r="F253" s="5">
        <v>45913.999664351853</v>
      </c>
      <c r="G253" s="16" t="str">
        <f t="shared" si="15"/>
        <v>Gravel</v>
      </c>
      <c r="H253" s="4" t="s">
        <v>364</v>
      </c>
      <c r="I253" s="18" t="str" cm="1">
        <f t="array" ref="I253">_xlfn.LET(_xlpm.text, D253,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3" s="18" t="str" cm="1">
        <f t="array" ref="J253">_xlfn.LET(_xlpm.text, E253,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3" s="14">
        <f t="shared" si="16"/>
        <v>45914</v>
      </c>
      <c r="L253" s="14">
        <f t="shared" si="17"/>
        <v>45914.624664351853</v>
      </c>
      <c r="N253" s="12"/>
    </row>
    <row r="254" spans="1:14" x14ac:dyDescent="0.25">
      <c r="A254" s="4" t="s">
        <v>177</v>
      </c>
      <c r="B254" s="16" t="str">
        <f t="shared" si="13"/>
        <v>SHYAM SUNDER BISHNOI</v>
      </c>
      <c r="C254" s="16" t="str">
        <f t="shared" si="14"/>
        <v>Chak No 6 Kharicharnan / Kolayat / Bikaner</v>
      </c>
      <c r="D254" s="4" t="s">
        <v>3030</v>
      </c>
      <c r="E254" s="4" t="s">
        <v>3119</v>
      </c>
      <c r="F254" s="5">
        <v>45914.999664351853</v>
      </c>
      <c r="G254" s="16" t="str">
        <f t="shared" si="15"/>
        <v>Gravel</v>
      </c>
      <c r="H254" s="4" t="s">
        <v>330</v>
      </c>
      <c r="I254" s="18" t="str" cm="1">
        <f t="array" ref="I254">_xlfn.LET(_xlpm.text, D254,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4" s="18" t="str" cm="1">
        <f t="array" ref="J254">_xlfn.LET(_xlpm.text, E254,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4" s="14">
        <f t="shared" si="16"/>
        <v>45915</v>
      </c>
      <c r="L254" s="14">
        <f t="shared" si="17"/>
        <v>45915.624664351853</v>
      </c>
      <c r="N254" s="12"/>
    </row>
    <row r="255" spans="1:14" x14ac:dyDescent="0.25">
      <c r="A255" s="4" t="s">
        <v>178</v>
      </c>
      <c r="B255" s="16" t="str">
        <f t="shared" si="13"/>
        <v>SHYAM SUNDER BISHNOI</v>
      </c>
      <c r="C255" s="16" t="str">
        <f t="shared" si="14"/>
        <v>Chak No 6 Kharicharnan / Kolayat / Bikaner</v>
      </c>
      <c r="D255" s="4" t="s">
        <v>3030</v>
      </c>
      <c r="E255" s="4" t="s">
        <v>3119</v>
      </c>
      <c r="F255" s="5">
        <v>45914.999664351853</v>
      </c>
      <c r="G255" s="16" t="str">
        <f t="shared" si="15"/>
        <v>Gravel</v>
      </c>
      <c r="H255" s="4" t="s">
        <v>388</v>
      </c>
      <c r="I255" s="18" t="str" cm="1">
        <f t="array" ref="I255">_xlfn.LET(_xlpm.text, D255,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5" s="18" t="str" cm="1">
        <f t="array" ref="J255">_xlfn.LET(_xlpm.text, E255,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5" s="14">
        <f t="shared" si="16"/>
        <v>45915</v>
      </c>
      <c r="L255" s="14">
        <f t="shared" si="17"/>
        <v>45915.624664351853</v>
      </c>
      <c r="N255" s="12"/>
    </row>
    <row r="256" spans="1:14" x14ac:dyDescent="0.25">
      <c r="A256" s="4" t="s">
        <v>179</v>
      </c>
      <c r="B256" s="16" t="str">
        <f t="shared" si="13"/>
        <v>SHYAM SUNDER BISHNOI</v>
      </c>
      <c r="C256" s="16" t="str">
        <f t="shared" si="14"/>
        <v>Chak No 6 Kharicharnan / Kolayat / Bikaner</v>
      </c>
      <c r="D256" s="4" t="s">
        <v>3030</v>
      </c>
      <c r="E256" s="4" t="s">
        <v>3119</v>
      </c>
      <c r="F256" s="5">
        <v>45914.999664351853</v>
      </c>
      <c r="G256" s="16" t="str">
        <f t="shared" si="15"/>
        <v>Gravel</v>
      </c>
      <c r="H256" s="4" t="s">
        <v>330</v>
      </c>
      <c r="I256" s="18" t="str" cm="1">
        <f t="array" ref="I256">_xlfn.LET(_xlpm.text, D256,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6" s="18" t="str" cm="1">
        <f t="array" ref="J256">_xlfn.LET(_xlpm.text, E256,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6" s="14">
        <f t="shared" si="16"/>
        <v>45915</v>
      </c>
      <c r="L256" s="14">
        <f t="shared" si="17"/>
        <v>45915.624664351853</v>
      </c>
      <c r="N256" s="12"/>
    </row>
    <row r="257" spans="1:14" x14ac:dyDescent="0.25">
      <c r="A257" s="4" t="s">
        <v>180</v>
      </c>
      <c r="B257" s="16" t="str">
        <f t="shared" si="13"/>
        <v>SHYAM SUNDER BISHNOI</v>
      </c>
      <c r="C257" s="16" t="str">
        <f t="shared" si="14"/>
        <v>Chak No 6 Kharicharnan / Kolayat / Bikaner</v>
      </c>
      <c r="D257" s="4" t="s">
        <v>3030</v>
      </c>
      <c r="E257" s="4" t="s">
        <v>3119</v>
      </c>
      <c r="F257" s="5">
        <v>45914.999664351853</v>
      </c>
      <c r="G257" s="16" t="str">
        <f t="shared" si="15"/>
        <v>Gravel</v>
      </c>
      <c r="H257" s="4" t="s">
        <v>395</v>
      </c>
      <c r="I257" s="18" t="str" cm="1">
        <f t="array" ref="I257">_xlfn.LET(_xlpm.text, D257,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7" s="18" t="str" cm="1">
        <f t="array" ref="J257">_xlfn.LET(_xlpm.text, E257,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7" s="14">
        <f t="shared" si="16"/>
        <v>45915</v>
      </c>
      <c r="L257" s="14">
        <f t="shared" si="17"/>
        <v>45915.624664351853</v>
      </c>
      <c r="N257" s="12"/>
    </row>
    <row r="258" spans="1:14" x14ac:dyDescent="0.25">
      <c r="A258" s="4" t="s">
        <v>181</v>
      </c>
      <c r="B258" s="16" t="str">
        <f t="shared" ref="B258:B321" si="18">VLOOKUP(LEFT($A258,4)&amp;"*",$O$3:$R$17, 2, FALSE)</f>
        <v>SHYAM SUNDER BISHNOI</v>
      </c>
      <c r="C258" s="16" t="str">
        <f t="shared" ref="C258:C321" si="19">VLOOKUP(LEFT($A258,4)&amp;"*",$O$3:$R$17, 3, FALSE)</f>
        <v>Chak No 6 Kharicharnan / Kolayat / Bikaner</v>
      </c>
      <c r="D258" s="4" t="s">
        <v>3030</v>
      </c>
      <c r="E258" s="4" t="s">
        <v>3119</v>
      </c>
      <c r="F258" s="5">
        <v>45914.999664351853</v>
      </c>
      <c r="G258" s="16" t="str">
        <f t="shared" ref="G258:G321" si="20">VLOOKUP(LEFT($A258,4)&amp;"*",$O$3:$R$17, 4, FALSE)</f>
        <v>Gravel</v>
      </c>
      <c r="H258" s="4" t="s">
        <v>364</v>
      </c>
      <c r="I258" s="18" t="str" cm="1">
        <f t="array" ref="I258">_xlfn.LET(_xlpm.text, D258,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8" s="18" t="str" cm="1">
        <f t="array" ref="J258">_xlfn.LET(_xlpm.text, E258,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8" s="14">
        <f t="shared" si="16"/>
        <v>45915</v>
      </c>
      <c r="L258" s="14">
        <f t="shared" si="17"/>
        <v>45915.624664351853</v>
      </c>
      <c r="N258" s="12"/>
    </row>
    <row r="259" spans="1:14" x14ac:dyDescent="0.25">
      <c r="A259" s="4" t="s">
        <v>182</v>
      </c>
      <c r="B259" s="16" t="str">
        <f t="shared" si="18"/>
        <v>SHYAM SUNDER BISHNOI</v>
      </c>
      <c r="C259" s="16" t="str">
        <f t="shared" si="19"/>
        <v>Chak No 6 Kharicharnan / Kolayat / Bikaner</v>
      </c>
      <c r="D259" s="4" t="s">
        <v>3030</v>
      </c>
      <c r="E259" s="4" t="s">
        <v>3119</v>
      </c>
      <c r="F259" s="5">
        <v>45915.999664351853</v>
      </c>
      <c r="G259" s="16" t="str">
        <f t="shared" si="20"/>
        <v>Gravel</v>
      </c>
      <c r="H259" s="4" t="s">
        <v>396</v>
      </c>
      <c r="I259" s="18" t="str" cm="1">
        <f t="array" ref="I259">_xlfn.LET(_xlpm.text, D259,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59" s="18" t="str" cm="1">
        <f t="array" ref="J259">_xlfn.LET(_xlpm.text, E259,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59" s="14">
        <f t="shared" ref="K259:K322" si="21">F259+(29/86400)</f>
        <v>45916</v>
      </c>
      <c r="L259" s="14">
        <f t="shared" ref="L259:L322" si="22">F259+(15/24)</f>
        <v>45916.624664351853</v>
      </c>
      <c r="N259" s="12"/>
    </row>
    <row r="260" spans="1:14" x14ac:dyDescent="0.25">
      <c r="A260" s="4" t="s">
        <v>183</v>
      </c>
      <c r="B260" s="16" t="str">
        <f t="shared" si="18"/>
        <v>SHYAM SUNDER BISHNOI</v>
      </c>
      <c r="C260" s="16" t="str">
        <f t="shared" si="19"/>
        <v>Chak No 6 Kharicharnan / Kolayat / Bikaner</v>
      </c>
      <c r="D260" s="4" t="s">
        <v>3030</v>
      </c>
      <c r="E260" s="4" t="s">
        <v>3119</v>
      </c>
      <c r="F260" s="5">
        <v>45915.999664351853</v>
      </c>
      <c r="G260" s="16" t="str">
        <f t="shared" si="20"/>
        <v>Gravel</v>
      </c>
      <c r="H260" s="4" t="s">
        <v>332</v>
      </c>
      <c r="I260" s="18" t="str" cm="1">
        <f t="array" ref="I260">_xlfn.LET(_xlpm.text, D260,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0" s="18" t="str" cm="1">
        <f t="array" ref="J260">_xlfn.LET(_xlpm.text, E260,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0" s="14">
        <f t="shared" si="21"/>
        <v>45916</v>
      </c>
      <c r="L260" s="14">
        <f t="shared" si="22"/>
        <v>45916.624664351853</v>
      </c>
      <c r="N260" s="12"/>
    </row>
    <row r="261" spans="1:14" x14ac:dyDescent="0.25">
      <c r="A261" s="4" t="s">
        <v>184</v>
      </c>
      <c r="B261" s="16" t="str">
        <f t="shared" si="18"/>
        <v>SHYAM SUNDER BISHNOI</v>
      </c>
      <c r="C261" s="16" t="str">
        <f t="shared" si="19"/>
        <v>Chak No 6 Kharicharnan / Kolayat / Bikaner</v>
      </c>
      <c r="D261" s="4" t="s">
        <v>3030</v>
      </c>
      <c r="E261" s="4" t="s">
        <v>3119</v>
      </c>
      <c r="F261" s="5">
        <v>45911.999664351853</v>
      </c>
      <c r="G261" s="16" t="str">
        <f t="shared" si="20"/>
        <v>Gravel</v>
      </c>
      <c r="H261" s="4" t="s">
        <v>330</v>
      </c>
      <c r="I261" s="18" t="str" cm="1">
        <f t="array" ref="I261">_xlfn.LET(_xlpm.text, D261,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1" s="18" t="str" cm="1">
        <f t="array" ref="J261">_xlfn.LET(_xlpm.text, E261,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1" s="14">
        <f t="shared" si="21"/>
        <v>45912</v>
      </c>
      <c r="L261" s="14">
        <f t="shared" si="22"/>
        <v>45912.624664351853</v>
      </c>
      <c r="N261" s="12"/>
    </row>
    <row r="262" spans="1:14" x14ac:dyDescent="0.25">
      <c r="A262" s="4" t="s">
        <v>185</v>
      </c>
      <c r="B262" s="16" t="str">
        <f t="shared" si="18"/>
        <v>SHYAM SUNDER BISHNOI</v>
      </c>
      <c r="C262" s="16" t="str">
        <f t="shared" si="19"/>
        <v>Chak No 6 Kharicharnan / Kolayat / Bikaner</v>
      </c>
      <c r="D262" s="4" t="s">
        <v>3030</v>
      </c>
      <c r="E262" s="4" t="s">
        <v>3119</v>
      </c>
      <c r="F262" s="5">
        <v>45911.999664351853</v>
      </c>
      <c r="G262" s="16" t="str">
        <f t="shared" si="20"/>
        <v>Gravel</v>
      </c>
      <c r="H262" s="4" t="s">
        <v>390</v>
      </c>
      <c r="I262" s="18" t="str" cm="1">
        <f t="array" ref="I262">_xlfn.LET(_xlpm.text, D262,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2" s="18" t="str" cm="1">
        <f t="array" ref="J262">_xlfn.LET(_xlpm.text, E262,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2" s="14">
        <f t="shared" si="21"/>
        <v>45912</v>
      </c>
      <c r="L262" s="14">
        <f t="shared" si="22"/>
        <v>45912.624664351853</v>
      </c>
      <c r="N262" s="12"/>
    </row>
    <row r="263" spans="1:14" x14ac:dyDescent="0.25">
      <c r="A263" s="4" t="s">
        <v>186</v>
      </c>
      <c r="B263" s="16" t="str">
        <f t="shared" si="18"/>
        <v>SHYAM SUNDER BISHNOI</v>
      </c>
      <c r="C263" s="16" t="str">
        <f t="shared" si="19"/>
        <v>Chak No 6 Kharicharnan / Kolayat / Bikaner</v>
      </c>
      <c r="D263" s="4" t="s">
        <v>3030</v>
      </c>
      <c r="E263" s="4" t="s">
        <v>3119</v>
      </c>
      <c r="F263" s="5">
        <v>45910.999664351853</v>
      </c>
      <c r="G263" s="16" t="str">
        <f t="shared" si="20"/>
        <v>Gravel</v>
      </c>
      <c r="H263" s="4" t="s">
        <v>366</v>
      </c>
      <c r="I263" s="18" t="str" cm="1">
        <f t="array" ref="I263">_xlfn.LET(_xlpm.text, D263,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3" s="18" t="str" cm="1">
        <f t="array" ref="J263">_xlfn.LET(_xlpm.text, E263,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3" s="14">
        <f t="shared" si="21"/>
        <v>45911</v>
      </c>
      <c r="L263" s="14">
        <f t="shared" si="22"/>
        <v>45911.624664351853</v>
      </c>
      <c r="N263" s="12"/>
    </row>
    <row r="264" spans="1:14" x14ac:dyDescent="0.25">
      <c r="A264" s="4" t="s">
        <v>187</v>
      </c>
      <c r="B264" s="16" t="str">
        <f t="shared" si="18"/>
        <v>SHYAM SUNDER BISHNOI</v>
      </c>
      <c r="C264" s="16" t="str">
        <f t="shared" si="19"/>
        <v>Chak No 6 Kharicharnan / Kolayat / Bikaner</v>
      </c>
      <c r="D264" s="4" t="s">
        <v>3030</v>
      </c>
      <c r="E264" s="4" t="s">
        <v>3119</v>
      </c>
      <c r="F264" s="5">
        <v>45909.999664351853</v>
      </c>
      <c r="G264" s="16" t="str">
        <f t="shared" si="20"/>
        <v>Gravel</v>
      </c>
      <c r="H264" s="4" t="s">
        <v>331</v>
      </c>
      <c r="I264" s="18" t="str" cm="1">
        <f t="array" ref="I264">_xlfn.LET(_xlpm.text, D264,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4" s="18" t="str" cm="1">
        <f t="array" ref="J264">_xlfn.LET(_xlpm.text, E264,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4" s="14">
        <f t="shared" si="21"/>
        <v>45910</v>
      </c>
      <c r="L264" s="14">
        <f t="shared" si="22"/>
        <v>45910.624664351853</v>
      </c>
      <c r="N264" s="12"/>
    </row>
    <row r="265" spans="1:14" x14ac:dyDescent="0.25">
      <c r="A265" s="4" t="s">
        <v>188</v>
      </c>
      <c r="B265" s="16" t="str">
        <f t="shared" si="18"/>
        <v>SHYAM SUNDER BISHNOI</v>
      </c>
      <c r="C265" s="16" t="str">
        <f t="shared" si="19"/>
        <v>Chak No 6 Kharicharnan / Kolayat / Bikaner</v>
      </c>
      <c r="D265" s="4" t="s">
        <v>3030</v>
      </c>
      <c r="E265" s="4" t="s">
        <v>3119</v>
      </c>
      <c r="F265" s="5">
        <v>45909.999664351853</v>
      </c>
      <c r="G265" s="16" t="str">
        <f t="shared" si="20"/>
        <v>Gravel</v>
      </c>
      <c r="H265" s="4" t="s">
        <v>330</v>
      </c>
      <c r="I265" s="18" t="str" cm="1">
        <f t="array" ref="I265">_xlfn.LET(_xlpm.text, D265,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5" s="18" t="str" cm="1">
        <f t="array" ref="J265">_xlfn.LET(_xlpm.text, E265,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5" s="14">
        <f t="shared" si="21"/>
        <v>45910</v>
      </c>
      <c r="L265" s="14">
        <f t="shared" si="22"/>
        <v>45910.624664351853</v>
      </c>
      <c r="N265" s="12"/>
    </row>
    <row r="266" spans="1:14" x14ac:dyDescent="0.25">
      <c r="A266" s="4" t="s">
        <v>189</v>
      </c>
      <c r="B266" s="16" t="str">
        <f t="shared" si="18"/>
        <v>SHYAM SUNDER BISHNOI</v>
      </c>
      <c r="C266" s="16" t="str">
        <f t="shared" si="19"/>
        <v>Chak No 6 Kharicharnan / Kolayat / Bikaner</v>
      </c>
      <c r="D266" s="4" t="s">
        <v>3030</v>
      </c>
      <c r="E266" s="4" t="s">
        <v>3119</v>
      </c>
      <c r="F266" s="5">
        <v>45909.999664351853</v>
      </c>
      <c r="G266" s="16" t="str">
        <f t="shared" si="20"/>
        <v>Gravel</v>
      </c>
      <c r="H266" s="4" t="s">
        <v>363</v>
      </c>
      <c r="I266" s="18" t="str" cm="1">
        <f t="array" ref="I266">_xlfn.LET(_xlpm.text, D266,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6" s="18" t="str" cm="1">
        <f t="array" ref="J266">_xlfn.LET(_xlpm.text, E266,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6" s="14">
        <f t="shared" si="21"/>
        <v>45910</v>
      </c>
      <c r="L266" s="14">
        <f t="shared" si="22"/>
        <v>45910.624664351853</v>
      </c>
      <c r="N266" s="12"/>
    </row>
    <row r="267" spans="1:14" x14ac:dyDescent="0.25">
      <c r="A267" s="4" t="s">
        <v>190</v>
      </c>
      <c r="B267" s="16" t="str">
        <f t="shared" si="18"/>
        <v>SHYAM SUNDER BISHNOI</v>
      </c>
      <c r="C267" s="16" t="str">
        <f t="shared" si="19"/>
        <v>Chak No 6 Kharicharnan / Kolayat / Bikaner</v>
      </c>
      <c r="D267" s="4" t="s">
        <v>3030</v>
      </c>
      <c r="E267" s="4" t="s">
        <v>3119</v>
      </c>
      <c r="F267" s="5">
        <v>45908.999664351853</v>
      </c>
      <c r="G267" s="16" t="str">
        <f t="shared" si="20"/>
        <v>Gravel</v>
      </c>
      <c r="H267" s="4" t="s">
        <v>330</v>
      </c>
      <c r="I267" s="18" t="str" cm="1">
        <f t="array" ref="I267">_xlfn.LET(_xlpm.text, D267,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7" s="18" t="str" cm="1">
        <f t="array" ref="J267">_xlfn.LET(_xlpm.text, E267,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7" s="14">
        <f t="shared" si="21"/>
        <v>45909</v>
      </c>
      <c r="L267" s="14">
        <f t="shared" si="22"/>
        <v>45909.624664351853</v>
      </c>
      <c r="N267" s="12"/>
    </row>
    <row r="268" spans="1:14" x14ac:dyDescent="0.25">
      <c r="A268" s="4" t="s">
        <v>191</v>
      </c>
      <c r="B268" s="16" t="str">
        <f t="shared" si="18"/>
        <v>SHYAM SUNDER BISHNOI</v>
      </c>
      <c r="C268" s="16" t="str">
        <f t="shared" si="19"/>
        <v>Chak No 6 Kharicharnan / Kolayat / Bikaner</v>
      </c>
      <c r="D268" s="4" t="s">
        <v>3030</v>
      </c>
      <c r="E268" s="4" t="s">
        <v>3119</v>
      </c>
      <c r="F268" s="5">
        <v>45906.999664351853</v>
      </c>
      <c r="G268" s="16" t="str">
        <f t="shared" si="20"/>
        <v>Gravel</v>
      </c>
      <c r="H268" s="4" t="s">
        <v>375</v>
      </c>
      <c r="I268" s="18" t="str" cm="1">
        <f t="array" ref="I268">_xlfn.LET(_xlpm.text, D268,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8" s="18" t="str" cm="1">
        <f t="array" ref="J268">_xlfn.LET(_xlpm.text, E268,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8" s="14">
        <f t="shared" si="21"/>
        <v>45907</v>
      </c>
      <c r="L268" s="14">
        <f t="shared" si="22"/>
        <v>45907.624664351853</v>
      </c>
      <c r="N268" s="12"/>
    </row>
    <row r="269" spans="1:14" x14ac:dyDescent="0.25">
      <c r="A269" s="4" t="s">
        <v>192</v>
      </c>
      <c r="B269" s="16" t="str">
        <f t="shared" si="18"/>
        <v>SHYAM SUNDER BISHNOI</v>
      </c>
      <c r="C269" s="16" t="str">
        <f t="shared" si="19"/>
        <v>Chak No 6 Kharicharnan / Kolayat / Bikaner</v>
      </c>
      <c r="D269" s="4" t="s">
        <v>3030</v>
      </c>
      <c r="E269" s="4" t="s">
        <v>3119</v>
      </c>
      <c r="F269" s="5">
        <v>45916.999664351853</v>
      </c>
      <c r="G269" s="16" t="str">
        <f t="shared" si="20"/>
        <v>Gravel</v>
      </c>
      <c r="H269" s="4" t="s">
        <v>364</v>
      </c>
      <c r="I269" s="18" t="str" cm="1">
        <f t="array" ref="I269">_xlfn.LET(_xlpm.text, D269,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69" s="18" t="str" cm="1">
        <f t="array" ref="J269">_xlfn.LET(_xlpm.text, E269,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69" s="14">
        <f t="shared" si="21"/>
        <v>45917</v>
      </c>
      <c r="L269" s="14">
        <f t="shared" si="22"/>
        <v>45917.624664351853</v>
      </c>
      <c r="N269" s="12"/>
    </row>
    <row r="270" spans="1:14" x14ac:dyDescent="0.25">
      <c r="A270" s="4" t="s">
        <v>193</v>
      </c>
      <c r="B270" s="16" t="str">
        <f t="shared" si="18"/>
        <v>SHYAM SUNDER BISHNOI</v>
      </c>
      <c r="C270" s="16" t="str">
        <f t="shared" si="19"/>
        <v>Chak No 6 Kharicharnan / Kolayat / Bikaner</v>
      </c>
      <c r="D270" s="4" t="s">
        <v>3030</v>
      </c>
      <c r="E270" s="4" t="s">
        <v>3119</v>
      </c>
      <c r="F270" s="5">
        <v>45916.999664351853</v>
      </c>
      <c r="G270" s="16" t="str">
        <f t="shared" si="20"/>
        <v>Gravel</v>
      </c>
      <c r="H270" s="4" t="s">
        <v>397</v>
      </c>
      <c r="I270" s="18" t="str" cm="1">
        <f t="array" ref="I270">_xlfn.LET(_xlpm.text, D270,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0" s="18" t="str" cm="1">
        <f t="array" ref="J270">_xlfn.LET(_xlpm.text, E270,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0" s="14">
        <f t="shared" si="21"/>
        <v>45917</v>
      </c>
      <c r="L270" s="14">
        <f t="shared" si="22"/>
        <v>45917.624664351853</v>
      </c>
      <c r="N270" s="12"/>
    </row>
    <row r="271" spans="1:14" x14ac:dyDescent="0.25">
      <c r="A271" s="4" t="s">
        <v>194</v>
      </c>
      <c r="B271" s="16" t="str">
        <f t="shared" si="18"/>
        <v>SHYAM SUNDER BISHNOI</v>
      </c>
      <c r="C271" s="16" t="str">
        <f t="shared" si="19"/>
        <v>Chak No 6 Kharicharnan / Kolayat / Bikaner</v>
      </c>
      <c r="D271" s="4" t="s">
        <v>3030</v>
      </c>
      <c r="E271" s="4" t="s">
        <v>3119</v>
      </c>
      <c r="F271" s="5">
        <v>45910.999664351853</v>
      </c>
      <c r="G271" s="16" t="str">
        <f t="shared" si="20"/>
        <v>Gravel</v>
      </c>
      <c r="H271" s="4" t="s">
        <v>330</v>
      </c>
      <c r="I271" s="18" t="str" cm="1">
        <f t="array" ref="I271">_xlfn.LET(_xlpm.text, D271,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1" s="18" t="str" cm="1">
        <f t="array" ref="J271">_xlfn.LET(_xlpm.text, E271,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1" s="14">
        <f t="shared" si="21"/>
        <v>45911</v>
      </c>
      <c r="L271" s="14">
        <f t="shared" si="22"/>
        <v>45911.624664351853</v>
      </c>
      <c r="N271" s="12"/>
    </row>
    <row r="272" spans="1:14" x14ac:dyDescent="0.25">
      <c r="A272" s="4" t="s">
        <v>195</v>
      </c>
      <c r="B272" s="16" t="str">
        <f t="shared" si="18"/>
        <v>SHYAM SUNDER BISHNOI</v>
      </c>
      <c r="C272" s="16" t="str">
        <f t="shared" si="19"/>
        <v>Chak No 6 Kharicharnan / Kolayat / Bikaner</v>
      </c>
      <c r="D272" s="4" t="s">
        <v>3030</v>
      </c>
      <c r="E272" s="4" t="s">
        <v>3119</v>
      </c>
      <c r="F272" s="5">
        <v>45909.999664351853</v>
      </c>
      <c r="G272" s="16" t="str">
        <f t="shared" si="20"/>
        <v>Gravel</v>
      </c>
      <c r="H272" s="4" t="s">
        <v>398</v>
      </c>
      <c r="I272" s="18" t="str" cm="1">
        <f t="array" ref="I272">_xlfn.LET(_xlpm.text, D272,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2" s="18" t="str" cm="1">
        <f t="array" ref="J272">_xlfn.LET(_xlpm.text, E272,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2" s="14">
        <f t="shared" si="21"/>
        <v>45910</v>
      </c>
      <c r="L272" s="14">
        <f t="shared" si="22"/>
        <v>45910.624664351853</v>
      </c>
      <c r="N272" s="12"/>
    </row>
    <row r="273" spans="1:14" x14ac:dyDescent="0.25">
      <c r="A273" s="4" t="s">
        <v>196</v>
      </c>
      <c r="B273" s="16" t="str">
        <f t="shared" si="18"/>
        <v>SHYAM SUNDER BISHNOI</v>
      </c>
      <c r="C273" s="16" t="str">
        <f t="shared" si="19"/>
        <v>Chak No 6 Kharicharnan / Kolayat / Bikaner</v>
      </c>
      <c r="D273" s="4" t="s">
        <v>3030</v>
      </c>
      <c r="E273" s="4" t="s">
        <v>3119</v>
      </c>
      <c r="F273" s="5">
        <v>45909.999664351853</v>
      </c>
      <c r="G273" s="16" t="str">
        <f t="shared" si="20"/>
        <v>Gravel</v>
      </c>
      <c r="H273" s="4" t="s">
        <v>364</v>
      </c>
      <c r="I273" s="18" t="str" cm="1">
        <f t="array" ref="I273">_xlfn.LET(_xlpm.text, D273,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3" s="18" t="str" cm="1">
        <f t="array" ref="J273">_xlfn.LET(_xlpm.text, E273,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3" s="14">
        <f t="shared" si="21"/>
        <v>45910</v>
      </c>
      <c r="L273" s="14">
        <f t="shared" si="22"/>
        <v>45910.624664351853</v>
      </c>
      <c r="N273" s="12"/>
    </row>
    <row r="274" spans="1:14" x14ac:dyDescent="0.25">
      <c r="A274" s="4" t="s">
        <v>197</v>
      </c>
      <c r="B274" s="16" t="str">
        <f t="shared" si="18"/>
        <v>SHYAM SUNDER BISHNOI</v>
      </c>
      <c r="C274" s="16" t="str">
        <f t="shared" si="19"/>
        <v>Chak No 6 Kharicharnan / Kolayat / Bikaner</v>
      </c>
      <c r="D274" s="4" t="s">
        <v>3030</v>
      </c>
      <c r="E274" s="4" t="s">
        <v>3119</v>
      </c>
      <c r="F274" s="5">
        <v>45909.999664351853</v>
      </c>
      <c r="G274" s="16" t="str">
        <f t="shared" si="20"/>
        <v>Gravel</v>
      </c>
      <c r="H274" s="4" t="s">
        <v>340</v>
      </c>
      <c r="I274" s="18" t="str" cm="1">
        <f t="array" ref="I274">_xlfn.LET(_xlpm.text, D274,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4" s="18" t="str" cm="1">
        <f t="array" ref="J274">_xlfn.LET(_xlpm.text, E274,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4" s="14">
        <f t="shared" si="21"/>
        <v>45910</v>
      </c>
      <c r="L274" s="14">
        <f t="shared" si="22"/>
        <v>45910.624664351853</v>
      </c>
      <c r="N274" s="12"/>
    </row>
    <row r="275" spans="1:14" x14ac:dyDescent="0.25">
      <c r="A275" s="4" t="s">
        <v>198</v>
      </c>
      <c r="B275" s="16" t="str">
        <f t="shared" si="18"/>
        <v>SHYAM SUNDER BISHNOI</v>
      </c>
      <c r="C275" s="16" t="str">
        <f t="shared" si="19"/>
        <v>Chak No 6 Kharicharnan / Kolayat / Bikaner</v>
      </c>
      <c r="D275" s="4" t="s">
        <v>3030</v>
      </c>
      <c r="E275" s="4" t="s">
        <v>3119</v>
      </c>
      <c r="F275" s="5">
        <v>45908.999664351853</v>
      </c>
      <c r="G275" s="16" t="str">
        <f t="shared" si="20"/>
        <v>Gravel</v>
      </c>
      <c r="H275" s="4" t="s">
        <v>353</v>
      </c>
      <c r="I275" s="18" t="str" cm="1">
        <f t="array" ref="I275">_xlfn.LET(_xlpm.text, D275,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5" s="18" t="str" cm="1">
        <f t="array" ref="J275">_xlfn.LET(_xlpm.text, E275,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5" s="14">
        <f t="shared" si="21"/>
        <v>45909</v>
      </c>
      <c r="L275" s="14">
        <f t="shared" si="22"/>
        <v>45909.624664351853</v>
      </c>
      <c r="N275" s="12"/>
    </row>
    <row r="276" spans="1:14" x14ac:dyDescent="0.25">
      <c r="A276" s="4" t="s">
        <v>199</v>
      </c>
      <c r="B276" s="16" t="str">
        <f t="shared" si="18"/>
        <v>SHYAM SUNDER BISHNOI</v>
      </c>
      <c r="C276" s="16" t="str">
        <f t="shared" si="19"/>
        <v>Chak No 6 Kharicharnan / Kolayat / Bikaner</v>
      </c>
      <c r="D276" s="4" t="s">
        <v>3030</v>
      </c>
      <c r="E276" s="4" t="s">
        <v>3119</v>
      </c>
      <c r="F276" s="5">
        <v>45908.999664351853</v>
      </c>
      <c r="G276" s="16" t="str">
        <f t="shared" si="20"/>
        <v>Gravel</v>
      </c>
      <c r="H276" s="4" t="s">
        <v>366</v>
      </c>
      <c r="I276" s="18" t="str" cm="1">
        <f t="array" ref="I276">_xlfn.LET(_xlpm.text, D276,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6" s="18" t="str" cm="1">
        <f t="array" ref="J276">_xlfn.LET(_xlpm.text, E276,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6" s="14">
        <f t="shared" si="21"/>
        <v>45909</v>
      </c>
      <c r="L276" s="14">
        <f t="shared" si="22"/>
        <v>45909.624664351853</v>
      </c>
      <c r="N276" s="12"/>
    </row>
    <row r="277" spans="1:14" x14ac:dyDescent="0.25">
      <c r="A277" s="4" t="s">
        <v>200</v>
      </c>
      <c r="B277" s="16" t="str">
        <f t="shared" si="18"/>
        <v>SHYAM SUNDER BISHNOI</v>
      </c>
      <c r="C277" s="16" t="str">
        <f t="shared" si="19"/>
        <v>Chak No 6 Kharicharnan / Kolayat / Bikaner</v>
      </c>
      <c r="D277" s="4" t="s">
        <v>3030</v>
      </c>
      <c r="E277" s="4" t="s">
        <v>3119</v>
      </c>
      <c r="F277" s="5">
        <v>45908.999664351853</v>
      </c>
      <c r="G277" s="16" t="str">
        <f t="shared" si="20"/>
        <v>Gravel</v>
      </c>
      <c r="H277" s="4" t="s">
        <v>364</v>
      </c>
      <c r="I277" s="18" t="str" cm="1">
        <f t="array" ref="I277">_xlfn.LET(_xlpm.text, D277,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7" s="18" t="str" cm="1">
        <f t="array" ref="J277">_xlfn.LET(_xlpm.text, E277,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7" s="14">
        <f t="shared" si="21"/>
        <v>45909</v>
      </c>
      <c r="L277" s="14">
        <f t="shared" si="22"/>
        <v>45909.624664351853</v>
      </c>
      <c r="N277" s="12"/>
    </row>
    <row r="278" spans="1:14" x14ac:dyDescent="0.25">
      <c r="A278" s="4" t="s">
        <v>201</v>
      </c>
      <c r="B278" s="16" t="str">
        <f t="shared" si="18"/>
        <v>SHYAM SUNDER BISHNOI</v>
      </c>
      <c r="C278" s="16" t="str">
        <f t="shared" si="19"/>
        <v>Chak No 6 Kharicharnan / Kolayat / Bikaner</v>
      </c>
      <c r="D278" s="4" t="s">
        <v>3030</v>
      </c>
      <c r="E278" s="4" t="s">
        <v>3119</v>
      </c>
      <c r="F278" s="5">
        <v>45908.999664351853</v>
      </c>
      <c r="G278" s="16" t="str">
        <f t="shared" si="20"/>
        <v>Gravel</v>
      </c>
      <c r="H278" s="4" t="s">
        <v>343</v>
      </c>
      <c r="I278" s="18" t="str" cm="1">
        <f t="array" ref="I278">_xlfn.LET(_xlpm.text, D278,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8" s="18" t="str" cm="1">
        <f t="array" ref="J278">_xlfn.LET(_xlpm.text, E278,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8" s="14">
        <f t="shared" si="21"/>
        <v>45909</v>
      </c>
      <c r="L278" s="14">
        <f t="shared" si="22"/>
        <v>45909.624664351853</v>
      </c>
      <c r="N278" s="12"/>
    </row>
    <row r="279" spans="1:14" x14ac:dyDescent="0.25">
      <c r="A279" s="4" t="s">
        <v>202</v>
      </c>
      <c r="B279" s="16" t="str">
        <f t="shared" si="18"/>
        <v>SHYAM SUNDER BISHNOI</v>
      </c>
      <c r="C279" s="16" t="str">
        <f t="shared" si="19"/>
        <v>Chak No 6 Kharicharnan / Kolayat / Bikaner</v>
      </c>
      <c r="D279" s="4" t="s">
        <v>3030</v>
      </c>
      <c r="E279" s="4" t="s">
        <v>3119</v>
      </c>
      <c r="F279" s="5">
        <v>45908.999664351853</v>
      </c>
      <c r="G279" s="16" t="str">
        <f t="shared" si="20"/>
        <v>Gravel</v>
      </c>
      <c r="H279" s="4" t="s">
        <v>330</v>
      </c>
      <c r="I279" s="18" t="str" cm="1">
        <f t="array" ref="I279">_xlfn.LET(_xlpm.text, D279,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79" s="18" t="str" cm="1">
        <f t="array" ref="J279">_xlfn.LET(_xlpm.text, E279,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79" s="14">
        <f t="shared" si="21"/>
        <v>45909</v>
      </c>
      <c r="L279" s="14">
        <f t="shared" si="22"/>
        <v>45909.624664351853</v>
      </c>
      <c r="N279" s="12"/>
    </row>
    <row r="280" spans="1:14" x14ac:dyDescent="0.25">
      <c r="A280" s="4" t="s">
        <v>203</v>
      </c>
      <c r="B280" s="16" t="str">
        <f t="shared" si="18"/>
        <v>SHYAM SUNDER BISHNOI</v>
      </c>
      <c r="C280" s="16" t="str">
        <f t="shared" si="19"/>
        <v>Chak No 6 Kharicharnan / Kolayat / Bikaner</v>
      </c>
      <c r="D280" s="4" t="s">
        <v>3030</v>
      </c>
      <c r="E280" s="4" t="s">
        <v>3119</v>
      </c>
      <c r="F280" s="5">
        <v>45907.999664351853</v>
      </c>
      <c r="G280" s="16" t="str">
        <f t="shared" si="20"/>
        <v>Gravel</v>
      </c>
      <c r="H280" s="4" t="s">
        <v>330</v>
      </c>
      <c r="I280" s="18" t="str" cm="1">
        <f t="array" ref="I280">_xlfn.LET(_xlpm.text, D280,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80" s="18" t="str" cm="1">
        <f t="array" ref="J280">_xlfn.LET(_xlpm.text, E280,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0" s="14">
        <f t="shared" si="21"/>
        <v>45908</v>
      </c>
      <c r="L280" s="14">
        <f t="shared" si="22"/>
        <v>45908.624664351853</v>
      </c>
      <c r="N280" s="12"/>
    </row>
    <row r="281" spans="1:14" x14ac:dyDescent="0.25">
      <c r="A281" s="4" t="s">
        <v>204</v>
      </c>
      <c r="B281" s="16" t="str">
        <f t="shared" si="18"/>
        <v>SHYAM SUNDER BISHNOI</v>
      </c>
      <c r="C281" s="16" t="str">
        <f t="shared" si="19"/>
        <v>Chak No 6 Kharicharnan / Kolayat / Bikaner</v>
      </c>
      <c r="D281" s="4" t="s">
        <v>3030</v>
      </c>
      <c r="E281" s="4" t="s">
        <v>3119</v>
      </c>
      <c r="F281" s="5">
        <v>45907.999664351853</v>
      </c>
      <c r="G281" s="16" t="str">
        <f t="shared" si="20"/>
        <v>Gravel</v>
      </c>
      <c r="H281" s="4" t="s">
        <v>364</v>
      </c>
      <c r="I281" s="18" t="str" cm="1">
        <f t="array" ref="I281">_xlfn.LET(_xlpm.text, D281,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81" s="18" t="str" cm="1">
        <f t="array" ref="J281">_xlfn.LET(_xlpm.text, E281,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1" s="14">
        <f t="shared" si="21"/>
        <v>45908</v>
      </c>
      <c r="L281" s="14">
        <f t="shared" si="22"/>
        <v>45908.624664351853</v>
      </c>
      <c r="N281" s="12"/>
    </row>
    <row r="282" spans="1:14" x14ac:dyDescent="0.25">
      <c r="A282" s="4" t="s">
        <v>205</v>
      </c>
      <c r="B282" s="16" t="str">
        <f t="shared" si="18"/>
        <v>SHYAM SUNDER BISHNOI</v>
      </c>
      <c r="C282" s="16" t="str">
        <f t="shared" si="19"/>
        <v>Chak No 6 Kharicharnan / Kolayat / Bikaner</v>
      </c>
      <c r="D282" s="4" t="s">
        <v>3030</v>
      </c>
      <c r="E282" s="4" t="s">
        <v>3119</v>
      </c>
      <c r="F282" s="5">
        <v>45908.999664351853</v>
      </c>
      <c r="G282" s="16" t="str">
        <f t="shared" si="20"/>
        <v>Gravel</v>
      </c>
      <c r="H282" s="4" t="s">
        <v>332</v>
      </c>
      <c r="I282" s="18" t="str" cm="1">
        <f t="array" ref="I282">_xlfn.LET(_xlpm.text, D282,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82" s="18" t="str" cm="1">
        <f t="array" ref="J282">_xlfn.LET(_xlpm.text, E282,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2" s="14">
        <f t="shared" si="21"/>
        <v>45909</v>
      </c>
      <c r="L282" s="14">
        <f t="shared" si="22"/>
        <v>45909.624664351853</v>
      </c>
      <c r="N282" s="12"/>
    </row>
    <row r="283" spans="1:14" x14ac:dyDescent="0.25">
      <c r="A283" s="4" t="s">
        <v>206</v>
      </c>
      <c r="B283" s="16" t="str">
        <f t="shared" si="18"/>
        <v>SHYAM SUNDER BISHNOI</v>
      </c>
      <c r="C283" s="16" t="str">
        <f t="shared" si="19"/>
        <v>Chak No 6 Kharicharnan / Kolayat / Bikaner</v>
      </c>
      <c r="D283" s="4" t="s">
        <v>3029</v>
      </c>
      <c r="E283" s="4" t="s">
        <v>3119</v>
      </c>
      <c r="F283" s="5">
        <v>46019.999664351853</v>
      </c>
      <c r="G283" s="16" t="str">
        <f t="shared" si="20"/>
        <v>Gravel</v>
      </c>
      <c r="H283" s="4" t="s">
        <v>358</v>
      </c>
      <c r="I283" s="18" t="str" cm="1">
        <f t="array" ref="I283">_xlfn.LET(_xlpm.text, D283,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3" s="18" t="str" cm="1">
        <f t="array" ref="J283">_xlfn.LET(_xlpm.text, E283,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3" s="14">
        <f t="shared" si="21"/>
        <v>46020</v>
      </c>
      <c r="L283" s="14">
        <f t="shared" si="22"/>
        <v>46020.624664351853</v>
      </c>
      <c r="N283" s="12"/>
    </row>
    <row r="284" spans="1:14" x14ac:dyDescent="0.25">
      <c r="A284" s="4" t="s">
        <v>207</v>
      </c>
      <c r="B284" s="16" t="str">
        <f t="shared" si="18"/>
        <v>SHYAM SUNDER BISHNOI</v>
      </c>
      <c r="C284" s="16" t="str">
        <f t="shared" si="19"/>
        <v>Chak No 6 Kharicharnan / Kolayat / Bikaner</v>
      </c>
      <c r="D284" s="4" t="s">
        <v>3029</v>
      </c>
      <c r="E284" s="4" t="s">
        <v>3119</v>
      </c>
      <c r="F284" s="5">
        <v>46018.999664351853</v>
      </c>
      <c r="G284" s="16" t="str">
        <f t="shared" si="20"/>
        <v>Gravel</v>
      </c>
      <c r="H284" s="4" t="s">
        <v>332</v>
      </c>
      <c r="I284" s="18" t="str" cm="1">
        <f t="array" ref="I284">_xlfn.LET(_xlpm.text, D284,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4" s="18" t="str" cm="1">
        <f t="array" ref="J284">_xlfn.LET(_xlpm.text, E284,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4" s="14">
        <f t="shared" si="21"/>
        <v>46019</v>
      </c>
      <c r="L284" s="14">
        <f t="shared" si="22"/>
        <v>46019.624664351853</v>
      </c>
      <c r="N284" s="12"/>
    </row>
    <row r="285" spans="1:14" x14ac:dyDescent="0.25">
      <c r="A285" s="4" t="s">
        <v>208</v>
      </c>
      <c r="B285" s="16" t="str">
        <f t="shared" si="18"/>
        <v>SHYAM SUNDER BISHNOI</v>
      </c>
      <c r="C285" s="16" t="str">
        <f t="shared" si="19"/>
        <v>Chak No 6 Kharicharnan / Kolayat / Bikaner</v>
      </c>
      <c r="D285" s="4" t="s">
        <v>3029</v>
      </c>
      <c r="E285" s="4" t="s">
        <v>3119</v>
      </c>
      <c r="F285" s="5">
        <v>46018.999664351853</v>
      </c>
      <c r="G285" s="16" t="str">
        <f t="shared" si="20"/>
        <v>Gravel</v>
      </c>
      <c r="H285" s="4" t="s">
        <v>332</v>
      </c>
      <c r="I285" s="18" t="str" cm="1">
        <f t="array" ref="I285">_xlfn.LET(_xlpm.text, D285,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5" s="18" t="str" cm="1">
        <f t="array" ref="J285">_xlfn.LET(_xlpm.text, E285,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5" s="14">
        <f t="shared" si="21"/>
        <v>46019</v>
      </c>
      <c r="L285" s="14">
        <f t="shared" si="22"/>
        <v>46019.624664351853</v>
      </c>
      <c r="N285" s="12"/>
    </row>
    <row r="286" spans="1:14" x14ac:dyDescent="0.25">
      <c r="A286" s="4" t="s">
        <v>209</v>
      </c>
      <c r="B286" s="16" t="str">
        <f t="shared" si="18"/>
        <v>SHYAM SUNDER BISHNOI</v>
      </c>
      <c r="C286" s="16" t="str">
        <f t="shared" si="19"/>
        <v>Chak No 6 Kharicharnan / Kolayat / Bikaner</v>
      </c>
      <c r="D286" s="4" t="s">
        <v>3029</v>
      </c>
      <c r="E286" s="4" t="s">
        <v>3119</v>
      </c>
      <c r="F286" s="5">
        <v>46019.999664351853</v>
      </c>
      <c r="G286" s="16" t="str">
        <f t="shared" si="20"/>
        <v>Gravel</v>
      </c>
      <c r="H286" s="4" t="s">
        <v>328</v>
      </c>
      <c r="I286" s="18" t="str" cm="1">
        <f t="array" ref="I286">_xlfn.LET(_xlpm.text, D286,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6" s="18" t="str" cm="1">
        <f t="array" ref="J286">_xlfn.LET(_xlpm.text, E286,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6" s="14">
        <f t="shared" si="21"/>
        <v>46020</v>
      </c>
      <c r="L286" s="14">
        <f t="shared" si="22"/>
        <v>46020.624664351853</v>
      </c>
      <c r="N286" s="12"/>
    </row>
    <row r="287" spans="1:14" x14ac:dyDescent="0.25">
      <c r="A287" s="4" t="s">
        <v>210</v>
      </c>
      <c r="B287" s="16" t="str">
        <f t="shared" si="18"/>
        <v>SHYAM SUNDER BISHNOI</v>
      </c>
      <c r="C287" s="16" t="str">
        <f t="shared" si="19"/>
        <v>Chak No 6 Kharicharnan / Kolayat / Bikaner</v>
      </c>
      <c r="D287" s="4" t="s">
        <v>3029</v>
      </c>
      <c r="E287" s="4" t="s">
        <v>3119</v>
      </c>
      <c r="F287" s="5">
        <v>46019.999664351853</v>
      </c>
      <c r="G287" s="16" t="str">
        <f t="shared" si="20"/>
        <v>Gravel</v>
      </c>
      <c r="H287" s="4" t="s">
        <v>328</v>
      </c>
      <c r="I287" s="18" t="str" cm="1">
        <f t="array" ref="I287">_xlfn.LET(_xlpm.text, D287,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7" s="18" t="str" cm="1">
        <f t="array" ref="J287">_xlfn.LET(_xlpm.text, E287,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7" s="14">
        <f t="shared" si="21"/>
        <v>46020</v>
      </c>
      <c r="L287" s="14">
        <f t="shared" si="22"/>
        <v>46020.624664351853</v>
      </c>
      <c r="N287" s="12"/>
    </row>
    <row r="288" spans="1:14" x14ac:dyDescent="0.25">
      <c r="A288" s="4" t="s">
        <v>211</v>
      </c>
      <c r="B288" s="16" t="str">
        <f t="shared" si="18"/>
        <v>SHYAM SUNDER BISHNOI</v>
      </c>
      <c r="C288" s="16" t="str">
        <f t="shared" si="19"/>
        <v>Chak No 6 Kharicharnan / Kolayat / Bikaner</v>
      </c>
      <c r="D288" s="4" t="s">
        <v>3029</v>
      </c>
      <c r="E288" s="4" t="s">
        <v>3119</v>
      </c>
      <c r="F288" s="5">
        <v>46016.999664351853</v>
      </c>
      <c r="G288" s="16" t="str">
        <f t="shared" si="20"/>
        <v>Gravel</v>
      </c>
      <c r="H288" s="4" t="s">
        <v>335</v>
      </c>
      <c r="I288" s="18" t="str" cm="1">
        <f t="array" ref="I288">_xlfn.LET(_xlpm.text, D288,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8" s="18" t="str" cm="1">
        <f t="array" ref="J288">_xlfn.LET(_xlpm.text, E288,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8" s="14">
        <f t="shared" si="21"/>
        <v>46017</v>
      </c>
      <c r="L288" s="14">
        <f t="shared" si="22"/>
        <v>46017.624664351853</v>
      </c>
      <c r="N288" s="12"/>
    </row>
    <row r="289" spans="1:14" x14ac:dyDescent="0.25">
      <c r="A289" s="4" t="s">
        <v>212</v>
      </c>
      <c r="B289" s="16" t="str">
        <f t="shared" si="18"/>
        <v>SHYAM SUNDER BISHNOI</v>
      </c>
      <c r="C289" s="16" t="str">
        <f t="shared" si="19"/>
        <v>Chak No 6 Kharicharnan / Kolayat / Bikaner</v>
      </c>
      <c r="D289" s="4" t="s">
        <v>3029</v>
      </c>
      <c r="E289" s="4" t="s">
        <v>3119</v>
      </c>
      <c r="F289" s="5">
        <v>46016.999664351853</v>
      </c>
      <c r="G289" s="16" t="str">
        <f t="shared" si="20"/>
        <v>Gravel</v>
      </c>
      <c r="H289" s="4" t="s">
        <v>362</v>
      </c>
      <c r="I289" s="18" t="str" cm="1">
        <f t="array" ref="I289">_xlfn.LET(_xlpm.text, D289,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89" s="18" t="str" cm="1">
        <f t="array" ref="J289">_xlfn.LET(_xlpm.text, E289,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89" s="14">
        <f t="shared" si="21"/>
        <v>46017</v>
      </c>
      <c r="L289" s="14">
        <f t="shared" si="22"/>
        <v>46017.624664351853</v>
      </c>
      <c r="N289" s="12"/>
    </row>
    <row r="290" spans="1:14" x14ac:dyDescent="0.25">
      <c r="A290" s="4" t="s">
        <v>213</v>
      </c>
      <c r="B290" s="16" t="str">
        <f t="shared" si="18"/>
        <v>SHYAM SUNDER BISHNOI</v>
      </c>
      <c r="C290" s="16" t="str">
        <f t="shared" si="19"/>
        <v>Chak No 6 Kharicharnan / Kolayat / Bikaner</v>
      </c>
      <c r="D290" s="4" t="s">
        <v>3029</v>
      </c>
      <c r="E290" s="4" t="s">
        <v>3119</v>
      </c>
      <c r="F290" s="5">
        <v>46016.999664351853</v>
      </c>
      <c r="G290" s="16" t="str">
        <f t="shared" si="20"/>
        <v>Gravel</v>
      </c>
      <c r="H290" s="4" t="s">
        <v>399</v>
      </c>
      <c r="I290" s="18" t="str" cm="1">
        <f t="array" ref="I290">_xlfn.LET(_xlpm.text, D290,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0" s="18" t="str" cm="1">
        <f t="array" ref="J290">_xlfn.LET(_xlpm.text, E290,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0" s="14">
        <f t="shared" si="21"/>
        <v>46017</v>
      </c>
      <c r="L290" s="14">
        <f t="shared" si="22"/>
        <v>46017.624664351853</v>
      </c>
      <c r="N290" s="12"/>
    </row>
    <row r="291" spans="1:14" x14ac:dyDescent="0.25">
      <c r="A291" s="4" t="s">
        <v>214</v>
      </c>
      <c r="B291" s="16" t="str">
        <f t="shared" si="18"/>
        <v>SHYAM SUNDER BISHNOI</v>
      </c>
      <c r="C291" s="16" t="str">
        <f t="shared" si="19"/>
        <v>Chak No 6 Kharicharnan / Kolayat / Bikaner</v>
      </c>
      <c r="D291" s="4" t="s">
        <v>3029</v>
      </c>
      <c r="E291" s="4" t="s">
        <v>3119</v>
      </c>
      <c r="F291" s="5">
        <v>46015.999664351853</v>
      </c>
      <c r="G291" s="16" t="str">
        <f t="shared" si="20"/>
        <v>Gravel</v>
      </c>
      <c r="H291" s="4" t="s">
        <v>332</v>
      </c>
      <c r="I291" s="18" t="str" cm="1">
        <f t="array" ref="I291">_xlfn.LET(_xlpm.text, D291,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1" s="18" t="str" cm="1">
        <f t="array" ref="J291">_xlfn.LET(_xlpm.text, E291,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1" s="14">
        <f t="shared" si="21"/>
        <v>46016</v>
      </c>
      <c r="L291" s="14">
        <f t="shared" si="22"/>
        <v>46016.624664351853</v>
      </c>
      <c r="N291" s="12"/>
    </row>
    <row r="292" spans="1:14" x14ac:dyDescent="0.25">
      <c r="A292" s="4" t="s">
        <v>215</v>
      </c>
      <c r="B292" s="16" t="str">
        <f t="shared" si="18"/>
        <v>SHYAM SUNDER BISHNOI</v>
      </c>
      <c r="C292" s="16" t="str">
        <f t="shared" si="19"/>
        <v>Chak No 6 Kharicharnan / Kolayat / Bikaner</v>
      </c>
      <c r="D292" s="4" t="s">
        <v>3029</v>
      </c>
      <c r="E292" s="4" t="s">
        <v>3119</v>
      </c>
      <c r="F292" s="5">
        <v>46015.999664351853</v>
      </c>
      <c r="G292" s="16" t="str">
        <f t="shared" si="20"/>
        <v>Gravel</v>
      </c>
      <c r="H292" s="4" t="s">
        <v>332</v>
      </c>
      <c r="I292" s="18" t="str" cm="1">
        <f t="array" ref="I292">_xlfn.LET(_xlpm.text, D292,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2" s="18" t="str" cm="1">
        <f t="array" ref="J292">_xlfn.LET(_xlpm.text, E292,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2" s="14">
        <f t="shared" si="21"/>
        <v>46016</v>
      </c>
      <c r="L292" s="14">
        <f t="shared" si="22"/>
        <v>46016.624664351853</v>
      </c>
      <c r="N292" s="12"/>
    </row>
    <row r="293" spans="1:14" x14ac:dyDescent="0.25">
      <c r="A293" s="4" t="s">
        <v>216</v>
      </c>
      <c r="B293" s="16" t="str">
        <f t="shared" si="18"/>
        <v>SHYAM SUNDER BISHNOI</v>
      </c>
      <c r="C293" s="16" t="str">
        <f t="shared" si="19"/>
        <v>Chak No 6 Kharicharnan / Kolayat / Bikaner</v>
      </c>
      <c r="D293" s="4" t="s">
        <v>3029</v>
      </c>
      <c r="E293" s="4" t="s">
        <v>3119</v>
      </c>
      <c r="F293" s="5">
        <v>46017.999664351853</v>
      </c>
      <c r="G293" s="16" t="str">
        <f t="shared" si="20"/>
        <v>Gravel</v>
      </c>
      <c r="H293" s="4" t="s">
        <v>328</v>
      </c>
      <c r="I293" s="18" t="str" cm="1">
        <f t="array" ref="I293">_xlfn.LET(_xlpm.text, D293,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3" s="18" t="str" cm="1">
        <f t="array" ref="J293">_xlfn.LET(_xlpm.text, E293,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3" s="14">
        <f t="shared" si="21"/>
        <v>46018</v>
      </c>
      <c r="L293" s="14">
        <f t="shared" si="22"/>
        <v>46018.624664351853</v>
      </c>
      <c r="N293" s="12"/>
    </row>
    <row r="294" spans="1:14" x14ac:dyDescent="0.25">
      <c r="A294" s="4" t="s">
        <v>217</v>
      </c>
      <c r="B294" s="16" t="str">
        <f t="shared" si="18"/>
        <v>SHYAM SUNDER BISHNOI</v>
      </c>
      <c r="C294" s="16" t="str">
        <f t="shared" si="19"/>
        <v>Chak No 6 Kharicharnan / Kolayat / Bikaner</v>
      </c>
      <c r="D294" s="4" t="s">
        <v>3029</v>
      </c>
      <c r="E294" s="4" t="s">
        <v>3119</v>
      </c>
      <c r="F294" s="5">
        <v>46017.999664351853</v>
      </c>
      <c r="G294" s="16" t="str">
        <f t="shared" si="20"/>
        <v>Gravel</v>
      </c>
      <c r="H294" s="4" t="s">
        <v>328</v>
      </c>
      <c r="I294" s="18" t="str" cm="1">
        <f t="array" ref="I294">_xlfn.LET(_xlpm.text, D294,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4" s="18" t="str" cm="1">
        <f t="array" ref="J294">_xlfn.LET(_xlpm.text, E294,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4" s="14">
        <f t="shared" si="21"/>
        <v>46018</v>
      </c>
      <c r="L294" s="14">
        <f t="shared" si="22"/>
        <v>46018.624664351853</v>
      </c>
      <c r="N294" s="12"/>
    </row>
    <row r="295" spans="1:14" x14ac:dyDescent="0.25">
      <c r="A295" s="4" t="s">
        <v>218</v>
      </c>
      <c r="B295" s="16" t="str">
        <f t="shared" si="18"/>
        <v>SHYAM SUNDER BISHNOI</v>
      </c>
      <c r="C295" s="16" t="str">
        <f t="shared" si="19"/>
        <v>Chak No 6 Kharicharnan / Kolayat / Bikaner</v>
      </c>
      <c r="D295" s="4" t="s">
        <v>3029</v>
      </c>
      <c r="E295" s="4" t="s">
        <v>3119</v>
      </c>
      <c r="F295" s="5">
        <v>46017.999664351853</v>
      </c>
      <c r="G295" s="16" t="str">
        <f t="shared" si="20"/>
        <v>Gravel</v>
      </c>
      <c r="H295" s="4" t="s">
        <v>400</v>
      </c>
      <c r="I295" s="18" t="str" cm="1">
        <f t="array" ref="I295">_xlfn.LET(_xlpm.text, D295,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5" s="18" t="str" cm="1">
        <f t="array" ref="J295">_xlfn.LET(_xlpm.text, E295,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5" s="14">
        <f t="shared" si="21"/>
        <v>46018</v>
      </c>
      <c r="L295" s="14">
        <f t="shared" si="22"/>
        <v>46018.624664351853</v>
      </c>
      <c r="N295" s="12"/>
    </row>
    <row r="296" spans="1:14" x14ac:dyDescent="0.25">
      <c r="A296" s="4" t="s">
        <v>219</v>
      </c>
      <c r="B296" s="16" t="str">
        <f t="shared" si="18"/>
        <v>SHYAM SUNDER BISHNOI</v>
      </c>
      <c r="C296" s="16" t="str">
        <f t="shared" si="19"/>
        <v>Chak No 6 Kharicharnan / Kolayat / Bikaner</v>
      </c>
      <c r="D296" s="4" t="s">
        <v>3029</v>
      </c>
      <c r="E296" s="4" t="s">
        <v>3119</v>
      </c>
      <c r="F296" s="5">
        <v>46017.999664351853</v>
      </c>
      <c r="G296" s="16" t="str">
        <f t="shared" si="20"/>
        <v>Gravel</v>
      </c>
      <c r="H296" s="4" t="s">
        <v>397</v>
      </c>
      <c r="I296" s="18" t="str" cm="1">
        <f t="array" ref="I296">_xlfn.LET(_xlpm.text, D296,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6" s="18" t="str" cm="1">
        <f t="array" ref="J296">_xlfn.LET(_xlpm.text, E296,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6" s="14">
        <f t="shared" si="21"/>
        <v>46018</v>
      </c>
      <c r="L296" s="14">
        <f t="shared" si="22"/>
        <v>46018.624664351853</v>
      </c>
      <c r="N296" s="12"/>
    </row>
    <row r="297" spans="1:14" x14ac:dyDescent="0.25">
      <c r="A297" s="4" t="s">
        <v>220</v>
      </c>
      <c r="B297" s="16" t="str">
        <f t="shared" si="18"/>
        <v>SHYAM SUNDER BISHNOI</v>
      </c>
      <c r="C297" s="16" t="str">
        <f t="shared" si="19"/>
        <v>Chak No 6 Kharicharnan / Kolayat / Bikaner</v>
      </c>
      <c r="D297" s="4" t="s">
        <v>3029</v>
      </c>
      <c r="E297" s="4" t="s">
        <v>3119</v>
      </c>
      <c r="F297" s="5">
        <v>46017.999664351853</v>
      </c>
      <c r="G297" s="16" t="str">
        <f t="shared" si="20"/>
        <v>Gravel</v>
      </c>
      <c r="H297" s="4" t="s">
        <v>377</v>
      </c>
      <c r="I297" s="18" t="str" cm="1">
        <f t="array" ref="I297">_xlfn.LET(_xlpm.text, D297,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7" s="18" t="str" cm="1">
        <f t="array" ref="J297">_xlfn.LET(_xlpm.text, E297,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7" s="14">
        <f t="shared" si="21"/>
        <v>46018</v>
      </c>
      <c r="L297" s="14">
        <f t="shared" si="22"/>
        <v>46018.624664351853</v>
      </c>
      <c r="N297" s="12"/>
    </row>
    <row r="298" spans="1:14" x14ac:dyDescent="0.25">
      <c r="A298" s="4" t="s">
        <v>221</v>
      </c>
      <c r="B298" s="16" t="str">
        <f t="shared" si="18"/>
        <v>SHYAM SUNDER BISHNOI</v>
      </c>
      <c r="C298" s="16" t="str">
        <f t="shared" si="19"/>
        <v>Chak No 6 Kharicharnan / Kolayat / Bikaner</v>
      </c>
      <c r="D298" s="4" t="s">
        <v>3029</v>
      </c>
      <c r="E298" s="4" t="s">
        <v>3119</v>
      </c>
      <c r="F298" s="5">
        <v>46017.999664351853</v>
      </c>
      <c r="G298" s="16" t="str">
        <f t="shared" si="20"/>
        <v>Gravel</v>
      </c>
      <c r="H298" s="4" t="s">
        <v>332</v>
      </c>
      <c r="I298" s="18" t="str" cm="1">
        <f t="array" ref="I298">_xlfn.LET(_xlpm.text, D298,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98" s="18" t="str" cm="1">
        <f t="array" ref="J298">_xlfn.LET(_xlpm.text, E298,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8" s="14">
        <f t="shared" si="21"/>
        <v>46018</v>
      </c>
      <c r="L298" s="14">
        <f t="shared" si="22"/>
        <v>46018.624664351853</v>
      </c>
      <c r="N298" s="12"/>
    </row>
    <row r="299" spans="1:14" x14ac:dyDescent="0.25">
      <c r="A299" s="4" t="s">
        <v>222</v>
      </c>
      <c r="B299" s="16" t="str">
        <f t="shared" si="18"/>
        <v>SHYAM SUNDER BISHNOI</v>
      </c>
      <c r="C299" s="16" t="str">
        <f t="shared" si="19"/>
        <v>Chak No 6 Kharicharnan / Kolayat / Bikaner</v>
      </c>
      <c r="D299" s="4" t="s">
        <v>3030</v>
      </c>
      <c r="E299" s="4" t="s">
        <v>3119</v>
      </c>
      <c r="F299" s="5">
        <v>45930.999664351853</v>
      </c>
      <c r="G299" s="16" t="str">
        <f t="shared" si="20"/>
        <v>Gravel</v>
      </c>
      <c r="H299" s="4" t="s">
        <v>352</v>
      </c>
      <c r="I299" s="18" t="str" cm="1">
        <f t="array" ref="I299">_xlfn.LET(_xlpm.text, D299,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299" s="18" t="str" cm="1">
        <f t="array" ref="J299">_xlfn.LET(_xlpm.text, E299,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99" s="14">
        <f t="shared" si="21"/>
        <v>45931</v>
      </c>
      <c r="L299" s="14">
        <f t="shared" si="22"/>
        <v>45931.624664351853</v>
      </c>
      <c r="N299" s="12"/>
    </row>
    <row r="300" spans="1:14" x14ac:dyDescent="0.25">
      <c r="A300" s="4" t="s">
        <v>223</v>
      </c>
      <c r="B300" s="16" t="str">
        <f t="shared" si="18"/>
        <v>SHYAM SUNDER BISHNOI</v>
      </c>
      <c r="C300" s="16" t="str">
        <f t="shared" si="19"/>
        <v>Chak No 6 Kharicharnan / Kolayat / Bikaner</v>
      </c>
      <c r="D300" s="4" t="s">
        <v>3030</v>
      </c>
      <c r="E300" s="4" t="s">
        <v>3119</v>
      </c>
      <c r="F300" s="5">
        <v>45930.999664351853</v>
      </c>
      <c r="G300" s="16" t="str">
        <f t="shared" si="20"/>
        <v>Gravel</v>
      </c>
      <c r="H300" s="4" t="s">
        <v>332</v>
      </c>
      <c r="I300" s="18" t="str" cm="1">
        <f t="array" ref="I300">_xlfn.LET(_xlpm.text, D300,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0" s="18" t="str" cm="1">
        <f t="array" ref="J300">_xlfn.LET(_xlpm.text, E300,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0" s="14">
        <f t="shared" si="21"/>
        <v>45931</v>
      </c>
      <c r="L300" s="14">
        <f t="shared" si="22"/>
        <v>45931.624664351853</v>
      </c>
      <c r="N300" s="12"/>
    </row>
    <row r="301" spans="1:14" x14ac:dyDescent="0.25">
      <c r="A301" s="4" t="s">
        <v>224</v>
      </c>
      <c r="B301" s="16" t="str">
        <f t="shared" si="18"/>
        <v>SHYAM SUNDER BISHNOI</v>
      </c>
      <c r="C301" s="16" t="str">
        <f t="shared" si="19"/>
        <v>Chak No 6 Kharicharnan / Kolayat / Bikaner</v>
      </c>
      <c r="D301" s="4" t="s">
        <v>3030</v>
      </c>
      <c r="E301" s="4" t="s">
        <v>3119</v>
      </c>
      <c r="F301" s="5">
        <v>45931.999664351853</v>
      </c>
      <c r="G301" s="16" t="str">
        <f t="shared" si="20"/>
        <v>Gravel</v>
      </c>
      <c r="H301" s="4" t="s">
        <v>330</v>
      </c>
      <c r="I301" s="18" t="str" cm="1">
        <f t="array" ref="I301">_xlfn.LET(_xlpm.text, D301,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1" s="18" t="str" cm="1">
        <f t="array" ref="J301">_xlfn.LET(_xlpm.text, E301,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1" s="14">
        <f t="shared" si="21"/>
        <v>45932</v>
      </c>
      <c r="L301" s="14">
        <f t="shared" si="22"/>
        <v>45932.624664351853</v>
      </c>
      <c r="N301" s="12"/>
    </row>
    <row r="302" spans="1:14" x14ac:dyDescent="0.25">
      <c r="A302" s="4" t="s">
        <v>225</v>
      </c>
      <c r="B302" s="16" t="str">
        <f t="shared" si="18"/>
        <v>SHYAM SUNDER BISHNOI</v>
      </c>
      <c r="C302" s="16" t="str">
        <f t="shared" si="19"/>
        <v>Chak No 6 Kharicharnan / Kolayat / Bikaner</v>
      </c>
      <c r="D302" s="4" t="s">
        <v>3030</v>
      </c>
      <c r="E302" s="4" t="s">
        <v>3119</v>
      </c>
      <c r="F302" s="5">
        <v>45932.999664351853</v>
      </c>
      <c r="G302" s="16" t="str">
        <f t="shared" si="20"/>
        <v>Gravel</v>
      </c>
      <c r="H302" s="4" t="s">
        <v>330</v>
      </c>
      <c r="I302" s="18" t="str" cm="1">
        <f t="array" ref="I302">_xlfn.LET(_xlpm.text, D302,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2" s="18" t="str" cm="1">
        <f t="array" ref="J302">_xlfn.LET(_xlpm.text, E302,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2" s="14">
        <f t="shared" si="21"/>
        <v>45933</v>
      </c>
      <c r="L302" s="14">
        <f t="shared" si="22"/>
        <v>45933.624664351853</v>
      </c>
      <c r="N302" s="12"/>
    </row>
    <row r="303" spans="1:14" x14ac:dyDescent="0.25">
      <c r="A303" s="4" t="s">
        <v>226</v>
      </c>
      <c r="B303" s="16" t="str">
        <f t="shared" si="18"/>
        <v>SHYAM SUNDER BISHNOI</v>
      </c>
      <c r="C303" s="16" t="str">
        <f t="shared" si="19"/>
        <v>Chak No 6 Kharicharnan / Kolayat / Bikaner</v>
      </c>
      <c r="D303" s="4" t="s">
        <v>3030</v>
      </c>
      <c r="E303" s="4" t="s">
        <v>3119</v>
      </c>
      <c r="F303" s="5">
        <v>45933.999664351853</v>
      </c>
      <c r="G303" s="16" t="str">
        <f t="shared" si="20"/>
        <v>Gravel</v>
      </c>
      <c r="H303" s="4" t="s">
        <v>330</v>
      </c>
      <c r="I303" s="18" t="str" cm="1">
        <f t="array" ref="I303">_xlfn.LET(_xlpm.text, D303,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3" s="18" t="str" cm="1">
        <f t="array" ref="J303">_xlfn.LET(_xlpm.text, E303,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3" s="14">
        <f t="shared" si="21"/>
        <v>45934</v>
      </c>
      <c r="L303" s="14">
        <f t="shared" si="22"/>
        <v>45934.624664351853</v>
      </c>
      <c r="N303" s="12"/>
    </row>
    <row r="304" spans="1:14" x14ac:dyDescent="0.25">
      <c r="A304" s="4" t="s">
        <v>227</v>
      </c>
      <c r="B304" s="16" t="str">
        <f t="shared" si="18"/>
        <v>SHYAM SUNDER BISHNOI</v>
      </c>
      <c r="C304" s="16" t="str">
        <f t="shared" si="19"/>
        <v>Chak No 6 Kharicharnan / Kolayat / Bikaner</v>
      </c>
      <c r="D304" s="4" t="s">
        <v>3030</v>
      </c>
      <c r="E304" s="4" t="s">
        <v>3119</v>
      </c>
      <c r="F304" s="5">
        <v>45933.999664351853</v>
      </c>
      <c r="G304" s="16" t="str">
        <f t="shared" si="20"/>
        <v>Gravel</v>
      </c>
      <c r="H304" s="4" t="s">
        <v>390</v>
      </c>
      <c r="I304" s="18" t="str" cm="1">
        <f t="array" ref="I304">_xlfn.LET(_xlpm.text, D304,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4" s="18" t="str" cm="1">
        <f t="array" ref="J304">_xlfn.LET(_xlpm.text, E304,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4" s="14">
        <f t="shared" si="21"/>
        <v>45934</v>
      </c>
      <c r="L304" s="14">
        <f t="shared" si="22"/>
        <v>45934.624664351853</v>
      </c>
      <c r="N304" s="12"/>
    </row>
    <row r="305" spans="1:14" x14ac:dyDescent="0.25">
      <c r="A305" s="4" t="s">
        <v>228</v>
      </c>
      <c r="B305" s="16" t="str">
        <f t="shared" si="18"/>
        <v>SHYAM SUNDER BISHNOI</v>
      </c>
      <c r="C305" s="16" t="str">
        <f t="shared" si="19"/>
        <v>Chak No 6 Kharicharnan / Kolayat / Bikaner</v>
      </c>
      <c r="D305" s="4" t="s">
        <v>3030</v>
      </c>
      <c r="E305" s="4" t="s">
        <v>3119</v>
      </c>
      <c r="F305" s="5">
        <v>45934.999664351853</v>
      </c>
      <c r="G305" s="16" t="str">
        <f t="shared" si="20"/>
        <v>Gravel</v>
      </c>
      <c r="H305" s="4" t="s">
        <v>333</v>
      </c>
      <c r="I305" s="18" t="str" cm="1">
        <f t="array" ref="I305">_xlfn.LET(_xlpm.text, D305,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5" s="18" t="str" cm="1">
        <f t="array" ref="J305">_xlfn.LET(_xlpm.text, E305,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5" s="14">
        <f t="shared" si="21"/>
        <v>45935</v>
      </c>
      <c r="L305" s="14">
        <f t="shared" si="22"/>
        <v>45935.624664351853</v>
      </c>
      <c r="N305" s="12"/>
    </row>
    <row r="306" spans="1:14" x14ac:dyDescent="0.25">
      <c r="A306" s="4" t="s">
        <v>229</v>
      </c>
      <c r="B306" s="16" t="str">
        <f t="shared" si="18"/>
        <v>SHYAM SUNDER BISHNOI</v>
      </c>
      <c r="C306" s="16" t="str">
        <f t="shared" si="19"/>
        <v>Chak No 6 Kharicharnan / Kolayat / Bikaner</v>
      </c>
      <c r="D306" s="4" t="s">
        <v>3030</v>
      </c>
      <c r="E306" s="4" t="s">
        <v>3119</v>
      </c>
      <c r="F306" s="5">
        <v>45931.999664351853</v>
      </c>
      <c r="G306" s="16" t="str">
        <f t="shared" si="20"/>
        <v>Gravel</v>
      </c>
      <c r="H306" s="4" t="s">
        <v>343</v>
      </c>
      <c r="I306" s="18" t="str" cm="1">
        <f t="array" ref="I306">_xlfn.LET(_xlpm.text, D306,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6" s="18" t="str" cm="1">
        <f t="array" ref="J306">_xlfn.LET(_xlpm.text, E306,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6" s="14">
        <f t="shared" si="21"/>
        <v>45932</v>
      </c>
      <c r="L306" s="14">
        <f t="shared" si="22"/>
        <v>45932.624664351853</v>
      </c>
      <c r="N306" s="12"/>
    </row>
    <row r="307" spans="1:14" x14ac:dyDescent="0.25">
      <c r="A307" s="4" t="s">
        <v>230</v>
      </c>
      <c r="B307" s="16" t="str">
        <f t="shared" si="18"/>
        <v>SHYAM SUNDER BISHNOI</v>
      </c>
      <c r="C307" s="16" t="str">
        <f t="shared" si="19"/>
        <v>Chak No 6 Kharicharnan / Kolayat / Bikaner</v>
      </c>
      <c r="D307" s="4" t="s">
        <v>3030</v>
      </c>
      <c r="E307" s="4" t="s">
        <v>3119</v>
      </c>
      <c r="F307" s="5">
        <v>45932.999664351853</v>
      </c>
      <c r="G307" s="16" t="str">
        <f t="shared" si="20"/>
        <v>Gravel</v>
      </c>
      <c r="H307" s="4" t="s">
        <v>401</v>
      </c>
      <c r="I307" s="18" t="str" cm="1">
        <f t="array" ref="I307">_xlfn.LET(_xlpm.text, D307,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7" s="18" t="str" cm="1">
        <f t="array" ref="J307">_xlfn.LET(_xlpm.text, E307,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7" s="14">
        <f t="shared" si="21"/>
        <v>45933</v>
      </c>
      <c r="L307" s="14">
        <f t="shared" si="22"/>
        <v>45933.624664351853</v>
      </c>
      <c r="N307" s="12"/>
    </row>
    <row r="308" spans="1:14" x14ac:dyDescent="0.25">
      <c r="A308" s="4" t="s">
        <v>231</v>
      </c>
      <c r="B308" s="16" t="str">
        <f t="shared" si="18"/>
        <v>SHYAM SUNDER BISHNOI</v>
      </c>
      <c r="C308" s="16" t="str">
        <f t="shared" si="19"/>
        <v>Chak No 6 Kharicharnan / Kolayat / Bikaner</v>
      </c>
      <c r="D308" s="4" t="s">
        <v>3030</v>
      </c>
      <c r="E308" s="4" t="s">
        <v>3119</v>
      </c>
      <c r="F308" s="5">
        <v>45932.999664351853</v>
      </c>
      <c r="G308" s="16" t="str">
        <f t="shared" si="20"/>
        <v>Gravel</v>
      </c>
      <c r="H308" s="4" t="s">
        <v>330</v>
      </c>
      <c r="I308" s="18" t="str" cm="1">
        <f t="array" ref="I308">_xlfn.LET(_xlpm.text, D308,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8" s="18" t="str" cm="1">
        <f t="array" ref="J308">_xlfn.LET(_xlpm.text, E308,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8" s="14">
        <f t="shared" si="21"/>
        <v>45933</v>
      </c>
      <c r="L308" s="14">
        <f t="shared" si="22"/>
        <v>45933.624664351853</v>
      </c>
      <c r="N308" s="12"/>
    </row>
    <row r="309" spans="1:14" x14ac:dyDescent="0.25">
      <c r="A309" s="4" t="s">
        <v>232</v>
      </c>
      <c r="B309" s="16" t="str">
        <f t="shared" si="18"/>
        <v>SHYAM SUNDER BISHNOI</v>
      </c>
      <c r="C309" s="16" t="str">
        <f t="shared" si="19"/>
        <v>Chak No 6 Kharicharnan / Kolayat / Bikaner</v>
      </c>
      <c r="D309" s="4" t="s">
        <v>3030</v>
      </c>
      <c r="E309" s="4" t="s">
        <v>3119</v>
      </c>
      <c r="F309" s="5">
        <v>45933.999664351853</v>
      </c>
      <c r="G309" s="16" t="str">
        <f t="shared" si="20"/>
        <v>Gravel</v>
      </c>
      <c r="H309" s="4" t="s">
        <v>330</v>
      </c>
      <c r="I309" s="18" t="str" cm="1">
        <f t="array" ref="I309">_xlfn.LET(_xlpm.text, D309,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09" s="18" t="str" cm="1">
        <f t="array" ref="J309">_xlfn.LET(_xlpm.text, E309,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09" s="14">
        <f t="shared" si="21"/>
        <v>45934</v>
      </c>
      <c r="L309" s="14">
        <f t="shared" si="22"/>
        <v>45934.624664351853</v>
      </c>
      <c r="N309" s="12"/>
    </row>
    <row r="310" spans="1:14" x14ac:dyDescent="0.25">
      <c r="A310" s="4" t="s">
        <v>233</v>
      </c>
      <c r="B310" s="16" t="str">
        <f t="shared" si="18"/>
        <v>SHYAM SUNDER BISHNOI</v>
      </c>
      <c r="C310" s="16" t="str">
        <f t="shared" si="19"/>
        <v>Chak No 6 Kharicharnan / Kolayat / Bikaner</v>
      </c>
      <c r="D310" s="4" t="s">
        <v>3030</v>
      </c>
      <c r="E310" s="4" t="s">
        <v>3119</v>
      </c>
      <c r="F310" s="5">
        <v>45933.999664351853</v>
      </c>
      <c r="G310" s="16" t="str">
        <f t="shared" si="20"/>
        <v>Gravel</v>
      </c>
      <c r="H310" s="4" t="s">
        <v>330</v>
      </c>
      <c r="I310" s="18" t="str" cm="1">
        <f t="array" ref="I310">_xlfn.LET(_xlpm.text, D310,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0" s="18" t="str" cm="1">
        <f t="array" ref="J310">_xlfn.LET(_xlpm.text, E310,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0" s="14">
        <f t="shared" si="21"/>
        <v>45934</v>
      </c>
      <c r="L310" s="14">
        <f t="shared" si="22"/>
        <v>45934.624664351853</v>
      </c>
      <c r="N310" s="12"/>
    </row>
    <row r="311" spans="1:14" x14ac:dyDescent="0.25">
      <c r="A311" s="4" t="s">
        <v>234</v>
      </c>
      <c r="B311" s="16" t="str">
        <f t="shared" si="18"/>
        <v>SHYAM SUNDER BISHNOI</v>
      </c>
      <c r="C311" s="16" t="str">
        <f t="shared" si="19"/>
        <v>Chak No 6 Kharicharnan / Kolayat / Bikaner</v>
      </c>
      <c r="D311" s="4" t="s">
        <v>3030</v>
      </c>
      <c r="E311" s="4" t="s">
        <v>3119</v>
      </c>
      <c r="F311" s="5">
        <v>45963.999664351853</v>
      </c>
      <c r="G311" s="16" t="str">
        <f t="shared" si="20"/>
        <v>Gravel</v>
      </c>
      <c r="H311" s="4" t="s">
        <v>330</v>
      </c>
      <c r="I311" s="18" t="str" cm="1">
        <f t="array" ref="I311">_xlfn.LET(_xlpm.text, D311,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1" s="18" t="str" cm="1">
        <f t="array" ref="J311">_xlfn.LET(_xlpm.text, E311,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1" s="14">
        <f t="shared" si="21"/>
        <v>45964</v>
      </c>
      <c r="L311" s="14">
        <f t="shared" si="22"/>
        <v>45964.624664351853</v>
      </c>
      <c r="N311" s="12"/>
    </row>
    <row r="312" spans="1:14" x14ac:dyDescent="0.25">
      <c r="A312" s="4" t="s">
        <v>235</v>
      </c>
      <c r="B312" s="16" t="str">
        <f t="shared" si="18"/>
        <v>SHYAM SUNDER BISHNOI</v>
      </c>
      <c r="C312" s="16" t="str">
        <f t="shared" si="19"/>
        <v>Chak No 6 Kharicharnan / Kolayat / Bikaner</v>
      </c>
      <c r="D312" s="4" t="s">
        <v>3030</v>
      </c>
      <c r="E312" s="4" t="s">
        <v>3119</v>
      </c>
      <c r="F312" s="5">
        <v>45963.999664351853</v>
      </c>
      <c r="G312" s="16" t="str">
        <f t="shared" si="20"/>
        <v>Gravel</v>
      </c>
      <c r="H312" s="4" t="s">
        <v>333</v>
      </c>
      <c r="I312" s="18" t="str" cm="1">
        <f t="array" ref="I312">_xlfn.LET(_xlpm.text, D312,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2" s="18" t="str" cm="1">
        <f t="array" ref="J312">_xlfn.LET(_xlpm.text, E312,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2" s="14">
        <f t="shared" si="21"/>
        <v>45964</v>
      </c>
      <c r="L312" s="14">
        <f t="shared" si="22"/>
        <v>45964.624664351853</v>
      </c>
      <c r="N312" s="12"/>
    </row>
    <row r="313" spans="1:14" x14ac:dyDescent="0.25">
      <c r="A313" s="4" t="s">
        <v>236</v>
      </c>
      <c r="B313" s="16" t="str">
        <f t="shared" si="18"/>
        <v>SHYAM SUNDER BISHNOI</v>
      </c>
      <c r="C313" s="16" t="str">
        <f t="shared" si="19"/>
        <v>Chak No 6 Kharicharnan / Kolayat / Bikaner</v>
      </c>
      <c r="D313" s="4" t="s">
        <v>3030</v>
      </c>
      <c r="E313" s="4" t="s">
        <v>3119</v>
      </c>
      <c r="F313" s="5">
        <v>45963.999664351853</v>
      </c>
      <c r="G313" s="16" t="str">
        <f t="shared" si="20"/>
        <v>Gravel</v>
      </c>
      <c r="H313" s="4" t="s">
        <v>330</v>
      </c>
      <c r="I313" s="18" t="str" cm="1">
        <f t="array" ref="I313">_xlfn.LET(_xlpm.text, D313,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3" s="18" t="str" cm="1">
        <f t="array" ref="J313">_xlfn.LET(_xlpm.text, E313,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3" s="14">
        <f t="shared" si="21"/>
        <v>45964</v>
      </c>
      <c r="L313" s="14">
        <f t="shared" si="22"/>
        <v>45964.624664351853</v>
      </c>
      <c r="N313" s="12"/>
    </row>
    <row r="314" spans="1:14" x14ac:dyDescent="0.25">
      <c r="A314" s="4" t="s">
        <v>237</v>
      </c>
      <c r="B314" s="16" t="str">
        <f t="shared" si="18"/>
        <v>SHYAM SUNDER BISHNOI</v>
      </c>
      <c r="C314" s="16" t="str">
        <f t="shared" si="19"/>
        <v>Chak No 6 Kharicharnan / Kolayat / Bikaner</v>
      </c>
      <c r="D314" s="4" t="s">
        <v>3030</v>
      </c>
      <c r="E314" s="4" t="s">
        <v>3119</v>
      </c>
      <c r="F314" s="5">
        <v>45963.999664351853</v>
      </c>
      <c r="G314" s="16" t="str">
        <f t="shared" si="20"/>
        <v>Gravel</v>
      </c>
      <c r="H314" s="4" t="s">
        <v>330</v>
      </c>
      <c r="I314" s="18" t="str" cm="1">
        <f t="array" ref="I314">_xlfn.LET(_xlpm.text, D314,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4" s="18" t="str" cm="1">
        <f t="array" ref="J314">_xlfn.LET(_xlpm.text, E314,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4" s="14">
        <f t="shared" si="21"/>
        <v>45964</v>
      </c>
      <c r="L314" s="14">
        <f t="shared" si="22"/>
        <v>45964.624664351853</v>
      </c>
      <c r="N314" s="12"/>
    </row>
    <row r="315" spans="1:14" x14ac:dyDescent="0.25">
      <c r="A315" s="4" t="s">
        <v>238</v>
      </c>
      <c r="B315" s="16" t="str">
        <f t="shared" si="18"/>
        <v>SHYAM SUNDER BISHNOI</v>
      </c>
      <c r="C315" s="16" t="str">
        <f t="shared" si="19"/>
        <v>Chak No 6 Kharicharnan / Kolayat / Bikaner</v>
      </c>
      <c r="D315" s="4" t="s">
        <v>3030</v>
      </c>
      <c r="E315" s="4" t="s">
        <v>3119</v>
      </c>
      <c r="F315" s="5">
        <v>45965.999664351853</v>
      </c>
      <c r="G315" s="16" t="str">
        <f t="shared" si="20"/>
        <v>Gravel</v>
      </c>
      <c r="H315" s="4" t="s">
        <v>354</v>
      </c>
      <c r="I315" s="18" t="str" cm="1">
        <f t="array" ref="I315">_xlfn.LET(_xlpm.text, D315,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5" s="18" t="str" cm="1">
        <f t="array" ref="J315">_xlfn.LET(_xlpm.text, E315,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5" s="14">
        <f t="shared" si="21"/>
        <v>45966</v>
      </c>
      <c r="L315" s="14">
        <f t="shared" si="22"/>
        <v>45966.624664351853</v>
      </c>
      <c r="N315" s="12"/>
    </row>
    <row r="316" spans="1:14" x14ac:dyDescent="0.25">
      <c r="A316" s="4" t="s">
        <v>239</v>
      </c>
      <c r="B316" s="16" t="str">
        <f t="shared" si="18"/>
        <v>SHYAM SUNDER BISHNOI</v>
      </c>
      <c r="C316" s="16" t="str">
        <f t="shared" si="19"/>
        <v>Chak No 6 Kharicharnan / Kolayat / Bikaner</v>
      </c>
      <c r="D316" s="4" t="s">
        <v>3030</v>
      </c>
      <c r="E316" s="4" t="s">
        <v>3119</v>
      </c>
      <c r="F316" s="5">
        <v>45965.999664351853</v>
      </c>
      <c r="G316" s="16" t="str">
        <f t="shared" si="20"/>
        <v>Gravel</v>
      </c>
      <c r="H316" s="4" t="s">
        <v>330</v>
      </c>
      <c r="I316" s="18" t="str" cm="1">
        <f t="array" ref="I316">_xlfn.LET(_xlpm.text, D316,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6" s="18" t="str" cm="1">
        <f t="array" ref="J316">_xlfn.LET(_xlpm.text, E316,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6" s="14">
        <f t="shared" si="21"/>
        <v>45966</v>
      </c>
      <c r="L316" s="14">
        <f t="shared" si="22"/>
        <v>45966.624664351853</v>
      </c>
      <c r="N316" s="12"/>
    </row>
    <row r="317" spans="1:14" x14ac:dyDescent="0.25">
      <c r="A317" s="4" t="s">
        <v>240</v>
      </c>
      <c r="B317" s="16" t="str">
        <f t="shared" si="18"/>
        <v>SHYAM SUNDER BISHNOI</v>
      </c>
      <c r="C317" s="16" t="str">
        <f t="shared" si="19"/>
        <v>Chak No 6 Kharicharnan / Kolayat / Bikaner</v>
      </c>
      <c r="D317" s="4" t="s">
        <v>3030</v>
      </c>
      <c r="E317" s="4" t="s">
        <v>3119</v>
      </c>
      <c r="F317" s="5">
        <v>45965.999664351853</v>
      </c>
      <c r="G317" s="16" t="str">
        <f t="shared" si="20"/>
        <v>Gravel</v>
      </c>
      <c r="H317" s="4" t="s">
        <v>333</v>
      </c>
      <c r="I317" s="18" t="str" cm="1">
        <f t="array" ref="I317">_xlfn.LET(_xlpm.text, D317,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7" s="18" t="str" cm="1">
        <f t="array" ref="J317">_xlfn.LET(_xlpm.text, E317,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7" s="14">
        <f t="shared" si="21"/>
        <v>45966</v>
      </c>
      <c r="L317" s="14">
        <f t="shared" si="22"/>
        <v>45966.624664351853</v>
      </c>
      <c r="N317" s="12"/>
    </row>
    <row r="318" spans="1:14" x14ac:dyDescent="0.25">
      <c r="A318" s="4" t="s">
        <v>241</v>
      </c>
      <c r="B318" s="16" t="str">
        <f t="shared" si="18"/>
        <v>SHYAM SUNDER BISHNOI</v>
      </c>
      <c r="C318" s="16" t="str">
        <f t="shared" si="19"/>
        <v>Chak No 6 Kharicharnan / Kolayat / Bikaner</v>
      </c>
      <c r="D318" s="4" t="s">
        <v>3030</v>
      </c>
      <c r="E318" s="4" t="s">
        <v>3119</v>
      </c>
      <c r="F318" s="5">
        <v>45952.999664351853</v>
      </c>
      <c r="G318" s="16" t="str">
        <f t="shared" si="20"/>
        <v>Gravel</v>
      </c>
      <c r="H318" s="4" t="s">
        <v>332</v>
      </c>
      <c r="I318" s="18" t="str" cm="1">
        <f t="array" ref="I318">_xlfn.LET(_xlpm.text, D318,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8" s="18" t="str" cm="1">
        <f t="array" ref="J318">_xlfn.LET(_xlpm.text, E318,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8" s="14">
        <f t="shared" si="21"/>
        <v>45953</v>
      </c>
      <c r="L318" s="14">
        <f t="shared" si="22"/>
        <v>45953.624664351853</v>
      </c>
      <c r="N318" s="12"/>
    </row>
    <row r="319" spans="1:14" x14ac:dyDescent="0.25">
      <c r="A319" s="4" t="s">
        <v>242</v>
      </c>
      <c r="B319" s="16" t="str">
        <f t="shared" si="18"/>
        <v>SHYAM SUNDER BISHNOI</v>
      </c>
      <c r="C319" s="16" t="str">
        <f t="shared" si="19"/>
        <v>Chak No 6 Kharicharnan / Kolayat / Bikaner</v>
      </c>
      <c r="D319" s="4" t="s">
        <v>3030</v>
      </c>
      <c r="E319" s="4" t="s">
        <v>3119</v>
      </c>
      <c r="F319" s="5">
        <v>45952.999664351853</v>
      </c>
      <c r="G319" s="16" t="str">
        <f t="shared" si="20"/>
        <v>Gravel</v>
      </c>
      <c r="H319" s="4" t="s">
        <v>402</v>
      </c>
      <c r="I319" s="18" t="str" cm="1">
        <f t="array" ref="I319">_xlfn.LET(_xlpm.text, D319,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19" s="18" t="str" cm="1">
        <f t="array" ref="J319">_xlfn.LET(_xlpm.text, E319,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19" s="14">
        <f t="shared" si="21"/>
        <v>45953</v>
      </c>
      <c r="L319" s="14">
        <f t="shared" si="22"/>
        <v>45953.624664351853</v>
      </c>
      <c r="N319" s="12"/>
    </row>
    <row r="320" spans="1:14" x14ac:dyDescent="0.25">
      <c r="A320" s="4" t="s">
        <v>243</v>
      </c>
      <c r="B320" s="16" t="str">
        <f t="shared" si="18"/>
        <v>SHYAM SUNDER BISHNOI</v>
      </c>
      <c r="C320" s="16" t="str">
        <f t="shared" si="19"/>
        <v>Chak No 6 Kharicharnan / Kolayat / Bikaner</v>
      </c>
      <c r="D320" s="4" t="s">
        <v>3030</v>
      </c>
      <c r="E320" s="4" t="s">
        <v>3119</v>
      </c>
      <c r="F320" s="5">
        <v>45952.999664351853</v>
      </c>
      <c r="G320" s="16" t="str">
        <f t="shared" si="20"/>
        <v>Gravel</v>
      </c>
      <c r="H320" s="4" t="s">
        <v>403</v>
      </c>
      <c r="I320" s="18" t="str" cm="1">
        <f t="array" ref="I320">_xlfn.LET(_xlpm.text, D320,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0" s="18" t="str" cm="1">
        <f t="array" ref="J320">_xlfn.LET(_xlpm.text, E320,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0" s="14">
        <f t="shared" si="21"/>
        <v>45953</v>
      </c>
      <c r="L320" s="14">
        <f t="shared" si="22"/>
        <v>45953.624664351853</v>
      </c>
      <c r="N320" s="12"/>
    </row>
    <row r="321" spans="1:14" x14ac:dyDescent="0.25">
      <c r="A321" s="4" t="s">
        <v>244</v>
      </c>
      <c r="B321" s="16" t="str">
        <f t="shared" si="18"/>
        <v>SHYAM SUNDER BISHNOI</v>
      </c>
      <c r="C321" s="16" t="str">
        <f t="shared" si="19"/>
        <v>Chak No 6 Kharicharnan / Kolayat / Bikaner</v>
      </c>
      <c r="D321" s="4" t="s">
        <v>3030</v>
      </c>
      <c r="E321" s="4" t="s">
        <v>3119</v>
      </c>
      <c r="F321" s="5">
        <v>45952.999664351853</v>
      </c>
      <c r="G321" s="16" t="str">
        <f t="shared" si="20"/>
        <v>Gravel</v>
      </c>
      <c r="H321" s="4" t="s">
        <v>404</v>
      </c>
      <c r="I321" s="18" t="str" cm="1">
        <f t="array" ref="I321">_xlfn.LET(_xlpm.text, D321,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1" s="18" t="str" cm="1">
        <f t="array" ref="J321">_xlfn.LET(_xlpm.text, E321,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1" s="14">
        <f t="shared" si="21"/>
        <v>45953</v>
      </c>
      <c r="L321" s="14">
        <f t="shared" si="22"/>
        <v>45953.624664351853</v>
      </c>
      <c r="N321" s="12"/>
    </row>
    <row r="322" spans="1:14" x14ac:dyDescent="0.25">
      <c r="A322" s="4" t="s">
        <v>245</v>
      </c>
      <c r="B322" s="16" t="str">
        <f t="shared" ref="B322:B385" si="23">VLOOKUP(LEFT($A322,4)&amp;"*",$O$3:$R$17, 2, FALSE)</f>
        <v>SHYAM SUNDER BISHNOI</v>
      </c>
      <c r="C322" s="16" t="str">
        <f t="shared" ref="C322:C385" si="24">VLOOKUP(LEFT($A322,4)&amp;"*",$O$3:$R$17, 3, FALSE)</f>
        <v>Chak No 6 Kharicharnan / Kolayat / Bikaner</v>
      </c>
      <c r="D322" s="4" t="s">
        <v>3030</v>
      </c>
      <c r="E322" s="4" t="s">
        <v>3119</v>
      </c>
      <c r="F322" s="5">
        <v>45952.999664351853</v>
      </c>
      <c r="G322" s="16" t="str">
        <f t="shared" ref="G322:G385" si="25">VLOOKUP(LEFT($A322,4)&amp;"*",$O$3:$R$17, 4, FALSE)</f>
        <v>Gravel</v>
      </c>
      <c r="H322" s="4" t="s">
        <v>330</v>
      </c>
      <c r="I322" s="18" t="str" cm="1">
        <f t="array" ref="I322">_xlfn.LET(_xlpm.text, D322,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2" s="18" t="str" cm="1">
        <f t="array" ref="J322">_xlfn.LET(_xlpm.text, E322,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2" s="14">
        <f t="shared" si="21"/>
        <v>45953</v>
      </c>
      <c r="L322" s="14">
        <f t="shared" si="22"/>
        <v>45953.624664351853</v>
      </c>
      <c r="N322" s="12"/>
    </row>
    <row r="323" spans="1:14" x14ac:dyDescent="0.25">
      <c r="A323" s="4" t="s">
        <v>246</v>
      </c>
      <c r="B323" s="16" t="str">
        <f t="shared" si="23"/>
        <v>SHYAM SUNDER BISHNOI</v>
      </c>
      <c r="C323" s="16" t="str">
        <f t="shared" si="24"/>
        <v>Chak No 6 Kharicharnan / Kolayat / Bikaner</v>
      </c>
      <c r="D323" s="4" t="s">
        <v>3030</v>
      </c>
      <c r="E323" s="4" t="s">
        <v>3119</v>
      </c>
      <c r="F323" s="5">
        <v>45952.999664351853</v>
      </c>
      <c r="G323" s="16" t="str">
        <f t="shared" si="25"/>
        <v>Gravel</v>
      </c>
      <c r="H323" s="4" t="s">
        <v>330</v>
      </c>
      <c r="I323" s="18" t="str" cm="1">
        <f t="array" ref="I323">_xlfn.LET(_xlpm.text, D323,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3" s="18" t="str" cm="1">
        <f t="array" ref="J323">_xlfn.LET(_xlpm.text, E323,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3" s="14">
        <f t="shared" ref="K323:K386" si="26">F323+(29/86400)</f>
        <v>45953</v>
      </c>
      <c r="L323" s="14">
        <f t="shared" ref="L323:L386" si="27">F323+(15/24)</f>
        <v>45953.624664351853</v>
      </c>
      <c r="N323" s="12"/>
    </row>
    <row r="324" spans="1:14" x14ac:dyDescent="0.25">
      <c r="A324" s="4" t="s">
        <v>247</v>
      </c>
      <c r="B324" s="16" t="str">
        <f t="shared" si="23"/>
        <v>SHYAM SUNDER BISHNOI</v>
      </c>
      <c r="C324" s="16" t="str">
        <f t="shared" si="24"/>
        <v>Chak No 6 Kharicharnan / Kolayat / Bikaner</v>
      </c>
      <c r="D324" s="4" t="s">
        <v>3030</v>
      </c>
      <c r="E324" s="4" t="s">
        <v>3119</v>
      </c>
      <c r="F324" s="5">
        <v>45954.999664351853</v>
      </c>
      <c r="G324" s="16" t="str">
        <f t="shared" si="25"/>
        <v>Gravel</v>
      </c>
      <c r="H324" s="4" t="s">
        <v>405</v>
      </c>
      <c r="I324" s="18" t="str" cm="1">
        <f t="array" ref="I324">_xlfn.LET(_xlpm.text, D324,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4" s="18" t="str" cm="1">
        <f t="array" ref="J324">_xlfn.LET(_xlpm.text, E324,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4" s="14">
        <f t="shared" si="26"/>
        <v>45955</v>
      </c>
      <c r="L324" s="14">
        <f t="shared" si="27"/>
        <v>45955.624664351853</v>
      </c>
      <c r="N324" s="12"/>
    </row>
    <row r="325" spans="1:14" x14ac:dyDescent="0.25">
      <c r="A325" s="4" t="s">
        <v>248</v>
      </c>
      <c r="B325" s="16" t="str">
        <f t="shared" si="23"/>
        <v>SHYAM SUNDER BISHNOI</v>
      </c>
      <c r="C325" s="16" t="str">
        <f t="shared" si="24"/>
        <v>Chak No 6 Kharicharnan / Kolayat / Bikaner</v>
      </c>
      <c r="D325" s="4" t="s">
        <v>3030</v>
      </c>
      <c r="E325" s="4" t="s">
        <v>3119</v>
      </c>
      <c r="F325" s="5">
        <v>45953.999664351853</v>
      </c>
      <c r="G325" s="16" t="str">
        <f t="shared" si="25"/>
        <v>Gravel</v>
      </c>
      <c r="H325" s="4" t="s">
        <v>401</v>
      </c>
      <c r="I325" s="18" t="str" cm="1">
        <f t="array" ref="I325">_xlfn.LET(_xlpm.text, D325,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5" s="18" t="str" cm="1">
        <f t="array" ref="J325">_xlfn.LET(_xlpm.text, E325,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5" s="14">
        <f t="shared" si="26"/>
        <v>45954</v>
      </c>
      <c r="L325" s="14">
        <f t="shared" si="27"/>
        <v>45954.624664351853</v>
      </c>
      <c r="N325" s="12"/>
    </row>
    <row r="326" spans="1:14" x14ac:dyDescent="0.25">
      <c r="A326" s="4" t="s">
        <v>249</v>
      </c>
      <c r="B326" s="16" t="str">
        <f t="shared" si="23"/>
        <v>SHYAM SUNDER BISHNOI</v>
      </c>
      <c r="C326" s="16" t="str">
        <f t="shared" si="24"/>
        <v>Chak No 6 Kharicharnan / Kolayat / Bikaner</v>
      </c>
      <c r="D326" s="4" t="s">
        <v>3030</v>
      </c>
      <c r="E326" s="4" t="s">
        <v>3119</v>
      </c>
      <c r="F326" s="5">
        <v>45952.999664351853</v>
      </c>
      <c r="G326" s="16" t="str">
        <f t="shared" si="25"/>
        <v>Gravel</v>
      </c>
      <c r="H326" s="4" t="s">
        <v>333</v>
      </c>
      <c r="I326" s="18" t="str" cm="1">
        <f t="array" ref="I326">_xlfn.LET(_xlpm.text, D326,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6" s="18" t="str" cm="1">
        <f t="array" ref="J326">_xlfn.LET(_xlpm.text, E326,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6" s="14">
        <f t="shared" si="26"/>
        <v>45953</v>
      </c>
      <c r="L326" s="14">
        <f t="shared" si="27"/>
        <v>45953.624664351853</v>
      </c>
      <c r="N326" s="12"/>
    </row>
    <row r="327" spans="1:14" x14ac:dyDescent="0.25">
      <c r="A327" s="4" t="s">
        <v>250</v>
      </c>
      <c r="B327" s="16" t="str">
        <f t="shared" si="23"/>
        <v>SHYAM SUNDER BISHNOI</v>
      </c>
      <c r="C327" s="16" t="str">
        <f t="shared" si="24"/>
        <v>Chak No 6 Kharicharnan / Kolayat / Bikaner</v>
      </c>
      <c r="D327" s="4" t="s">
        <v>3030</v>
      </c>
      <c r="E327" s="4" t="s">
        <v>3119</v>
      </c>
      <c r="F327" s="5">
        <v>45953.999664351853</v>
      </c>
      <c r="G327" s="16" t="str">
        <f t="shared" si="25"/>
        <v>Gravel</v>
      </c>
      <c r="H327" s="4" t="s">
        <v>330</v>
      </c>
      <c r="I327" s="18" t="str" cm="1">
        <f t="array" ref="I327">_xlfn.LET(_xlpm.text, D327,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7" s="18" t="str" cm="1">
        <f t="array" ref="J327">_xlfn.LET(_xlpm.text, E327,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7" s="14">
        <f t="shared" si="26"/>
        <v>45954</v>
      </c>
      <c r="L327" s="14">
        <f t="shared" si="27"/>
        <v>45954.624664351853</v>
      </c>
      <c r="N327" s="12"/>
    </row>
    <row r="328" spans="1:14" x14ac:dyDescent="0.25">
      <c r="A328" s="4" t="s">
        <v>251</v>
      </c>
      <c r="B328" s="16" t="str">
        <f t="shared" si="23"/>
        <v>SHYAM SUNDER BISHNOI</v>
      </c>
      <c r="C328" s="16" t="str">
        <f t="shared" si="24"/>
        <v>Chak No 6 Kharicharnan / Kolayat / Bikaner</v>
      </c>
      <c r="D328" s="4" t="s">
        <v>3030</v>
      </c>
      <c r="E328" s="4" t="s">
        <v>3119</v>
      </c>
      <c r="F328" s="5">
        <v>45957.999664351853</v>
      </c>
      <c r="G328" s="16" t="str">
        <f t="shared" si="25"/>
        <v>Gravel</v>
      </c>
      <c r="H328" s="4" t="s">
        <v>330</v>
      </c>
      <c r="I328" s="18" t="str" cm="1">
        <f t="array" ref="I328">_xlfn.LET(_xlpm.text, D328,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8" s="18" t="str" cm="1">
        <f t="array" ref="J328">_xlfn.LET(_xlpm.text, E328,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8" s="14">
        <f t="shared" si="26"/>
        <v>45958</v>
      </c>
      <c r="L328" s="14">
        <f t="shared" si="27"/>
        <v>45958.624664351853</v>
      </c>
      <c r="N328" s="12"/>
    </row>
    <row r="329" spans="1:14" x14ac:dyDescent="0.25">
      <c r="A329" s="4" t="s">
        <v>252</v>
      </c>
      <c r="B329" s="16" t="str">
        <f t="shared" si="23"/>
        <v>SHYAM SUNDER BISHNOI</v>
      </c>
      <c r="C329" s="16" t="str">
        <f t="shared" si="24"/>
        <v>Chak No 6 Kharicharnan / Kolayat / Bikaner</v>
      </c>
      <c r="D329" s="4" t="s">
        <v>3030</v>
      </c>
      <c r="E329" s="4" t="s">
        <v>3119</v>
      </c>
      <c r="F329" s="5">
        <v>45957.999664351853</v>
      </c>
      <c r="G329" s="16" t="str">
        <f t="shared" si="25"/>
        <v>Gravel</v>
      </c>
      <c r="H329" s="4" t="s">
        <v>333</v>
      </c>
      <c r="I329" s="18" t="str" cm="1">
        <f t="array" ref="I329">_xlfn.LET(_xlpm.text, D329,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29" s="18" t="str" cm="1">
        <f t="array" ref="J329">_xlfn.LET(_xlpm.text, E329,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29" s="14">
        <f t="shared" si="26"/>
        <v>45958</v>
      </c>
      <c r="L329" s="14">
        <f t="shared" si="27"/>
        <v>45958.624664351853</v>
      </c>
      <c r="N329" s="12"/>
    </row>
    <row r="330" spans="1:14" x14ac:dyDescent="0.25">
      <c r="A330" s="4" t="s">
        <v>253</v>
      </c>
      <c r="B330" s="16" t="str">
        <f t="shared" si="23"/>
        <v>SHYAM SUNDER BISHNOI</v>
      </c>
      <c r="C330" s="16" t="str">
        <f t="shared" si="24"/>
        <v>Chak No 6 Kharicharnan / Kolayat / Bikaner</v>
      </c>
      <c r="D330" s="4" t="s">
        <v>3030</v>
      </c>
      <c r="E330" s="4" t="s">
        <v>3119</v>
      </c>
      <c r="F330" s="5">
        <v>45957.999664351853</v>
      </c>
      <c r="G330" s="16" t="str">
        <f t="shared" si="25"/>
        <v>Gravel</v>
      </c>
      <c r="H330" s="4" t="s">
        <v>330</v>
      </c>
      <c r="I330" s="18" t="str" cm="1">
        <f t="array" ref="I330">_xlfn.LET(_xlpm.text, D330,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0" s="18" t="str" cm="1">
        <f t="array" ref="J330">_xlfn.LET(_xlpm.text, E330,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0" s="14">
        <f t="shared" si="26"/>
        <v>45958</v>
      </c>
      <c r="L330" s="14">
        <f t="shared" si="27"/>
        <v>45958.624664351853</v>
      </c>
      <c r="N330" s="12"/>
    </row>
    <row r="331" spans="1:14" x14ac:dyDescent="0.25">
      <c r="A331" s="4" t="s">
        <v>254</v>
      </c>
      <c r="B331" s="16" t="str">
        <f t="shared" si="23"/>
        <v>SHYAM SUNDER BISHNOI</v>
      </c>
      <c r="C331" s="16" t="str">
        <f t="shared" si="24"/>
        <v>Chak No 6 Kharicharnan / Kolayat / Bikaner</v>
      </c>
      <c r="D331" s="4" t="s">
        <v>3030</v>
      </c>
      <c r="E331" s="4" t="s">
        <v>3119</v>
      </c>
      <c r="F331" s="5">
        <v>45957.999664351853</v>
      </c>
      <c r="G331" s="16" t="str">
        <f t="shared" si="25"/>
        <v>Gravel</v>
      </c>
      <c r="H331" s="4" t="s">
        <v>397</v>
      </c>
      <c r="I331" s="18" t="str" cm="1">
        <f t="array" ref="I331">_xlfn.LET(_xlpm.text, D331,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1" s="18" t="str" cm="1">
        <f t="array" ref="J331">_xlfn.LET(_xlpm.text, E331,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1" s="14">
        <f t="shared" si="26"/>
        <v>45958</v>
      </c>
      <c r="L331" s="14">
        <f t="shared" si="27"/>
        <v>45958.624664351853</v>
      </c>
      <c r="N331" s="12"/>
    </row>
    <row r="332" spans="1:14" x14ac:dyDescent="0.25">
      <c r="A332" s="4" t="s">
        <v>255</v>
      </c>
      <c r="B332" s="16" t="str">
        <f t="shared" si="23"/>
        <v>SHYAM SUNDER BISHNOI</v>
      </c>
      <c r="C332" s="16" t="str">
        <f t="shared" si="24"/>
        <v>Chak No 6 Kharicharnan / Kolayat / Bikaner</v>
      </c>
      <c r="D332" s="4" t="s">
        <v>3030</v>
      </c>
      <c r="E332" s="4" t="s">
        <v>3119</v>
      </c>
      <c r="F332" s="5">
        <v>45957.999664351853</v>
      </c>
      <c r="G332" s="16" t="str">
        <f t="shared" si="25"/>
        <v>Gravel</v>
      </c>
      <c r="H332" s="4" t="s">
        <v>397</v>
      </c>
      <c r="I332" s="18" t="str" cm="1">
        <f t="array" ref="I332">_xlfn.LET(_xlpm.text, D332,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2" s="18" t="str" cm="1">
        <f t="array" ref="J332">_xlfn.LET(_xlpm.text, E332,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2" s="14">
        <f t="shared" si="26"/>
        <v>45958</v>
      </c>
      <c r="L332" s="14">
        <f t="shared" si="27"/>
        <v>45958.624664351853</v>
      </c>
      <c r="N332" s="12"/>
    </row>
    <row r="333" spans="1:14" x14ac:dyDescent="0.25">
      <c r="A333" s="4" t="s">
        <v>256</v>
      </c>
      <c r="B333" s="16" t="str">
        <f t="shared" si="23"/>
        <v>SHYAM SUNDER BISHNOI</v>
      </c>
      <c r="C333" s="16" t="str">
        <f t="shared" si="24"/>
        <v>Chak No 6 Kharicharnan / Kolayat / Bikaner</v>
      </c>
      <c r="D333" s="4" t="s">
        <v>3030</v>
      </c>
      <c r="E333" s="4" t="s">
        <v>3119</v>
      </c>
      <c r="F333" s="5">
        <v>45957.999664351853</v>
      </c>
      <c r="G333" s="16" t="str">
        <f t="shared" si="25"/>
        <v>Gravel</v>
      </c>
      <c r="H333" s="4" t="s">
        <v>362</v>
      </c>
      <c r="I333" s="18" t="str" cm="1">
        <f t="array" ref="I333">_xlfn.LET(_xlpm.text, D333,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3" s="18" t="str" cm="1">
        <f t="array" ref="J333">_xlfn.LET(_xlpm.text, E333,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3" s="14">
        <f t="shared" si="26"/>
        <v>45958</v>
      </c>
      <c r="L333" s="14">
        <f t="shared" si="27"/>
        <v>45958.624664351853</v>
      </c>
      <c r="N333" s="12"/>
    </row>
    <row r="334" spans="1:14" x14ac:dyDescent="0.25">
      <c r="A334" s="4" t="s">
        <v>257</v>
      </c>
      <c r="B334" s="16" t="str">
        <f t="shared" si="23"/>
        <v>SHYAM SUNDER BISHNOI</v>
      </c>
      <c r="C334" s="16" t="str">
        <f t="shared" si="24"/>
        <v>Chak No 6 Kharicharnan / Kolayat / Bikaner</v>
      </c>
      <c r="D334" s="4" t="s">
        <v>3030</v>
      </c>
      <c r="E334" s="4" t="s">
        <v>3119</v>
      </c>
      <c r="F334" s="5">
        <v>45957.999664351853</v>
      </c>
      <c r="G334" s="16" t="str">
        <f t="shared" si="25"/>
        <v>Gravel</v>
      </c>
      <c r="H334" s="4" t="s">
        <v>330</v>
      </c>
      <c r="I334" s="18" t="str" cm="1">
        <f t="array" ref="I334">_xlfn.LET(_xlpm.text, D334,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4" s="18" t="str" cm="1">
        <f t="array" ref="J334">_xlfn.LET(_xlpm.text, E334,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4" s="14">
        <f t="shared" si="26"/>
        <v>45958</v>
      </c>
      <c r="L334" s="14">
        <f t="shared" si="27"/>
        <v>45958.624664351853</v>
      </c>
      <c r="N334" s="12"/>
    </row>
    <row r="335" spans="1:14" x14ac:dyDescent="0.25">
      <c r="A335" s="4" t="s">
        <v>258</v>
      </c>
      <c r="B335" s="16" t="str">
        <f t="shared" si="23"/>
        <v>SHYAM SUNDER BISHNOI</v>
      </c>
      <c r="C335" s="16" t="str">
        <f t="shared" si="24"/>
        <v>Chak No 6 Kharicharnan / Kolayat / Bikaner</v>
      </c>
      <c r="D335" s="4" t="s">
        <v>3030</v>
      </c>
      <c r="E335" s="4" t="s">
        <v>3119</v>
      </c>
      <c r="F335" s="5">
        <v>45957.999664351853</v>
      </c>
      <c r="G335" s="16" t="str">
        <f t="shared" si="25"/>
        <v>Gravel</v>
      </c>
      <c r="H335" s="4" t="s">
        <v>330</v>
      </c>
      <c r="I335" s="18" t="str" cm="1">
        <f t="array" ref="I335">_xlfn.LET(_xlpm.text, D335,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5" s="18" t="str" cm="1">
        <f t="array" ref="J335">_xlfn.LET(_xlpm.text, E335,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5" s="14">
        <f t="shared" si="26"/>
        <v>45958</v>
      </c>
      <c r="L335" s="14">
        <f t="shared" si="27"/>
        <v>45958.624664351853</v>
      </c>
      <c r="N335" s="12"/>
    </row>
    <row r="336" spans="1:14" x14ac:dyDescent="0.25">
      <c r="A336" s="4" t="s">
        <v>259</v>
      </c>
      <c r="B336" s="16" t="str">
        <f t="shared" si="23"/>
        <v>SHYAM SUNDER BISHNOI</v>
      </c>
      <c r="C336" s="16" t="str">
        <f t="shared" si="24"/>
        <v>Chak No 6 Kharicharnan / Kolayat / Bikaner</v>
      </c>
      <c r="D336" s="4" t="s">
        <v>3030</v>
      </c>
      <c r="E336" s="4" t="s">
        <v>3119</v>
      </c>
      <c r="F336" s="5">
        <v>45952.999664351853</v>
      </c>
      <c r="G336" s="16" t="str">
        <f t="shared" si="25"/>
        <v>Gravel</v>
      </c>
      <c r="H336" s="4" t="s">
        <v>342</v>
      </c>
      <c r="I336" s="18" t="str" cm="1">
        <f t="array" ref="I336">_xlfn.LET(_xlpm.text, D336,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6" s="18" t="str" cm="1">
        <f t="array" ref="J336">_xlfn.LET(_xlpm.text, E336,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6" s="14">
        <f t="shared" si="26"/>
        <v>45953</v>
      </c>
      <c r="L336" s="14">
        <f t="shared" si="27"/>
        <v>45953.624664351853</v>
      </c>
      <c r="N336" s="12"/>
    </row>
    <row r="337" spans="1:14" x14ac:dyDescent="0.25">
      <c r="A337" s="4" t="s">
        <v>260</v>
      </c>
      <c r="B337" s="16" t="str">
        <f t="shared" si="23"/>
        <v>SHYAM SUNDER BISHNOI</v>
      </c>
      <c r="C337" s="16" t="str">
        <f t="shared" si="24"/>
        <v>Chak No 6 Kharicharnan / Kolayat / Bikaner</v>
      </c>
      <c r="D337" s="4" t="s">
        <v>3030</v>
      </c>
      <c r="E337" s="4" t="s">
        <v>3119</v>
      </c>
      <c r="F337" s="5">
        <v>45952.999664351853</v>
      </c>
      <c r="G337" s="16" t="str">
        <f t="shared" si="25"/>
        <v>Gravel</v>
      </c>
      <c r="H337" s="4" t="s">
        <v>330</v>
      </c>
      <c r="I337" s="18" t="str" cm="1">
        <f t="array" ref="I337">_xlfn.LET(_xlpm.text, D337,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7" s="18" t="str" cm="1">
        <f t="array" ref="J337">_xlfn.LET(_xlpm.text, E337,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7" s="14">
        <f t="shared" si="26"/>
        <v>45953</v>
      </c>
      <c r="L337" s="14">
        <f t="shared" si="27"/>
        <v>45953.624664351853</v>
      </c>
      <c r="N337" s="12"/>
    </row>
    <row r="338" spans="1:14" x14ac:dyDescent="0.25">
      <c r="A338" s="4" t="s">
        <v>261</v>
      </c>
      <c r="B338" s="16" t="str">
        <f t="shared" si="23"/>
        <v>SHYAM SUNDER BISHNOI</v>
      </c>
      <c r="C338" s="16" t="str">
        <f t="shared" si="24"/>
        <v>Chak No 6 Kharicharnan / Kolayat / Bikaner</v>
      </c>
      <c r="D338" s="4" t="s">
        <v>3030</v>
      </c>
      <c r="E338" s="4" t="s">
        <v>3119</v>
      </c>
      <c r="F338" s="5">
        <v>45921.999664351853</v>
      </c>
      <c r="G338" s="16" t="str">
        <f t="shared" si="25"/>
        <v>Gravel</v>
      </c>
      <c r="H338" s="4" t="s">
        <v>406</v>
      </c>
      <c r="I338" s="18" t="str" cm="1">
        <f t="array" ref="I338">_xlfn.LET(_xlpm.text, D338,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8" s="18" t="str" cm="1">
        <f t="array" ref="J338">_xlfn.LET(_xlpm.text, E338,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8" s="14">
        <f t="shared" si="26"/>
        <v>45922</v>
      </c>
      <c r="L338" s="14">
        <f t="shared" si="27"/>
        <v>45922.624664351853</v>
      </c>
      <c r="N338" s="12"/>
    </row>
    <row r="339" spans="1:14" x14ac:dyDescent="0.25">
      <c r="A339" s="4" t="s">
        <v>262</v>
      </c>
      <c r="B339" s="16" t="str">
        <f t="shared" si="23"/>
        <v>SHYAM SUNDER BISHNOI</v>
      </c>
      <c r="C339" s="16" t="str">
        <f t="shared" si="24"/>
        <v>Chak No 6 Kharicharnan / Kolayat / Bikaner</v>
      </c>
      <c r="D339" s="4" t="s">
        <v>3030</v>
      </c>
      <c r="E339" s="4" t="s">
        <v>3119</v>
      </c>
      <c r="F339" s="5">
        <v>45899.999664351853</v>
      </c>
      <c r="G339" s="16" t="str">
        <f t="shared" si="25"/>
        <v>Gravel</v>
      </c>
      <c r="H339" s="4" t="s">
        <v>336</v>
      </c>
      <c r="I339" s="18" t="str" cm="1">
        <f t="array" ref="I339">_xlfn.LET(_xlpm.text, D339,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39" s="18" t="str" cm="1">
        <f t="array" ref="J339">_xlfn.LET(_xlpm.text, E339,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39" s="14">
        <f t="shared" si="26"/>
        <v>45900</v>
      </c>
      <c r="L339" s="14">
        <f t="shared" si="27"/>
        <v>45900.624664351853</v>
      </c>
      <c r="N339" s="12"/>
    </row>
    <row r="340" spans="1:14" x14ac:dyDescent="0.25">
      <c r="A340" s="4" t="s">
        <v>263</v>
      </c>
      <c r="B340" s="16" t="str">
        <f t="shared" si="23"/>
        <v>SHYAM SUNDER BISHNOI</v>
      </c>
      <c r="C340" s="16" t="str">
        <f t="shared" si="24"/>
        <v>Chak No 6 Kharicharnan / Kolayat / Bikaner</v>
      </c>
      <c r="D340" s="4" t="s">
        <v>3030</v>
      </c>
      <c r="E340" s="4" t="s">
        <v>3119</v>
      </c>
      <c r="F340" s="5">
        <v>45959.999664351853</v>
      </c>
      <c r="G340" s="16" t="str">
        <f t="shared" si="25"/>
        <v>Gravel</v>
      </c>
      <c r="H340" s="4" t="s">
        <v>404</v>
      </c>
      <c r="I340" s="18" t="str" cm="1">
        <f t="array" ref="I340">_xlfn.LET(_xlpm.text, D340,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0" s="18" t="str" cm="1">
        <f t="array" ref="J340">_xlfn.LET(_xlpm.text, E340,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0" s="14">
        <f t="shared" si="26"/>
        <v>45960</v>
      </c>
      <c r="L340" s="14">
        <f t="shared" si="27"/>
        <v>45960.624664351853</v>
      </c>
      <c r="N340" s="12"/>
    </row>
    <row r="341" spans="1:14" x14ac:dyDescent="0.25">
      <c r="A341" s="4" t="s">
        <v>264</v>
      </c>
      <c r="B341" s="16" t="str">
        <f t="shared" si="23"/>
        <v>SHYAM SUNDER BISHNOI</v>
      </c>
      <c r="C341" s="16" t="str">
        <f t="shared" si="24"/>
        <v>Chak No 6 Kharicharnan / Kolayat / Bikaner</v>
      </c>
      <c r="D341" s="4" t="s">
        <v>3030</v>
      </c>
      <c r="E341" s="4" t="s">
        <v>3119</v>
      </c>
      <c r="F341" s="5">
        <v>45900.999664351853</v>
      </c>
      <c r="G341" s="16" t="str">
        <f t="shared" si="25"/>
        <v>Gravel</v>
      </c>
      <c r="H341" s="4" t="s">
        <v>330</v>
      </c>
      <c r="I341" s="18" t="str" cm="1">
        <f t="array" ref="I341">_xlfn.LET(_xlpm.text, D341,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1" s="18" t="str" cm="1">
        <f t="array" ref="J341">_xlfn.LET(_xlpm.text, E341,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1" s="14">
        <f t="shared" si="26"/>
        <v>45901</v>
      </c>
      <c r="L341" s="14">
        <f t="shared" si="27"/>
        <v>45901.624664351853</v>
      </c>
      <c r="N341" s="12"/>
    </row>
    <row r="342" spans="1:14" x14ac:dyDescent="0.25">
      <c r="A342" s="4" t="s">
        <v>265</v>
      </c>
      <c r="B342" s="16" t="str">
        <f t="shared" si="23"/>
        <v>SHYAM SUNDER BISHNOI</v>
      </c>
      <c r="C342" s="16" t="str">
        <f t="shared" si="24"/>
        <v>Chak No 6 Kharicharnan / Kolayat / Bikaner</v>
      </c>
      <c r="D342" s="4" t="s">
        <v>3030</v>
      </c>
      <c r="E342" s="4" t="s">
        <v>3119</v>
      </c>
      <c r="F342" s="5">
        <v>45898.999664351853</v>
      </c>
      <c r="G342" s="16" t="str">
        <f t="shared" si="25"/>
        <v>Gravel</v>
      </c>
      <c r="H342" s="4" t="s">
        <v>330</v>
      </c>
      <c r="I342" s="18" t="str" cm="1">
        <f t="array" ref="I342">_xlfn.LET(_xlpm.text, D342,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2" s="18" t="str" cm="1">
        <f t="array" ref="J342">_xlfn.LET(_xlpm.text, E342,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2" s="14">
        <f t="shared" si="26"/>
        <v>45899</v>
      </c>
      <c r="L342" s="14">
        <f t="shared" si="27"/>
        <v>45899.624664351853</v>
      </c>
      <c r="N342" s="12"/>
    </row>
    <row r="343" spans="1:14" x14ac:dyDescent="0.25">
      <c r="A343" s="4" t="s">
        <v>266</v>
      </c>
      <c r="B343" s="16" t="str">
        <f t="shared" si="23"/>
        <v>SHYAM SUNDER BISHNOI</v>
      </c>
      <c r="C343" s="16" t="str">
        <f t="shared" si="24"/>
        <v>Chak No 6 Kharicharnan / Kolayat / Bikaner</v>
      </c>
      <c r="D343" s="4" t="s">
        <v>3030</v>
      </c>
      <c r="E343" s="4" t="s">
        <v>3119</v>
      </c>
      <c r="F343" s="5">
        <v>45899.999664351853</v>
      </c>
      <c r="G343" s="16" t="str">
        <f t="shared" si="25"/>
        <v>Gravel</v>
      </c>
      <c r="H343" s="4" t="s">
        <v>328</v>
      </c>
      <c r="I343" s="18" t="str" cm="1">
        <f t="array" ref="I343">_xlfn.LET(_xlpm.text, D343,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3" s="18" t="str" cm="1">
        <f t="array" ref="J343">_xlfn.LET(_xlpm.text, E343,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3" s="14">
        <f t="shared" si="26"/>
        <v>45900</v>
      </c>
      <c r="L343" s="14">
        <f t="shared" si="27"/>
        <v>45900.624664351853</v>
      </c>
      <c r="N343" s="12"/>
    </row>
    <row r="344" spans="1:14" x14ac:dyDescent="0.25">
      <c r="A344" s="4" t="s">
        <v>267</v>
      </c>
      <c r="B344" s="16" t="str">
        <f t="shared" si="23"/>
        <v>SHYAM SUNDER BISHNOI</v>
      </c>
      <c r="C344" s="16" t="str">
        <f t="shared" si="24"/>
        <v>Chak No 6 Kharicharnan / Kolayat / Bikaner</v>
      </c>
      <c r="D344" s="4" t="s">
        <v>3030</v>
      </c>
      <c r="E344" s="4" t="s">
        <v>3119</v>
      </c>
      <c r="F344" s="5">
        <v>45898.999664351853</v>
      </c>
      <c r="G344" s="16" t="str">
        <f t="shared" si="25"/>
        <v>Gravel</v>
      </c>
      <c r="H344" s="4" t="s">
        <v>342</v>
      </c>
      <c r="I344" s="18" t="str" cm="1">
        <f t="array" ref="I344">_xlfn.LET(_xlpm.text, D344,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4" s="18" t="str" cm="1">
        <f t="array" ref="J344">_xlfn.LET(_xlpm.text, E344,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4" s="14">
        <f t="shared" si="26"/>
        <v>45899</v>
      </c>
      <c r="L344" s="14">
        <f t="shared" si="27"/>
        <v>45899.624664351853</v>
      </c>
      <c r="N344" s="12"/>
    </row>
    <row r="345" spans="1:14" x14ac:dyDescent="0.25">
      <c r="A345" s="4" t="s">
        <v>268</v>
      </c>
      <c r="B345" s="16" t="str">
        <f t="shared" si="23"/>
        <v>SHYAM SUNDER BISHNOI</v>
      </c>
      <c r="C345" s="16" t="str">
        <f t="shared" si="24"/>
        <v>Chak No 6 Kharicharnan / Kolayat / Bikaner</v>
      </c>
      <c r="D345" s="4" t="s">
        <v>3030</v>
      </c>
      <c r="E345" s="4" t="s">
        <v>3119</v>
      </c>
      <c r="F345" s="5">
        <v>45898.999664351853</v>
      </c>
      <c r="G345" s="16" t="str">
        <f t="shared" si="25"/>
        <v>Gravel</v>
      </c>
      <c r="H345" s="4" t="s">
        <v>407</v>
      </c>
      <c r="I345" s="18" t="str" cm="1">
        <f t="array" ref="I345">_xlfn.LET(_xlpm.text, D345,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5" s="18" t="str" cm="1">
        <f t="array" ref="J345">_xlfn.LET(_xlpm.text, E345,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5" s="14">
        <f t="shared" si="26"/>
        <v>45899</v>
      </c>
      <c r="L345" s="14">
        <f t="shared" si="27"/>
        <v>45899.624664351853</v>
      </c>
      <c r="N345" s="12"/>
    </row>
    <row r="346" spans="1:14" x14ac:dyDescent="0.25">
      <c r="A346" s="4" t="s">
        <v>269</v>
      </c>
      <c r="B346" s="16" t="str">
        <f t="shared" si="23"/>
        <v>SHYAM SUNDER BISHNOI</v>
      </c>
      <c r="C346" s="16" t="str">
        <f t="shared" si="24"/>
        <v>Chak No 6 Kharicharnan / Kolayat / Bikaner</v>
      </c>
      <c r="D346" s="4" t="s">
        <v>3030</v>
      </c>
      <c r="E346" s="4" t="s">
        <v>3119</v>
      </c>
      <c r="F346" s="5">
        <v>45898.999664351853</v>
      </c>
      <c r="G346" s="16" t="str">
        <f t="shared" si="25"/>
        <v>Gravel</v>
      </c>
      <c r="H346" s="4" t="s">
        <v>330</v>
      </c>
      <c r="I346" s="18" t="str" cm="1">
        <f t="array" ref="I346">_xlfn.LET(_xlpm.text, D346,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6" s="18" t="str" cm="1">
        <f t="array" ref="J346">_xlfn.LET(_xlpm.text, E346,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6" s="14">
        <f t="shared" si="26"/>
        <v>45899</v>
      </c>
      <c r="L346" s="14">
        <f t="shared" si="27"/>
        <v>45899.624664351853</v>
      </c>
      <c r="N346" s="12"/>
    </row>
    <row r="347" spans="1:14" x14ac:dyDescent="0.25">
      <c r="A347" s="4" t="s">
        <v>270</v>
      </c>
      <c r="B347" s="16" t="str">
        <f t="shared" si="23"/>
        <v>SHYAM SUNDER BISHNOI</v>
      </c>
      <c r="C347" s="16" t="str">
        <f t="shared" si="24"/>
        <v>Chak No 6 Kharicharnan / Kolayat / Bikaner</v>
      </c>
      <c r="D347" s="4" t="s">
        <v>3030</v>
      </c>
      <c r="E347" s="4" t="s">
        <v>3119</v>
      </c>
      <c r="F347" s="5">
        <v>45898.999664351853</v>
      </c>
      <c r="G347" s="16" t="str">
        <f t="shared" si="25"/>
        <v>Gravel</v>
      </c>
      <c r="H347" s="4" t="s">
        <v>342</v>
      </c>
      <c r="I347" s="18" t="str" cm="1">
        <f t="array" ref="I347">_xlfn.LET(_xlpm.text, D347,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7" s="18" t="str" cm="1">
        <f t="array" ref="J347">_xlfn.LET(_xlpm.text, E347,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7" s="14">
        <f t="shared" si="26"/>
        <v>45899</v>
      </c>
      <c r="L347" s="14">
        <f t="shared" si="27"/>
        <v>45899.624664351853</v>
      </c>
      <c r="N347" s="12"/>
    </row>
    <row r="348" spans="1:14" x14ac:dyDescent="0.25">
      <c r="A348" s="4" t="s">
        <v>271</v>
      </c>
      <c r="B348" s="16" t="str">
        <f t="shared" si="23"/>
        <v>SHYAM SUNDER BISHNOI</v>
      </c>
      <c r="C348" s="16" t="str">
        <f t="shared" si="24"/>
        <v>Chak No 6 Kharicharnan / Kolayat / Bikaner</v>
      </c>
      <c r="D348" s="4" t="s">
        <v>3030</v>
      </c>
      <c r="E348" s="4" t="s">
        <v>3119</v>
      </c>
      <c r="F348" s="5">
        <v>45921.999664351853</v>
      </c>
      <c r="G348" s="16" t="str">
        <f t="shared" si="25"/>
        <v>Gravel</v>
      </c>
      <c r="H348" s="4" t="s">
        <v>364</v>
      </c>
      <c r="I348" s="18" t="str" cm="1">
        <f t="array" ref="I348">_xlfn.LET(_xlpm.text, D348,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8" s="18" t="str" cm="1">
        <f t="array" ref="J348">_xlfn.LET(_xlpm.text, E348,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8" s="14">
        <f t="shared" si="26"/>
        <v>45922</v>
      </c>
      <c r="L348" s="14">
        <f t="shared" si="27"/>
        <v>45922.624664351853</v>
      </c>
      <c r="N348" s="12"/>
    </row>
    <row r="349" spans="1:14" x14ac:dyDescent="0.25">
      <c r="A349" s="4" t="s">
        <v>272</v>
      </c>
      <c r="B349" s="16" t="str">
        <f t="shared" si="23"/>
        <v>SHYAM SUNDER BISHNOI</v>
      </c>
      <c r="C349" s="16" t="str">
        <f t="shared" si="24"/>
        <v>Chak No 6 Kharicharnan / Kolayat / Bikaner</v>
      </c>
      <c r="D349" s="4" t="s">
        <v>3030</v>
      </c>
      <c r="E349" s="4" t="s">
        <v>3119</v>
      </c>
      <c r="F349" s="5">
        <v>45920.999664351853</v>
      </c>
      <c r="G349" s="16" t="str">
        <f t="shared" si="25"/>
        <v>Gravel</v>
      </c>
      <c r="H349" s="4" t="s">
        <v>343</v>
      </c>
      <c r="I349" s="18" t="str" cm="1">
        <f t="array" ref="I349">_xlfn.LET(_xlpm.text, D349,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49" s="18" t="str" cm="1">
        <f t="array" ref="J349">_xlfn.LET(_xlpm.text, E349,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49" s="14">
        <f t="shared" si="26"/>
        <v>45921</v>
      </c>
      <c r="L349" s="14">
        <f t="shared" si="27"/>
        <v>45921.624664351853</v>
      </c>
      <c r="N349" s="12"/>
    </row>
    <row r="350" spans="1:14" x14ac:dyDescent="0.25">
      <c r="A350" s="4" t="s">
        <v>273</v>
      </c>
      <c r="B350" s="16" t="str">
        <f t="shared" si="23"/>
        <v>SHYAM SUNDER BISHNOI</v>
      </c>
      <c r="C350" s="16" t="str">
        <f t="shared" si="24"/>
        <v>Chak No 6 Kharicharnan / Kolayat / Bikaner</v>
      </c>
      <c r="D350" s="4" t="s">
        <v>3030</v>
      </c>
      <c r="E350" s="4" t="s">
        <v>3119</v>
      </c>
      <c r="F350" s="5">
        <v>45922.999664351853</v>
      </c>
      <c r="G350" s="16" t="str">
        <f t="shared" si="25"/>
        <v>Gravel</v>
      </c>
      <c r="H350" s="4" t="s">
        <v>364</v>
      </c>
      <c r="I350" s="18" t="str" cm="1">
        <f t="array" ref="I350">_xlfn.LET(_xlpm.text, D350,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0" s="18" t="str" cm="1">
        <f t="array" ref="J350">_xlfn.LET(_xlpm.text, E350,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0" s="14">
        <f t="shared" si="26"/>
        <v>45923</v>
      </c>
      <c r="L350" s="14">
        <f t="shared" si="27"/>
        <v>45923.624664351853</v>
      </c>
      <c r="N350" s="12"/>
    </row>
    <row r="351" spans="1:14" x14ac:dyDescent="0.25">
      <c r="A351" s="4" t="s">
        <v>274</v>
      </c>
      <c r="B351" s="16" t="str">
        <f t="shared" si="23"/>
        <v>SHYAM SUNDER BISHNOI</v>
      </c>
      <c r="C351" s="16" t="str">
        <f t="shared" si="24"/>
        <v>Chak No 6 Kharicharnan / Kolayat / Bikaner</v>
      </c>
      <c r="D351" s="4" t="s">
        <v>3030</v>
      </c>
      <c r="E351" s="4" t="s">
        <v>3119</v>
      </c>
      <c r="F351" s="5">
        <v>45921.999664351853</v>
      </c>
      <c r="G351" s="16" t="str">
        <f t="shared" si="25"/>
        <v>Gravel</v>
      </c>
      <c r="H351" s="4" t="s">
        <v>408</v>
      </c>
      <c r="I351" s="18" t="str" cm="1">
        <f t="array" ref="I351">_xlfn.LET(_xlpm.text, D351,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1" s="18" t="str" cm="1">
        <f t="array" ref="J351">_xlfn.LET(_xlpm.text, E351,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1" s="14">
        <f t="shared" si="26"/>
        <v>45922</v>
      </c>
      <c r="L351" s="14">
        <f t="shared" si="27"/>
        <v>45922.624664351853</v>
      </c>
      <c r="N351" s="12"/>
    </row>
    <row r="352" spans="1:14" x14ac:dyDescent="0.25">
      <c r="A352" s="4" t="s">
        <v>275</v>
      </c>
      <c r="B352" s="16" t="str">
        <f t="shared" si="23"/>
        <v>SHYAM SUNDER BISHNOI</v>
      </c>
      <c r="C352" s="16" t="str">
        <f t="shared" si="24"/>
        <v>Chak No 6 Kharicharnan / Kolayat / Bikaner</v>
      </c>
      <c r="D352" s="4" t="s">
        <v>3030</v>
      </c>
      <c r="E352" s="4" t="s">
        <v>3119</v>
      </c>
      <c r="F352" s="5">
        <v>45921.999664351853</v>
      </c>
      <c r="G352" s="16" t="str">
        <f t="shared" si="25"/>
        <v>Gravel</v>
      </c>
      <c r="H352" s="4" t="s">
        <v>332</v>
      </c>
      <c r="I352" s="18" t="str" cm="1">
        <f t="array" ref="I352">_xlfn.LET(_xlpm.text, D352,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2" s="18" t="str" cm="1">
        <f t="array" ref="J352">_xlfn.LET(_xlpm.text, E352,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2" s="14">
        <f t="shared" si="26"/>
        <v>45922</v>
      </c>
      <c r="L352" s="14">
        <f t="shared" si="27"/>
        <v>45922.624664351853</v>
      </c>
      <c r="N352" s="12"/>
    </row>
    <row r="353" spans="1:14" x14ac:dyDescent="0.25">
      <c r="A353" s="4" t="s">
        <v>276</v>
      </c>
      <c r="B353" s="16" t="str">
        <f t="shared" si="23"/>
        <v>SHYAM SUNDER BISHNOI</v>
      </c>
      <c r="C353" s="16" t="str">
        <f t="shared" si="24"/>
        <v>Chak No 6 Kharicharnan / Kolayat / Bikaner</v>
      </c>
      <c r="D353" s="4" t="s">
        <v>3030</v>
      </c>
      <c r="E353" s="4" t="s">
        <v>3119</v>
      </c>
      <c r="F353" s="5">
        <v>45900.999664351853</v>
      </c>
      <c r="G353" s="16" t="str">
        <f t="shared" si="25"/>
        <v>Gravel</v>
      </c>
      <c r="H353" s="4" t="s">
        <v>330</v>
      </c>
      <c r="I353" s="18" t="str" cm="1">
        <f t="array" ref="I353">_xlfn.LET(_xlpm.text, D353,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3" s="18" t="str" cm="1">
        <f t="array" ref="J353">_xlfn.LET(_xlpm.text, E353,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3" s="14">
        <f t="shared" si="26"/>
        <v>45901</v>
      </c>
      <c r="L353" s="14">
        <f t="shared" si="27"/>
        <v>45901.624664351853</v>
      </c>
      <c r="N353" s="12"/>
    </row>
    <row r="354" spans="1:14" x14ac:dyDescent="0.25">
      <c r="A354" s="4" t="s">
        <v>277</v>
      </c>
      <c r="B354" s="16" t="str">
        <f t="shared" si="23"/>
        <v>SHYAM SUNDER BISHNOI</v>
      </c>
      <c r="C354" s="16" t="str">
        <f t="shared" si="24"/>
        <v>Chak No 6 Kharicharnan / Kolayat / Bikaner</v>
      </c>
      <c r="D354" s="4" t="s">
        <v>3030</v>
      </c>
      <c r="E354" s="4" t="s">
        <v>3119</v>
      </c>
      <c r="F354" s="5">
        <v>45900.999664351853</v>
      </c>
      <c r="G354" s="16" t="str">
        <f t="shared" si="25"/>
        <v>Gravel</v>
      </c>
      <c r="H354" s="4" t="s">
        <v>328</v>
      </c>
      <c r="I354" s="18" t="str" cm="1">
        <f t="array" ref="I354">_xlfn.LET(_xlpm.text, D354,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4" s="18" t="str" cm="1">
        <f t="array" ref="J354">_xlfn.LET(_xlpm.text, E354,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4" s="14">
        <f t="shared" si="26"/>
        <v>45901</v>
      </c>
      <c r="L354" s="14">
        <f t="shared" si="27"/>
        <v>45901.624664351853</v>
      </c>
      <c r="N354" s="12"/>
    </row>
    <row r="355" spans="1:14" x14ac:dyDescent="0.25">
      <c r="A355" s="4" t="s">
        <v>278</v>
      </c>
      <c r="B355" s="16" t="str">
        <f t="shared" si="23"/>
        <v>SHYAM SUNDER BISHNOI</v>
      </c>
      <c r="C355" s="16" t="str">
        <f t="shared" si="24"/>
        <v>Chak No 6 Kharicharnan / Kolayat / Bikaner</v>
      </c>
      <c r="D355" s="4" t="s">
        <v>3030</v>
      </c>
      <c r="E355" s="4" t="s">
        <v>3119</v>
      </c>
      <c r="F355" s="5">
        <v>45898.999664351853</v>
      </c>
      <c r="G355" s="16" t="str">
        <f t="shared" si="25"/>
        <v>Gravel</v>
      </c>
      <c r="H355" s="4" t="s">
        <v>342</v>
      </c>
      <c r="I355" s="18" t="str" cm="1">
        <f t="array" ref="I355">_xlfn.LET(_xlpm.text, D355,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5" s="18" t="str" cm="1">
        <f t="array" ref="J355">_xlfn.LET(_xlpm.text, E355,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5" s="14">
        <f t="shared" si="26"/>
        <v>45899</v>
      </c>
      <c r="L355" s="14">
        <f t="shared" si="27"/>
        <v>45899.624664351853</v>
      </c>
      <c r="N355" s="12"/>
    </row>
    <row r="356" spans="1:14" x14ac:dyDescent="0.25">
      <c r="A356" s="4" t="s">
        <v>279</v>
      </c>
      <c r="B356" s="16" t="str">
        <f t="shared" si="23"/>
        <v>SHYAM SUNDER BISHNOI</v>
      </c>
      <c r="C356" s="16" t="str">
        <f t="shared" si="24"/>
        <v>Chak No 6 Kharicharnan / Kolayat / Bikaner</v>
      </c>
      <c r="D356" s="4" t="s">
        <v>3030</v>
      </c>
      <c r="E356" s="4" t="s">
        <v>3119</v>
      </c>
      <c r="F356" s="5">
        <v>45898.999664351853</v>
      </c>
      <c r="G356" s="16" t="str">
        <f t="shared" si="25"/>
        <v>Gravel</v>
      </c>
      <c r="H356" s="4" t="s">
        <v>328</v>
      </c>
      <c r="I356" s="18" t="str" cm="1">
        <f t="array" ref="I356">_xlfn.LET(_xlpm.text, D356,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6" s="18" t="str" cm="1">
        <f t="array" ref="J356">_xlfn.LET(_xlpm.text, E356,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6" s="14">
        <f t="shared" si="26"/>
        <v>45899</v>
      </c>
      <c r="L356" s="14">
        <f t="shared" si="27"/>
        <v>45899.624664351853</v>
      </c>
      <c r="N356" s="12"/>
    </row>
    <row r="357" spans="1:14" x14ac:dyDescent="0.25">
      <c r="A357" s="4" t="s">
        <v>280</v>
      </c>
      <c r="B357" s="16" t="str">
        <f t="shared" si="23"/>
        <v>SHYAM SUNDER BISHNOI</v>
      </c>
      <c r="C357" s="16" t="str">
        <f t="shared" si="24"/>
        <v>Chak No 6 Kharicharnan / Kolayat / Bikaner</v>
      </c>
      <c r="D357" s="4" t="s">
        <v>3030</v>
      </c>
      <c r="E357" s="4" t="s">
        <v>3119</v>
      </c>
      <c r="F357" s="5">
        <v>45898.999664351853</v>
      </c>
      <c r="G357" s="16" t="str">
        <f t="shared" si="25"/>
        <v>Gravel</v>
      </c>
      <c r="H357" s="4" t="s">
        <v>336</v>
      </c>
      <c r="I357" s="18" t="str" cm="1">
        <f t="array" ref="I357">_xlfn.LET(_xlpm.text, D357,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7" s="18" t="str" cm="1">
        <f t="array" ref="J357">_xlfn.LET(_xlpm.text, E357,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7" s="14">
        <f t="shared" si="26"/>
        <v>45899</v>
      </c>
      <c r="L357" s="14">
        <f t="shared" si="27"/>
        <v>45899.624664351853</v>
      </c>
      <c r="N357" s="12"/>
    </row>
    <row r="358" spans="1:14" x14ac:dyDescent="0.25">
      <c r="A358" s="4" t="s">
        <v>281</v>
      </c>
      <c r="B358" s="16" t="str">
        <f t="shared" si="23"/>
        <v>SHYAM SUNDER BISHNOI</v>
      </c>
      <c r="C358" s="16" t="str">
        <f t="shared" si="24"/>
        <v>Chak No 6 Kharicharnan / Kolayat / Bikaner</v>
      </c>
      <c r="D358" s="4" t="s">
        <v>3030</v>
      </c>
      <c r="E358" s="4" t="s">
        <v>3119</v>
      </c>
      <c r="F358" s="5">
        <v>45898.999664351853</v>
      </c>
      <c r="G358" s="16" t="str">
        <f t="shared" si="25"/>
        <v>Gravel</v>
      </c>
      <c r="H358" s="4" t="s">
        <v>343</v>
      </c>
      <c r="I358" s="18" t="str" cm="1">
        <f t="array" ref="I358">_xlfn.LET(_xlpm.text, D358,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8" s="18" t="str" cm="1">
        <f t="array" ref="J358">_xlfn.LET(_xlpm.text, E358,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8" s="14">
        <f t="shared" si="26"/>
        <v>45899</v>
      </c>
      <c r="L358" s="14">
        <f t="shared" si="27"/>
        <v>45899.624664351853</v>
      </c>
      <c r="N358" s="12"/>
    </row>
    <row r="359" spans="1:14" x14ac:dyDescent="0.25">
      <c r="A359" s="4" t="s">
        <v>282</v>
      </c>
      <c r="B359" s="16" t="str">
        <f t="shared" si="23"/>
        <v>SHYAM SUNDER BISHNOI</v>
      </c>
      <c r="C359" s="16" t="str">
        <f t="shared" si="24"/>
        <v>Chak No 6 Kharicharnan / Kolayat / Bikaner</v>
      </c>
      <c r="D359" s="4" t="s">
        <v>3030</v>
      </c>
      <c r="E359" s="4" t="s">
        <v>3119</v>
      </c>
      <c r="F359" s="5">
        <v>45900.999664351853</v>
      </c>
      <c r="G359" s="16" t="str">
        <f t="shared" si="25"/>
        <v>Gravel</v>
      </c>
      <c r="H359" s="4" t="s">
        <v>352</v>
      </c>
      <c r="I359" s="18" t="str" cm="1">
        <f t="array" ref="I359">_xlfn.LET(_xlpm.text, D359,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59" s="18" t="str" cm="1">
        <f t="array" ref="J359">_xlfn.LET(_xlpm.text, E359,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59" s="14">
        <f t="shared" si="26"/>
        <v>45901</v>
      </c>
      <c r="L359" s="14">
        <f t="shared" si="27"/>
        <v>45901.624664351853</v>
      </c>
      <c r="N359" s="12"/>
    </row>
    <row r="360" spans="1:14" x14ac:dyDescent="0.25">
      <c r="A360" s="4" t="s">
        <v>283</v>
      </c>
      <c r="B360" s="16" t="str">
        <f t="shared" si="23"/>
        <v>SHYAM SUNDER BISHNOI</v>
      </c>
      <c r="C360" s="16" t="str">
        <f t="shared" si="24"/>
        <v>Chak No 6 Kharicharnan / Kolayat / Bikaner</v>
      </c>
      <c r="D360" s="4" t="s">
        <v>3030</v>
      </c>
      <c r="E360" s="4" t="s">
        <v>3119</v>
      </c>
      <c r="F360" s="5">
        <v>45900.999664351853</v>
      </c>
      <c r="G360" s="16" t="str">
        <f t="shared" si="25"/>
        <v>Gravel</v>
      </c>
      <c r="H360" s="4" t="s">
        <v>328</v>
      </c>
      <c r="I360" s="18" t="str" cm="1">
        <f t="array" ref="I360">_xlfn.LET(_xlpm.text, D360,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0" s="18" t="str" cm="1">
        <f t="array" ref="J360">_xlfn.LET(_xlpm.text, E360,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0" s="14">
        <f t="shared" si="26"/>
        <v>45901</v>
      </c>
      <c r="L360" s="14">
        <f t="shared" si="27"/>
        <v>45901.624664351853</v>
      </c>
      <c r="N360" s="12"/>
    </row>
    <row r="361" spans="1:14" x14ac:dyDescent="0.25">
      <c r="A361" s="4" t="s">
        <v>284</v>
      </c>
      <c r="B361" s="16" t="str">
        <f t="shared" si="23"/>
        <v>SHYAM SUNDER BISHNOI</v>
      </c>
      <c r="C361" s="16" t="str">
        <f t="shared" si="24"/>
        <v>Chak No 6 Kharicharnan / Kolayat / Bikaner</v>
      </c>
      <c r="D361" s="4" t="s">
        <v>3030</v>
      </c>
      <c r="E361" s="4" t="s">
        <v>3119</v>
      </c>
      <c r="F361" s="5">
        <v>45901.999664351853</v>
      </c>
      <c r="G361" s="16" t="str">
        <f t="shared" si="25"/>
        <v>Gravel</v>
      </c>
      <c r="H361" s="4" t="s">
        <v>352</v>
      </c>
      <c r="I361" s="18" t="str" cm="1">
        <f t="array" ref="I361">_xlfn.LET(_xlpm.text, D361,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1" s="18" t="str" cm="1">
        <f t="array" ref="J361">_xlfn.LET(_xlpm.text, E361,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1" s="14">
        <f t="shared" si="26"/>
        <v>45902</v>
      </c>
      <c r="L361" s="14">
        <f t="shared" si="27"/>
        <v>45902.624664351853</v>
      </c>
      <c r="N361" s="12"/>
    </row>
    <row r="362" spans="1:14" x14ac:dyDescent="0.25">
      <c r="A362" s="4" t="s">
        <v>285</v>
      </c>
      <c r="B362" s="16" t="str">
        <f t="shared" si="23"/>
        <v>SHYAM SUNDER BISHNOI</v>
      </c>
      <c r="C362" s="16" t="str">
        <f t="shared" si="24"/>
        <v>Chak No 6 Kharicharnan / Kolayat / Bikaner</v>
      </c>
      <c r="D362" s="4" t="s">
        <v>3030</v>
      </c>
      <c r="E362" s="4" t="s">
        <v>3119</v>
      </c>
      <c r="F362" s="5">
        <v>45920.999664351853</v>
      </c>
      <c r="G362" s="16" t="str">
        <f t="shared" si="25"/>
        <v>Gravel</v>
      </c>
      <c r="H362" s="4" t="s">
        <v>330</v>
      </c>
      <c r="I362" s="18" t="str" cm="1">
        <f t="array" ref="I362">_xlfn.LET(_xlpm.text, D362,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2" s="18" t="str" cm="1">
        <f t="array" ref="J362">_xlfn.LET(_xlpm.text, E362,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2" s="14">
        <f t="shared" si="26"/>
        <v>45921</v>
      </c>
      <c r="L362" s="14">
        <f t="shared" si="27"/>
        <v>45921.624664351853</v>
      </c>
      <c r="N362" s="12"/>
    </row>
    <row r="363" spans="1:14" x14ac:dyDescent="0.25">
      <c r="A363" s="4" t="s">
        <v>286</v>
      </c>
      <c r="B363" s="16" t="str">
        <f t="shared" si="23"/>
        <v>SHYAM SUNDER BISHNOI</v>
      </c>
      <c r="C363" s="16" t="str">
        <f t="shared" si="24"/>
        <v>Chak No 6 Kharicharnan / Kolayat / Bikaner</v>
      </c>
      <c r="D363" s="4" t="s">
        <v>3030</v>
      </c>
      <c r="E363" s="4" t="s">
        <v>3119</v>
      </c>
      <c r="F363" s="5">
        <v>45922.999664351853</v>
      </c>
      <c r="G363" s="16" t="str">
        <f t="shared" si="25"/>
        <v>Gravel</v>
      </c>
      <c r="H363" s="4" t="s">
        <v>351</v>
      </c>
      <c r="I363" s="18" t="str" cm="1">
        <f t="array" ref="I363">_xlfn.LET(_xlpm.text, D363,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3" s="18" t="str" cm="1">
        <f t="array" ref="J363">_xlfn.LET(_xlpm.text, E363,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3" s="14">
        <f t="shared" si="26"/>
        <v>45923</v>
      </c>
      <c r="L363" s="14">
        <f t="shared" si="27"/>
        <v>45923.624664351853</v>
      </c>
      <c r="N363" s="12"/>
    </row>
    <row r="364" spans="1:14" x14ac:dyDescent="0.25">
      <c r="A364" s="4" t="s">
        <v>287</v>
      </c>
      <c r="B364" s="16" t="str">
        <f t="shared" si="23"/>
        <v>SHYAM SUNDER BISHNOI</v>
      </c>
      <c r="C364" s="16" t="str">
        <f t="shared" si="24"/>
        <v>Chak No 6 Kharicharnan / Kolayat / Bikaner</v>
      </c>
      <c r="D364" s="4" t="s">
        <v>3030</v>
      </c>
      <c r="E364" s="4" t="s">
        <v>3119</v>
      </c>
      <c r="F364" s="5">
        <v>45921.999664351853</v>
      </c>
      <c r="G364" s="16" t="str">
        <f t="shared" si="25"/>
        <v>Gravel</v>
      </c>
      <c r="H364" s="4" t="s">
        <v>335</v>
      </c>
      <c r="I364" s="18" t="str" cm="1">
        <f t="array" ref="I364">_xlfn.LET(_xlpm.text, D364,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4" s="18" t="str" cm="1">
        <f t="array" ref="J364">_xlfn.LET(_xlpm.text, E364,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4" s="14">
        <f t="shared" si="26"/>
        <v>45922</v>
      </c>
      <c r="L364" s="14">
        <f t="shared" si="27"/>
        <v>45922.624664351853</v>
      </c>
      <c r="N364" s="12"/>
    </row>
    <row r="365" spans="1:14" x14ac:dyDescent="0.25">
      <c r="A365" s="4" t="s">
        <v>288</v>
      </c>
      <c r="B365" s="16" t="str">
        <f t="shared" si="23"/>
        <v>SHYAM SUNDER BISHNOI</v>
      </c>
      <c r="C365" s="16" t="str">
        <f t="shared" si="24"/>
        <v>Chak No 6 Kharicharnan / Kolayat / Bikaner</v>
      </c>
      <c r="D365" s="4" t="s">
        <v>3030</v>
      </c>
      <c r="E365" s="4" t="s">
        <v>3119</v>
      </c>
      <c r="F365" s="5">
        <v>45922.999664351853</v>
      </c>
      <c r="G365" s="16" t="str">
        <f t="shared" si="25"/>
        <v>Gravel</v>
      </c>
      <c r="H365" s="4" t="s">
        <v>330</v>
      </c>
      <c r="I365" s="18" t="str" cm="1">
        <f t="array" ref="I365">_xlfn.LET(_xlpm.text, D365,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5" s="18" t="str" cm="1">
        <f t="array" ref="J365">_xlfn.LET(_xlpm.text, E365,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5" s="14">
        <f t="shared" si="26"/>
        <v>45923</v>
      </c>
      <c r="L365" s="14">
        <f t="shared" si="27"/>
        <v>45923.624664351853</v>
      </c>
      <c r="N365" s="12"/>
    </row>
    <row r="366" spans="1:14" x14ac:dyDescent="0.25">
      <c r="A366" s="4" t="s">
        <v>289</v>
      </c>
      <c r="B366" s="16" t="str">
        <f t="shared" si="23"/>
        <v>SHYAM SUNDER BISHNOI</v>
      </c>
      <c r="C366" s="16" t="str">
        <f t="shared" si="24"/>
        <v>Chak No 6 Kharicharnan / Kolayat / Bikaner</v>
      </c>
      <c r="D366" s="4" t="s">
        <v>3030</v>
      </c>
      <c r="E366" s="4" t="s">
        <v>3119</v>
      </c>
      <c r="F366" s="5">
        <v>45898.999664351853</v>
      </c>
      <c r="G366" s="16" t="str">
        <f t="shared" si="25"/>
        <v>Gravel</v>
      </c>
      <c r="H366" s="4" t="s">
        <v>409</v>
      </c>
      <c r="I366" s="18" t="str" cm="1">
        <f t="array" ref="I366">_xlfn.LET(_xlpm.text, D366,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6" s="18" t="str" cm="1">
        <f t="array" ref="J366">_xlfn.LET(_xlpm.text, E366,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6" s="14">
        <f t="shared" si="26"/>
        <v>45899</v>
      </c>
      <c r="L366" s="14">
        <f t="shared" si="27"/>
        <v>45899.624664351853</v>
      </c>
      <c r="N366" s="12"/>
    </row>
    <row r="367" spans="1:14" x14ac:dyDescent="0.25">
      <c r="A367" s="4" t="s">
        <v>290</v>
      </c>
      <c r="B367" s="16" t="str">
        <f t="shared" si="23"/>
        <v>SHYAM SUNDER BISHNOI</v>
      </c>
      <c r="C367" s="16" t="str">
        <f t="shared" si="24"/>
        <v>Chak No 6 Kharicharnan / Kolayat / Bikaner</v>
      </c>
      <c r="D367" s="4" t="s">
        <v>3030</v>
      </c>
      <c r="E367" s="4" t="s">
        <v>3119</v>
      </c>
      <c r="F367" s="5">
        <v>45899.999664351853</v>
      </c>
      <c r="G367" s="16" t="str">
        <f t="shared" si="25"/>
        <v>Gravel</v>
      </c>
      <c r="H367" s="4" t="s">
        <v>330</v>
      </c>
      <c r="I367" s="18" t="str" cm="1">
        <f t="array" ref="I367">_xlfn.LET(_xlpm.text, D367,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7" s="18" t="str" cm="1">
        <f t="array" ref="J367">_xlfn.LET(_xlpm.text, E367,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7" s="14">
        <f t="shared" si="26"/>
        <v>45900</v>
      </c>
      <c r="L367" s="14">
        <f t="shared" si="27"/>
        <v>45900.624664351853</v>
      </c>
      <c r="N367" s="12"/>
    </row>
    <row r="368" spans="1:14" x14ac:dyDescent="0.25">
      <c r="A368" s="4" t="s">
        <v>291</v>
      </c>
      <c r="B368" s="16" t="str">
        <f t="shared" si="23"/>
        <v>SHYAM SUNDER BISHNOI</v>
      </c>
      <c r="C368" s="16" t="str">
        <f t="shared" si="24"/>
        <v>Chak No 6 Kharicharnan / Kolayat / Bikaner</v>
      </c>
      <c r="D368" s="4" t="s">
        <v>3030</v>
      </c>
      <c r="E368" s="4" t="s">
        <v>3119</v>
      </c>
      <c r="F368" s="5">
        <v>45899.999664351853</v>
      </c>
      <c r="G368" s="16" t="str">
        <f t="shared" si="25"/>
        <v>Gravel</v>
      </c>
      <c r="H368" s="4" t="s">
        <v>330</v>
      </c>
      <c r="I368" s="18" t="str" cm="1">
        <f t="array" ref="I368">_xlfn.LET(_xlpm.text, D368,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8" s="18" t="str" cm="1">
        <f t="array" ref="J368">_xlfn.LET(_xlpm.text, E368,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8" s="14">
        <f t="shared" si="26"/>
        <v>45900</v>
      </c>
      <c r="L368" s="14">
        <f t="shared" si="27"/>
        <v>45900.624664351853</v>
      </c>
      <c r="N368" s="12"/>
    </row>
    <row r="369" spans="1:14" x14ac:dyDescent="0.25">
      <c r="A369" s="4" t="s">
        <v>292</v>
      </c>
      <c r="B369" s="16" t="str">
        <f t="shared" si="23"/>
        <v>SHYAM SUNDER BISHNOI</v>
      </c>
      <c r="C369" s="16" t="str">
        <f t="shared" si="24"/>
        <v>Chak No 6 Kharicharnan / Kolayat / Bikaner</v>
      </c>
      <c r="D369" s="4" t="s">
        <v>3030</v>
      </c>
      <c r="E369" s="4" t="s">
        <v>3119</v>
      </c>
      <c r="F369" s="5">
        <v>45898.999664351853</v>
      </c>
      <c r="G369" s="16" t="str">
        <f t="shared" si="25"/>
        <v>Gravel</v>
      </c>
      <c r="H369" s="4" t="s">
        <v>330</v>
      </c>
      <c r="I369" s="18" t="str" cm="1">
        <f t="array" ref="I369">_xlfn.LET(_xlpm.text, D369,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69" s="18" t="str" cm="1">
        <f t="array" ref="J369">_xlfn.LET(_xlpm.text, E369,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69" s="14">
        <f t="shared" si="26"/>
        <v>45899</v>
      </c>
      <c r="L369" s="14">
        <f t="shared" si="27"/>
        <v>45899.624664351853</v>
      </c>
      <c r="N369" s="12"/>
    </row>
    <row r="370" spans="1:14" x14ac:dyDescent="0.25">
      <c r="A370" s="4" t="s">
        <v>293</v>
      </c>
      <c r="B370" s="16" t="str">
        <f t="shared" si="23"/>
        <v>SHYAM SUNDER BISHNOI</v>
      </c>
      <c r="C370" s="16" t="str">
        <f t="shared" si="24"/>
        <v>Chak No 6 Kharicharnan / Kolayat / Bikaner</v>
      </c>
      <c r="D370" s="4" t="s">
        <v>3030</v>
      </c>
      <c r="E370" s="4" t="s">
        <v>3119</v>
      </c>
      <c r="F370" s="5">
        <v>45900.999664351853</v>
      </c>
      <c r="G370" s="16" t="str">
        <f t="shared" si="25"/>
        <v>Gravel</v>
      </c>
      <c r="H370" s="4" t="s">
        <v>353</v>
      </c>
      <c r="I370" s="18" t="str" cm="1">
        <f t="array" ref="I370">_xlfn.LET(_xlpm.text, D370,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70" s="18" t="str" cm="1">
        <f t="array" ref="J370">_xlfn.LET(_xlpm.text, E370,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0" s="14">
        <f t="shared" si="26"/>
        <v>45901</v>
      </c>
      <c r="L370" s="14">
        <f t="shared" si="27"/>
        <v>45901.624664351853</v>
      </c>
      <c r="N370" s="12"/>
    </row>
    <row r="371" spans="1:14" x14ac:dyDescent="0.25">
      <c r="A371" s="4" t="s">
        <v>294</v>
      </c>
      <c r="B371" s="16" t="str">
        <f t="shared" si="23"/>
        <v>SHYAM SUNDER BISHNOI</v>
      </c>
      <c r="C371" s="16" t="str">
        <f t="shared" si="24"/>
        <v>Chak No 6 Kharicharnan / Kolayat / Bikaner</v>
      </c>
      <c r="D371" s="4" t="s">
        <v>3030</v>
      </c>
      <c r="E371" s="4" t="s">
        <v>3119</v>
      </c>
      <c r="F371" s="5">
        <v>45898.999664351853</v>
      </c>
      <c r="G371" s="16" t="str">
        <f t="shared" si="25"/>
        <v>Gravel</v>
      </c>
      <c r="H371" s="4" t="s">
        <v>388</v>
      </c>
      <c r="I371" s="18" t="str" cm="1">
        <f t="array" ref="I371">_xlfn.LET(_xlpm.text, D371,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71" s="18" t="str" cm="1">
        <f t="array" ref="J371">_xlfn.LET(_xlpm.text, E371,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1" s="14">
        <f t="shared" si="26"/>
        <v>45899</v>
      </c>
      <c r="L371" s="14">
        <f t="shared" si="27"/>
        <v>45899.624664351853</v>
      </c>
      <c r="N371" s="12"/>
    </row>
    <row r="372" spans="1:14" x14ac:dyDescent="0.25">
      <c r="A372" s="4" t="s">
        <v>295</v>
      </c>
      <c r="B372" s="16" t="str">
        <f t="shared" si="23"/>
        <v>SHYAM SUNDER BISHNOI</v>
      </c>
      <c r="C372" s="16" t="str">
        <f t="shared" si="24"/>
        <v>Chak No 6 Kharicharnan / Kolayat / Bikaner</v>
      </c>
      <c r="D372" s="4" t="s">
        <v>3030</v>
      </c>
      <c r="E372" s="4" t="s">
        <v>3119</v>
      </c>
      <c r="F372" s="5">
        <v>45899.999664351853</v>
      </c>
      <c r="G372" s="16" t="str">
        <f t="shared" si="25"/>
        <v>Gravel</v>
      </c>
      <c r="H372" s="4" t="s">
        <v>330</v>
      </c>
      <c r="I372" s="18" t="str" cm="1">
        <f t="array" ref="I372">_xlfn.LET(_xlpm.text, D372,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72" s="18" t="str" cm="1">
        <f t="array" ref="J372">_xlfn.LET(_xlpm.text, E372,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2" s="14">
        <f t="shared" si="26"/>
        <v>45900</v>
      </c>
      <c r="L372" s="14">
        <f t="shared" si="27"/>
        <v>45900.624664351853</v>
      </c>
      <c r="N372" s="12"/>
    </row>
    <row r="373" spans="1:14" x14ac:dyDescent="0.25">
      <c r="A373" s="4" t="s">
        <v>296</v>
      </c>
      <c r="B373" s="16" t="str">
        <f t="shared" si="23"/>
        <v>SHYAM SUNDER BISHNOI</v>
      </c>
      <c r="C373" s="16" t="str">
        <f t="shared" si="24"/>
        <v>Chak No 6 Kharicharnan / Kolayat / Bikaner</v>
      </c>
      <c r="D373" s="4" t="s">
        <v>3030</v>
      </c>
      <c r="E373" s="4" t="s">
        <v>3119</v>
      </c>
      <c r="F373" s="5">
        <v>45904.999664351853</v>
      </c>
      <c r="G373" s="16" t="str">
        <f t="shared" si="25"/>
        <v>Gravel</v>
      </c>
      <c r="H373" s="4" t="s">
        <v>333</v>
      </c>
      <c r="I373" s="18" t="str" cm="1">
        <f t="array" ref="I373">_xlfn.LET(_xlpm.text, D373,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73" s="18" t="str" cm="1">
        <f t="array" ref="J373">_xlfn.LET(_xlpm.text, E373,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3" s="14">
        <f t="shared" si="26"/>
        <v>45905</v>
      </c>
      <c r="L373" s="14">
        <f t="shared" si="27"/>
        <v>45905.624664351853</v>
      </c>
      <c r="N373" s="12"/>
    </row>
    <row r="374" spans="1:14" x14ac:dyDescent="0.25">
      <c r="A374" s="4" t="s">
        <v>297</v>
      </c>
      <c r="B374" s="16" t="str">
        <f t="shared" si="23"/>
        <v>SHYAM SUNDER BISHNOI</v>
      </c>
      <c r="C374" s="16" t="str">
        <f t="shared" si="24"/>
        <v>Chak No 6 Kharicharnan / Kolayat / Bikaner</v>
      </c>
      <c r="D374" s="4" t="s">
        <v>3036</v>
      </c>
      <c r="E374" s="4" t="s">
        <v>3119</v>
      </c>
      <c r="F374" s="5">
        <v>46056.999664351853</v>
      </c>
      <c r="G374" s="16" t="str">
        <f t="shared" si="25"/>
        <v>Gravel</v>
      </c>
      <c r="H374" s="4" t="s">
        <v>410</v>
      </c>
      <c r="I374" s="18" t="str" cm="1">
        <f t="array" ref="I374">_xlfn.LET(_xlpm.text, D374,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4" s="18" t="str" cm="1">
        <f t="array" ref="J374">_xlfn.LET(_xlpm.text, E374,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4" s="14">
        <f t="shared" si="26"/>
        <v>46057</v>
      </c>
      <c r="L374" s="14">
        <f t="shared" si="27"/>
        <v>46057.624664351853</v>
      </c>
      <c r="N374" s="12"/>
    </row>
    <row r="375" spans="1:14" x14ac:dyDescent="0.25">
      <c r="A375" s="4" t="s">
        <v>298</v>
      </c>
      <c r="B375" s="16" t="str">
        <f t="shared" si="23"/>
        <v>SHYAM SUNDER BISHNOI</v>
      </c>
      <c r="C375" s="16" t="str">
        <f t="shared" si="24"/>
        <v>Chak No 6 Kharicharnan / Kolayat / Bikaner</v>
      </c>
      <c r="D375" s="4" t="s">
        <v>3036</v>
      </c>
      <c r="E375" s="4" t="s">
        <v>3119</v>
      </c>
      <c r="F375" s="5">
        <v>46056.999664351853</v>
      </c>
      <c r="G375" s="16" t="str">
        <f t="shared" si="25"/>
        <v>Gravel</v>
      </c>
      <c r="H375" s="4" t="s">
        <v>411</v>
      </c>
      <c r="I375" s="18" t="str" cm="1">
        <f t="array" ref="I375">_xlfn.LET(_xlpm.text, D375,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5" s="18" t="str" cm="1">
        <f t="array" ref="J375">_xlfn.LET(_xlpm.text, E375,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5" s="14">
        <f t="shared" si="26"/>
        <v>46057</v>
      </c>
      <c r="L375" s="14">
        <f t="shared" si="27"/>
        <v>46057.624664351853</v>
      </c>
      <c r="N375" s="12"/>
    </row>
    <row r="376" spans="1:14" x14ac:dyDescent="0.25">
      <c r="A376" s="4" t="s">
        <v>299</v>
      </c>
      <c r="B376" s="16" t="str">
        <f t="shared" si="23"/>
        <v>SHYAM SUNDER BISHNOI</v>
      </c>
      <c r="C376" s="16" t="str">
        <f t="shared" si="24"/>
        <v>Chak No 6 Kharicharnan / Kolayat / Bikaner</v>
      </c>
      <c r="D376" s="4" t="s">
        <v>3036</v>
      </c>
      <c r="E376" s="4" t="s">
        <v>3119</v>
      </c>
      <c r="F376" s="5">
        <v>46056.999664351853</v>
      </c>
      <c r="G376" s="16" t="str">
        <f t="shared" si="25"/>
        <v>Gravel</v>
      </c>
      <c r="H376" s="4" t="s">
        <v>412</v>
      </c>
      <c r="I376" s="18" t="str" cm="1">
        <f t="array" ref="I376">_xlfn.LET(_xlpm.text, D376,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6" s="18" t="str" cm="1">
        <f t="array" ref="J376">_xlfn.LET(_xlpm.text, E376,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6" s="14">
        <f t="shared" si="26"/>
        <v>46057</v>
      </c>
      <c r="L376" s="14">
        <f t="shared" si="27"/>
        <v>46057.624664351853</v>
      </c>
      <c r="N376" s="12"/>
    </row>
    <row r="377" spans="1:14" x14ac:dyDescent="0.25">
      <c r="A377" s="4" t="s">
        <v>300</v>
      </c>
      <c r="B377" s="16" t="str">
        <f t="shared" si="23"/>
        <v>SHYAM SUNDER BISHNOI</v>
      </c>
      <c r="C377" s="16" t="str">
        <f t="shared" si="24"/>
        <v>Chak No 6 Kharicharnan / Kolayat / Bikaner</v>
      </c>
      <c r="D377" s="4" t="s">
        <v>3036</v>
      </c>
      <c r="E377" s="4" t="s">
        <v>3119</v>
      </c>
      <c r="F377" s="5">
        <v>46057.999664351853</v>
      </c>
      <c r="G377" s="16" t="str">
        <f t="shared" si="25"/>
        <v>Gravel</v>
      </c>
      <c r="H377" s="4" t="s">
        <v>413</v>
      </c>
      <c r="I377" s="18" t="str" cm="1">
        <f t="array" ref="I377">_xlfn.LET(_xlpm.text, D377,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7" s="18" t="str" cm="1">
        <f t="array" ref="J377">_xlfn.LET(_xlpm.text, E377,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7" s="14">
        <f t="shared" si="26"/>
        <v>46058</v>
      </c>
      <c r="L377" s="14">
        <f t="shared" si="27"/>
        <v>46058.624664351853</v>
      </c>
      <c r="N377" s="12"/>
    </row>
    <row r="378" spans="1:14" x14ac:dyDescent="0.25">
      <c r="A378" s="4" t="s">
        <v>301</v>
      </c>
      <c r="B378" s="16" t="str">
        <f t="shared" si="23"/>
        <v>SHYAM SUNDER BISHNOI</v>
      </c>
      <c r="C378" s="16" t="str">
        <f t="shared" si="24"/>
        <v>Chak No 6 Kharicharnan / Kolayat / Bikaner</v>
      </c>
      <c r="D378" s="4" t="s">
        <v>3036</v>
      </c>
      <c r="E378" s="4" t="s">
        <v>3119</v>
      </c>
      <c r="F378" s="5">
        <v>46057.999664351853</v>
      </c>
      <c r="G378" s="16" t="str">
        <f t="shared" si="25"/>
        <v>Gravel</v>
      </c>
      <c r="H378" s="4" t="s">
        <v>414</v>
      </c>
      <c r="I378" s="18" t="str" cm="1">
        <f t="array" ref="I378">_xlfn.LET(_xlpm.text, D378,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8" s="18" t="str" cm="1">
        <f t="array" ref="J378">_xlfn.LET(_xlpm.text, E378,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8" s="14">
        <f t="shared" si="26"/>
        <v>46058</v>
      </c>
      <c r="L378" s="14">
        <f t="shared" si="27"/>
        <v>46058.624664351853</v>
      </c>
      <c r="N378" s="12"/>
    </row>
    <row r="379" spans="1:14" x14ac:dyDescent="0.25">
      <c r="A379" s="4" t="s">
        <v>302</v>
      </c>
      <c r="B379" s="16" t="str">
        <f t="shared" si="23"/>
        <v>SHYAM SUNDER BISHNOI</v>
      </c>
      <c r="C379" s="16" t="str">
        <f t="shared" si="24"/>
        <v>Chak No 6 Kharicharnan / Kolayat / Bikaner</v>
      </c>
      <c r="D379" s="4" t="s">
        <v>3036</v>
      </c>
      <c r="E379" s="4" t="s">
        <v>3119</v>
      </c>
      <c r="F379" s="5">
        <v>46057.999664351853</v>
      </c>
      <c r="G379" s="16" t="str">
        <f t="shared" si="25"/>
        <v>Gravel</v>
      </c>
      <c r="H379" s="4" t="s">
        <v>415</v>
      </c>
      <c r="I379" s="18" t="str" cm="1">
        <f t="array" ref="I379">_xlfn.LET(_xlpm.text, D379,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79" s="18" t="str" cm="1">
        <f t="array" ref="J379">_xlfn.LET(_xlpm.text, E379,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79" s="14">
        <f t="shared" si="26"/>
        <v>46058</v>
      </c>
      <c r="L379" s="14">
        <f t="shared" si="27"/>
        <v>46058.624664351853</v>
      </c>
      <c r="N379" s="12"/>
    </row>
    <row r="380" spans="1:14" x14ac:dyDescent="0.25">
      <c r="A380" s="4" t="s">
        <v>303</v>
      </c>
      <c r="B380" s="16" t="str">
        <f t="shared" si="23"/>
        <v>SHYAM SUNDER BISHNOI</v>
      </c>
      <c r="C380" s="16" t="str">
        <f t="shared" si="24"/>
        <v>Chak No 6 Kharicharnan / Kolayat / Bikaner</v>
      </c>
      <c r="D380" s="4" t="s">
        <v>3036</v>
      </c>
      <c r="E380" s="4" t="s">
        <v>3119</v>
      </c>
      <c r="F380" s="5">
        <v>46057.999664351853</v>
      </c>
      <c r="G380" s="16" t="str">
        <f t="shared" si="25"/>
        <v>Gravel</v>
      </c>
      <c r="H380" s="4" t="s">
        <v>414</v>
      </c>
      <c r="I380" s="18" t="str" cm="1">
        <f t="array" ref="I380">_xlfn.LET(_xlpm.text, D380,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0" s="18" t="str" cm="1">
        <f t="array" ref="J380">_xlfn.LET(_xlpm.text, E380,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0" s="14">
        <f t="shared" si="26"/>
        <v>46058</v>
      </c>
      <c r="L380" s="14">
        <f t="shared" si="27"/>
        <v>46058.624664351853</v>
      </c>
      <c r="N380" s="12"/>
    </row>
    <row r="381" spans="1:14" x14ac:dyDescent="0.25">
      <c r="A381" s="4" t="s">
        <v>304</v>
      </c>
      <c r="B381" s="16" t="str">
        <f t="shared" si="23"/>
        <v>SHYAM SUNDER BISHNOI</v>
      </c>
      <c r="C381" s="16" t="str">
        <f t="shared" si="24"/>
        <v>Chak No 6 Kharicharnan / Kolayat / Bikaner</v>
      </c>
      <c r="D381" s="4" t="s">
        <v>3036</v>
      </c>
      <c r="E381" s="4" t="s">
        <v>3119</v>
      </c>
      <c r="F381" s="5">
        <v>46058.999664351853</v>
      </c>
      <c r="G381" s="16" t="str">
        <f t="shared" si="25"/>
        <v>Gravel</v>
      </c>
      <c r="H381" s="4" t="s">
        <v>413</v>
      </c>
      <c r="I381" s="18" t="str" cm="1">
        <f t="array" ref="I381">_xlfn.LET(_xlpm.text, D381,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1" s="18" t="str" cm="1">
        <f t="array" ref="J381">_xlfn.LET(_xlpm.text, E381,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1" s="14">
        <f t="shared" si="26"/>
        <v>46059</v>
      </c>
      <c r="L381" s="14">
        <f t="shared" si="27"/>
        <v>46059.624664351853</v>
      </c>
      <c r="N381" s="12"/>
    </row>
    <row r="382" spans="1:14" x14ac:dyDescent="0.25">
      <c r="A382" s="4" t="s">
        <v>305</v>
      </c>
      <c r="B382" s="16" t="str">
        <f t="shared" si="23"/>
        <v>SHYAM SUNDER BISHNOI</v>
      </c>
      <c r="C382" s="16" t="str">
        <f t="shared" si="24"/>
        <v>Chak No 6 Kharicharnan / Kolayat / Bikaner</v>
      </c>
      <c r="D382" s="4" t="s">
        <v>3036</v>
      </c>
      <c r="E382" s="4" t="s">
        <v>3119</v>
      </c>
      <c r="F382" s="5">
        <v>46058.999664351853</v>
      </c>
      <c r="G382" s="16" t="str">
        <f t="shared" si="25"/>
        <v>Gravel</v>
      </c>
      <c r="H382" s="4" t="s">
        <v>413</v>
      </c>
      <c r="I382" s="18" t="str" cm="1">
        <f t="array" ref="I382">_xlfn.LET(_xlpm.text, D382,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2" s="18" t="str" cm="1">
        <f t="array" ref="J382">_xlfn.LET(_xlpm.text, E382,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2" s="14">
        <f t="shared" si="26"/>
        <v>46059</v>
      </c>
      <c r="L382" s="14">
        <f t="shared" si="27"/>
        <v>46059.624664351853</v>
      </c>
      <c r="N382" s="12"/>
    </row>
    <row r="383" spans="1:14" x14ac:dyDescent="0.25">
      <c r="A383" s="4" t="s">
        <v>306</v>
      </c>
      <c r="B383" s="16" t="str">
        <f t="shared" si="23"/>
        <v>SHYAM SUNDER BISHNOI</v>
      </c>
      <c r="C383" s="16" t="str">
        <f t="shared" si="24"/>
        <v>Chak No 6 Kharicharnan / Kolayat / Bikaner</v>
      </c>
      <c r="D383" s="4" t="s">
        <v>3036</v>
      </c>
      <c r="E383" s="4" t="s">
        <v>3119</v>
      </c>
      <c r="F383" s="5">
        <v>46059.999664351853</v>
      </c>
      <c r="G383" s="16" t="str">
        <f t="shared" si="25"/>
        <v>Gravel</v>
      </c>
      <c r="H383" s="4" t="s">
        <v>412</v>
      </c>
      <c r="I383" s="18" t="str" cm="1">
        <f t="array" ref="I383">_xlfn.LET(_xlpm.text, D383,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3" s="18" t="str" cm="1">
        <f t="array" ref="J383">_xlfn.LET(_xlpm.text, E383,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3" s="14">
        <f t="shared" si="26"/>
        <v>46060</v>
      </c>
      <c r="L383" s="14">
        <f t="shared" si="27"/>
        <v>46060.624664351853</v>
      </c>
      <c r="N383" s="12"/>
    </row>
    <row r="384" spans="1:14" x14ac:dyDescent="0.25">
      <c r="A384" s="4" t="s">
        <v>307</v>
      </c>
      <c r="B384" s="16" t="str">
        <f t="shared" si="23"/>
        <v>SHYAM SUNDER BISHNOI</v>
      </c>
      <c r="C384" s="16" t="str">
        <f t="shared" si="24"/>
        <v>Chak No 6 Kharicharnan / Kolayat / Bikaner</v>
      </c>
      <c r="D384" s="4" t="s">
        <v>3036</v>
      </c>
      <c r="E384" s="4" t="s">
        <v>3119</v>
      </c>
      <c r="F384" s="5">
        <v>46059.999664351853</v>
      </c>
      <c r="G384" s="16" t="str">
        <f t="shared" si="25"/>
        <v>Gravel</v>
      </c>
      <c r="H384" s="4" t="s">
        <v>412</v>
      </c>
      <c r="I384" s="18" t="str" cm="1">
        <f t="array" ref="I384">_xlfn.LET(_xlpm.text, D384,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4" s="18" t="str" cm="1">
        <f t="array" ref="J384">_xlfn.LET(_xlpm.text, E384,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4" s="14">
        <f t="shared" si="26"/>
        <v>46060</v>
      </c>
      <c r="L384" s="14">
        <f t="shared" si="27"/>
        <v>46060.624664351853</v>
      </c>
      <c r="N384" s="12"/>
    </row>
    <row r="385" spans="1:14" x14ac:dyDescent="0.25">
      <c r="A385" s="4" t="s">
        <v>308</v>
      </c>
      <c r="B385" s="16" t="str">
        <f t="shared" si="23"/>
        <v>SHYAM SUNDER BISHNOI</v>
      </c>
      <c r="C385" s="16" t="str">
        <f t="shared" si="24"/>
        <v>Chak No 6 Kharicharnan / Kolayat / Bikaner</v>
      </c>
      <c r="D385" s="4" t="s">
        <v>3036</v>
      </c>
      <c r="E385" s="4" t="s">
        <v>3119</v>
      </c>
      <c r="F385" s="5">
        <v>46056.999664351853</v>
      </c>
      <c r="G385" s="16" t="str">
        <f t="shared" si="25"/>
        <v>Gravel</v>
      </c>
      <c r="H385" s="4" t="s">
        <v>410</v>
      </c>
      <c r="I385" s="18" t="str" cm="1">
        <f t="array" ref="I385">_xlfn.LET(_xlpm.text, D385, _xlpm.L, LEN(_xlpm.text), _xlfn.CONCAT(_xlfn.MAP(_xlfn.SEQUENCE(_xlpm.L), _xlfn.LAMBDA(_xlpm.i, _xlfn.LET(_xlpm.char, MID(_xlpm.text, _xlpm.i, 1), IF(OR(_xlpm.i=1, _xlpm.i=_xlpm.L, _xlpm.char=" "), _xlpm.char, "X"))))))</f>
        <v>SXXX XXXXX XXXXXXXX XXXXXXXX XXXXXXY</v>
      </c>
      <c r="J385" s="18" t="str" cm="1">
        <f t="array" ref="J385">_xlfn.LET(_xlpm.text, E385,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5" s="14">
        <f t="shared" si="26"/>
        <v>46057</v>
      </c>
      <c r="L385" s="14">
        <f t="shared" si="27"/>
        <v>46057.624664351853</v>
      </c>
      <c r="N385" s="12"/>
    </row>
    <row r="386" spans="1:14" x14ac:dyDescent="0.25">
      <c r="A386" s="4" t="s">
        <v>309</v>
      </c>
      <c r="B386" s="16" t="str">
        <f t="shared" ref="B386:B449" si="28">VLOOKUP(LEFT($A386,4)&amp;"*",$O$3:$R$17, 2, FALSE)</f>
        <v>PRAKASH</v>
      </c>
      <c r="C386" s="16" t="str">
        <f t="shared" ref="C386:C449" si="29">VLOOKUP(LEFT($A386,4)&amp;"*",$O$3:$R$17, 3, FALSE)</f>
        <v>Dhirera / Loonkaransar / Bikaner</v>
      </c>
      <c r="D386" s="4" t="s">
        <v>3030</v>
      </c>
      <c r="E386" s="4" t="s">
        <v>3119</v>
      </c>
      <c r="F386" s="5">
        <v>46097.999664351853</v>
      </c>
      <c r="G386" s="16" t="str">
        <f t="shared" ref="G386:G449" si="30">VLOOKUP(LEFT($A386,4)&amp;"*",$O$3:$R$17, 4, FALSE)</f>
        <v>Murrum</v>
      </c>
      <c r="H386" s="4" t="s">
        <v>416</v>
      </c>
      <c r="I386" s="18" t="str" cm="1">
        <f t="array" ref="I386">_xlfn.LET(_xlpm.text, D386,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86" s="18" t="str" cm="1">
        <f t="array" ref="J386">_xlfn.LET(_xlpm.text, E386,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6" s="14">
        <f t="shared" si="26"/>
        <v>46098</v>
      </c>
      <c r="L386" s="14">
        <f t="shared" si="27"/>
        <v>46098.624664351853</v>
      </c>
      <c r="N386" s="12"/>
    </row>
    <row r="387" spans="1:14" x14ac:dyDescent="0.25">
      <c r="A387" s="4" t="s">
        <v>310</v>
      </c>
      <c r="B387" s="16" t="str">
        <f t="shared" si="28"/>
        <v>PRAKASH</v>
      </c>
      <c r="C387" s="16" t="str">
        <f t="shared" si="29"/>
        <v>Dhirera / Loonkaransar / Bikaner</v>
      </c>
      <c r="D387" s="4" t="s">
        <v>3030</v>
      </c>
      <c r="E387" s="4" t="s">
        <v>3119</v>
      </c>
      <c r="F387" s="5">
        <v>46097.999664351853</v>
      </c>
      <c r="G387" s="16" t="str">
        <f t="shared" si="30"/>
        <v>Murrum</v>
      </c>
      <c r="H387" s="4" t="s">
        <v>380</v>
      </c>
      <c r="I387" s="18" t="str" cm="1">
        <f t="array" ref="I387">_xlfn.LET(_xlpm.text, D387,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87" s="18" t="str" cm="1">
        <f t="array" ref="J387">_xlfn.LET(_xlpm.text, E387,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7" s="14">
        <f t="shared" ref="K387:K450" si="31">F387+(29/86400)</f>
        <v>46098</v>
      </c>
      <c r="L387" s="14">
        <f t="shared" ref="L387:L450" si="32">F387+(15/24)</f>
        <v>46098.624664351853</v>
      </c>
      <c r="N387" s="12"/>
    </row>
    <row r="388" spans="1:14" x14ac:dyDescent="0.25">
      <c r="A388" s="4" t="s">
        <v>311</v>
      </c>
      <c r="B388" s="16" t="str">
        <f t="shared" si="28"/>
        <v>PRAKASH</v>
      </c>
      <c r="C388" s="16" t="str">
        <f t="shared" si="29"/>
        <v>Dhirera / Loonkaransar / Bikaner</v>
      </c>
      <c r="D388" s="4" t="s">
        <v>3030</v>
      </c>
      <c r="E388" s="4" t="s">
        <v>3119</v>
      </c>
      <c r="F388" s="5">
        <v>46097.999664351853</v>
      </c>
      <c r="G388" s="16" t="str">
        <f t="shared" si="30"/>
        <v>Murrum</v>
      </c>
      <c r="H388" s="4" t="s">
        <v>374</v>
      </c>
      <c r="I388" s="18" t="str" cm="1">
        <f t="array" ref="I388">_xlfn.LET(_xlpm.text, D388,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88" s="18" t="str" cm="1">
        <f t="array" ref="J388">_xlfn.LET(_xlpm.text, E388,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8" s="14">
        <f t="shared" si="31"/>
        <v>46098</v>
      </c>
      <c r="L388" s="14">
        <f t="shared" si="32"/>
        <v>46098.624664351853</v>
      </c>
      <c r="N388" s="12"/>
    </row>
    <row r="389" spans="1:14" x14ac:dyDescent="0.25">
      <c r="A389" s="4" t="s">
        <v>312</v>
      </c>
      <c r="B389" s="16" t="str">
        <f t="shared" si="28"/>
        <v>PRAKASH</v>
      </c>
      <c r="C389" s="16" t="str">
        <f t="shared" si="29"/>
        <v>Dhirera / Loonkaransar / Bikaner</v>
      </c>
      <c r="D389" s="4" t="s">
        <v>3030</v>
      </c>
      <c r="E389" s="4" t="s">
        <v>3119</v>
      </c>
      <c r="F389" s="5">
        <v>46097.999664351853</v>
      </c>
      <c r="G389" s="16" t="str">
        <f t="shared" si="30"/>
        <v>Murrum</v>
      </c>
      <c r="H389" s="4" t="s">
        <v>379</v>
      </c>
      <c r="I389" s="18" t="str" cm="1">
        <f t="array" ref="I389">_xlfn.LET(_xlpm.text, D389,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89" s="18" t="str" cm="1">
        <f t="array" ref="J389">_xlfn.LET(_xlpm.text, E389,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89" s="14">
        <f t="shared" si="31"/>
        <v>46098</v>
      </c>
      <c r="L389" s="14">
        <f t="shared" si="32"/>
        <v>46098.624664351853</v>
      </c>
      <c r="N389" s="12"/>
    </row>
    <row r="390" spans="1:14" x14ac:dyDescent="0.25">
      <c r="A390" s="4" t="s">
        <v>313</v>
      </c>
      <c r="B390" s="16" t="str">
        <f t="shared" si="28"/>
        <v>PRAKASH</v>
      </c>
      <c r="C390" s="16" t="str">
        <f t="shared" si="29"/>
        <v>Dhirera / Loonkaransar / Bikaner</v>
      </c>
      <c r="D390" s="4" t="s">
        <v>3030</v>
      </c>
      <c r="E390" s="4" t="s">
        <v>3119</v>
      </c>
      <c r="F390" s="5">
        <v>46097.999664351853</v>
      </c>
      <c r="G390" s="16" t="str">
        <f t="shared" si="30"/>
        <v>Murrum</v>
      </c>
      <c r="H390" s="4" t="s">
        <v>358</v>
      </c>
      <c r="I390" s="18" t="str" cm="1">
        <f t="array" ref="I390">_xlfn.LET(_xlpm.text, D390,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0" s="18" t="str" cm="1">
        <f t="array" ref="J390">_xlfn.LET(_xlpm.text, E390,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0" s="14">
        <f t="shared" si="31"/>
        <v>46098</v>
      </c>
      <c r="L390" s="14">
        <f t="shared" si="32"/>
        <v>46098.624664351853</v>
      </c>
      <c r="N390" s="12"/>
    </row>
    <row r="391" spans="1:14" x14ac:dyDescent="0.25">
      <c r="A391" s="4" t="s">
        <v>314</v>
      </c>
      <c r="B391" s="16" t="str">
        <f t="shared" si="28"/>
        <v>PRAKASH</v>
      </c>
      <c r="C391" s="16" t="str">
        <f t="shared" si="29"/>
        <v>Dhirera / Loonkaransar / Bikaner</v>
      </c>
      <c r="D391" s="4" t="s">
        <v>3030</v>
      </c>
      <c r="E391" s="4" t="s">
        <v>3119</v>
      </c>
      <c r="F391" s="5">
        <v>46102.999664351853</v>
      </c>
      <c r="G391" s="16" t="str">
        <f t="shared" si="30"/>
        <v>Murrum</v>
      </c>
      <c r="H391" s="4" t="s">
        <v>417</v>
      </c>
      <c r="I391" s="18" t="str" cm="1">
        <f t="array" ref="I391">_xlfn.LET(_xlpm.text, D391,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1" s="18" t="str" cm="1">
        <f t="array" ref="J391">_xlfn.LET(_xlpm.text, E391,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1" s="14">
        <f t="shared" si="31"/>
        <v>46103</v>
      </c>
      <c r="L391" s="14">
        <f t="shared" si="32"/>
        <v>46103.624664351853</v>
      </c>
      <c r="N391" s="12"/>
    </row>
    <row r="392" spans="1:14" x14ac:dyDescent="0.25">
      <c r="A392" s="4" t="s">
        <v>315</v>
      </c>
      <c r="B392" s="16" t="str">
        <f t="shared" si="28"/>
        <v>PRAKASH</v>
      </c>
      <c r="C392" s="16" t="str">
        <f t="shared" si="29"/>
        <v>Dhirera / Loonkaransar / Bikaner</v>
      </c>
      <c r="D392" s="4" t="s">
        <v>3030</v>
      </c>
      <c r="E392" s="4" t="s">
        <v>3119</v>
      </c>
      <c r="F392" s="5">
        <v>46102.999664351853</v>
      </c>
      <c r="G392" s="16" t="str">
        <f t="shared" si="30"/>
        <v>Murrum</v>
      </c>
      <c r="H392" s="4" t="s">
        <v>418</v>
      </c>
      <c r="I392" s="18" t="str" cm="1">
        <f t="array" ref="I392">_xlfn.LET(_xlpm.text, D392,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2" s="18" t="str" cm="1">
        <f t="array" ref="J392">_xlfn.LET(_xlpm.text, E392,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2" s="14">
        <f t="shared" si="31"/>
        <v>46103</v>
      </c>
      <c r="L392" s="14">
        <f t="shared" si="32"/>
        <v>46103.624664351853</v>
      </c>
      <c r="N392" s="12"/>
    </row>
    <row r="393" spans="1:14" x14ac:dyDescent="0.25">
      <c r="A393" s="4" t="s">
        <v>316</v>
      </c>
      <c r="B393" s="16" t="str">
        <f t="shared" si="28"/>
        <v>PRAKASH</v>
      </c>
      <c r="C393" s="16" t="str">
        <f t="shared" si="29"/>
        <v>Dhirera / Loonkaransar / Bikaner</v>
      </c>
      <c r="D393" s="4" t="s">
        <v>3030</v>
      </c>
      <c r="E393" s="4" t="s">
        <v>3119</v>
      </c>
      <c r="F393" s="5">
        <v>46102.999664351853</v>
      </c>
      <c r="G393" s="16" t="str">
        <f t="shared" si="30"/>
        <v>Murrum</v>
      </c>
      <c r="H393" s="4" t="s">
        <v>419</v>
      </c>
      <c r="I393" s="18" t="str" cm="1">
        <f t="array" ref="I393">_xlfn.LET(_xlpm.text, D393,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3" s="18" t="str" cm="1">
        <f t="array" ref="J393">_xlfn.LET(_xlpm.text, E393,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3" s="14">
        <f t="shared" si="31"/>
        <v>46103</v>
      </c>
      <c r="L393" s="14">
        <f t="shared" si="32"/>
        <v>46103.624664351853</v>
      </c>
      <c r="N393" s="12"/>
    </row>
    <row r="394" spans="1:14" x14ac:dyDescent="0.25">
      <c r="A394" s="4" t="s">
        <v>317</v>
      </c>
      <c r="B394" s="16" t="str">
        <f t="shared" si="28"/>
        <v>PRAKASH</v>
      </c>
      <c r="C394" s="16" t="str">
        <f t="shared" si="29"/>
        <v>Dhirera / Loonkaransar / Bikaner</v>
      </c>
      <c r="D394" s="4" t="s">
        <v>3030</v>
      </c>
      <c r="E394" s="4" t="s">
        <v>3119</v>
      </c>
      <c r="F394" s="5">
        <v>46097.999664351853</v>
      </c>
      <c r="G394" s="16" t="str">
        <f t="shared" si="30"/>
        <v>Murrum</v>
      </c>
      <c r="H394" s="4" t="s">
        <v>381</v>
      </c>
      <c r="I394" s="18" t="str" cm="1">
        <f t="array" ref="I394">_xlfn.LET(_xlpm.text, D394,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4" s="18" t="str" cm="1">
        <f t="array" ref="J394">_xlfn.LET(_xlpm.text, E394,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4" s="14">
        <f t="shared" si="31"/>
        <v>46098</v>
      </c>
      <c r="L394" s="14">
        <f t="shared" si="32"/>
        <v>46098.624664351853</v>
      </c>
      <c r="N394" s="12"/>
    </row>
    <row r="395" spans="1:14" x14ac:dyDescent="0.25">
      <c r="A395" s="4" t="s">
        <v>318</v>
      </c>
      <c r="B395" s="16" t="str">
        <f t="shared" si="28"/>
        <v>PRAKASH</v>
      </c>
      <c r="C395" s="16" t="str">
        <f t="shared" si="29"/>
        <v>Dhirera / Loonkaransar / Bikaner</v>
      </c>
      <c r="D395" s="4" t="s">
        <v>3030</v>
      </c>
      <c r="E395" s="4" t="s">
        <v>3119</v>
      </c>
      <c r="F395" s="5">
        <v>46097.999664351853</v>
      </c>
      <c r="G395" s="16" t="str">
        <f t="shared" si="30"/>
        <v>Murrum</v>
      </c>
      <c r="H395" s="4" t="s">
        <v>381</v>
      </c>
      <c r="I395" s="18" t="str" cm="1">
        <f t="array" ref="I395">_xlfn.LET(_xlpm.text, D395,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5" s="18" t="str" cm="1">
        <f t="array" ref="J395">_xlfn.LET(_xlpm.text, E395,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5" s="14">
        <f t="shared" si="31"/>
        <v>46098</v>
      </c>
      <c r="L395" s="14">
        <f t="shared" si="32"/>
        <v>46098.624664351853</v>
      </c>
      <c r="N395" s="12"/>
    </row>
    <row r="396" spans="1:14" x14ac:dyDescent="0.25">
      <c r="A396" s="4" t="s">
        <v>319</v>
      </c>
      <c r="B396" s="16" t="str">
        <f t="shared" si="28"/>
        <v>PRAKASH</v>
      </c>
      <c r="C396" s="16" t="str">
        <f t="shared" si="29"/>
        <v>Dhirera / Loonkaransar / Bikaner</v>
      </c>
      <c r="D396" s="4" t="s">
        <v>3030</v>
      </c>
      <c r="E396" s="4" t="s">
        <v>3119</v>
      </c>
      <c r="F396" s="5">
        <v>46097.999664351853</v>
      </c>
      <c r="G396" s="16" t="str">
        <f t="shared" si="30"/>
        <v>Murrum</v>
      </c>
      <c r="H396" s="4" t="s">
        <v>416</v>
      </c>
      <c r="I396" s="18" t="str" cm="1">
        <f t="array" ref="I396">_xlfn.LET(_xlpm.text, D396,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6" s="18" t="str" cm="1">
        <f t="array" ref="J396">_xlfn.LET(_xlpm.text, E396,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6" s="14">
        <f t="shared" si="31"/>
        <v>46098</v>
      </c>
      <c r="L396" s="14">
        <f t="shared" si="32"/>
        <v>46098.624664351853</v>
      </c>
      <c r="N396" s="12"/>
    </row>
    <row r="397" spans="1:14" x14ac:dyDescent="0.25">
      <c r="A397" s="4" t="s">
        <v>320</v>
      </c>
      <c r="B397" s="16" t="str">
        <f t="shared" si="28"/>
        <v>PRAKASH</v>
      </c>
      <c r="C397" s="16" t="str">
        <f t="shared" si="29"/>
        <v>Dhirera / Loonkaransar / Bikaner</v>
      </c>
      <c r="D397" s="4" t="s">
        <v>3030</v>
      </c>
      <c r="E397" s="4" t="s">
        <v>3119</v>
      </c>
      <c r="F397" s="5">
        <v>46097.999664351853</v>
      </c>
      <c r="G397" s="16" t="str">
        <f t="shared" si="30"/>
        <v>Murrum</v>
      </c>
      <c r="H397" s="4" t="s">
        <v>420</v>
      </c>
      <c r="I397" s="18" t="str" cm="1">
        <f t="array" ref="I397">_xlfn.LET(_xlpm.text, D397,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7" s="18" t="str" cm="1">
        <f t="array" ref="J397">_xlfn.LET(_xlpm.text, E397,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7" s="14">
        <f t="shared" si="31"/>
        <v>46098</v>
      </c>
      <c r="L397" s="14">
        <f t="shared" si="32"/>
        <v>46098.624664351853</v>
      </c>
      <c r="N397" s="12"/>
    </row>
    <row r="398" spans="1:14" x14ac:dyDescent="0.25">
      <c r="A398" s="4" t="s">
        <v>321</v>
      </c>
      <c r="B398" s="16" t="str">
        <f t="shared" si="28"/>
        <v>PRAKASH</v>
      </c>
      <c r="C398" s="16" t="str">
        <f t="shared" si="29"/>
        <v>Dhirera / Loonkaransar / Bikaner</v>
      </c>
      <c r="D398" s="4" t="s">
        <v>3030</v>
      </c>
      <c r="E398" s="4" t="s">
        <v>3119</v>
      </c>
      <c r="F398" s="5">
        <v>46097.999664351853</v>
      </c>
      <c r="G398" s="16" t="str">
        <f t="shared" si="30"/>
        <v>Murrum</v>
      </c>
      <c r="H398" s="4" t="s">
        <v>381</v>
      </c>
      <c r="I398" s="18" t="str" cm="1">
        <f t="array" ref="I398">_xlfn.LET(_xlpm.text, D398,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398" s="18" t="str" cm="1">
        <f t="array" ref="J398">_xlfn.LET(_xlpm.text, E398,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8" s="14">
        <f t="shared" si="31"/>
        <v>46098</v>
      </c>
      <c r="L398" s="14">
        <f t="shared" si="32"/>
        <v>46098.624664351853</v>
      </c>
      <c r="N398" s="12"/>
    </row>
    <row r="399" spans="1:14" x14ac:dyDescent="0.25">
      <c r="A399" s="4" t="s">
        <v>421</v>
      </c>
      <c r="B399" s="16" t="str">
        <f t="shared" si="28"/>
        <v>ZIGMA STONE CRUSHER</v>
      </c>
      <c r="C399" s="16" t="str">
        <f t="shared" si="29"/>
        <v>SHREEBALAJI(Shribalaji/Nagaur/Nagaur)</v>
      </c>
      <c r="D399" s="4" t="s">
        <v>3029</v>
      </c>
      <c r="E399" s="4" t="s">
        <v>3119</v>
      </c>
      <c r="F399" s="5">
        <v>46037.999664351853</v>
      </c>
      <c r="G399" s="16" t="str">
        <f t="shared" si="30"/>
        <v>MasonaryStone (Gitti)</v>
      </c>
      <c r="H399" s="4" t="s">
        <v>426</v>
      </c>
      <c r="I399" s="18" t="str" cm="1">
        <f t="array" ref="I399">_xlfn.LET(_xlpm.text, D399,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399" s="18" t="str" cm="1">
        <f t="array" ref="J399">_xlfn.LET(_xlpm.text, E399,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399" s="14">
        <f t="shared" si="31"/>
        <v>46038</v>
      </c>
      <c r="L399" s="14">
        <f t="shared" si="32"/>
        <v>46038.624664351853</v>
      </c>
      <c r="N399" s="12"/>
    </row>
    <row r="400" spans="1:14" x14ac:dyDescent="0.25">
      <c r="A400" s="4" t="s">
        <v>422</v>
      </c>
      <c r="B400" s="16" t="str">
        <f t="shared" si="28"/>
        <v>ZIGMA STONE CRUSHER</v>
      </c>
      <c r="C400" s="16" t="str">
        <f t="shared" si="29"/>
        <v>SHREEBALAJI(Shribalaji/Nagaur/Nagaur)</v>
      </c>
      <c r="D400" s="4" t="s">
        <v>3030</v>
      </c>
      <c r="E400" s="4" t="s">
        <v>3119</v>
      </c>
      <c r="F400" s="5">
        <v>46090.999664351853</v>
      </c>
      <c r="G400" s="16" t="str">
        <f t="shared" si="30"/>
        <v>MasonaryStone (Gitti)</v>
      </c>
      <c r="H400" s="4" t="s">
        <v>427</v>
      </c>
      <c r="I400" s="18" t="str" cm="1">
        <f t="array" ref="I400">_xlfn.LET(_xlpm.text, D400,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400" s="18" t="str" cm="1">
        <f t="array" ref="J400">_xlfn.LET(_xlpm.text, E400,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0" s="14">
        <f t="shared" si="31"/>
        <v>46091</v>
      </c>
      <c r="L400" s="14">
        <f t="shared" si="32"/>
        <v>46091.624664351853</v>
      </c>
      <c r="N400" s="12"/>
    </row>
    <row r="401" spans="1:14" x14ac:dyDescent="0.25">
      <c r="A401" s="4" t="s">
        <v>423</v>
      </c>
      <c r="B401" s="16" t="str">
        <f t="shared" si="28"/>
        <v>ZIGMA STONE CRUSHER</v>
      </c>
      <c r="C401" s="16" t="str">
        <f t="shared" si="29"/>
        <v>SHREEBALAJI(Shribalaji/Nagaur/Nagaur)</v>
      </c>
      <c r="D401" s="4" t="s">
        <v>3030</v>
      </c>
      <c r="E401" s="4" t="s">
        <v>3119</v>
      </c>
      <c r="F401" s="5">
        <v>46002.999664351853</v>
      </c>
      <c r="G401" s="16" t="str">
        <f t="shared" si="30"/>
        <v>MasonaryStone (Gitti)</v>
      </c>
      <c r="H401" s="4" t="s">
        <v>428</v>
      </c>
      <c r="I401" s="18" t="str" cm="1">
        <f t="array" ref="I401">_xlfn.LET(_xlpm.text, D401,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401" s="18" t="str" cm="1">
        <f t="array" ref="J401">_xlfn.LET(_xlpm.text, E401,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1" s="14">
        <f t="shared" si="31"/>
        <v>46003</v>
      </c>
      <c r="L401" s="14">
        <f t="shared" si="32"/>
        <v>46003.624664351853</v>
      </c>
      <c r="N401" s="12"/>
    </row>
    <row r="402" spans="1:14" x14ac:dyDescent="0.25">
      <c r="A402" s="4" t="s">
        <v>424</v>
      </c>
      <c r="B402" s="16" t="str">
        <f t="shared" si="28"/>
        <v>ZIGMA STONE CRUSHER</v>
      </c>
      <c r="C402" s="16" t="str">
        <f t="shared" si="29"/>
        <v>SHREEBALAJI(Shribalaji/Nagaur/Nagaur)</v>
      </c>
      <c r="D402" s="4" t="s">
        <v>3030</v>
      </c>
      <c r="E402" s="4" t="s">
        <v>3119</v>
      </c>
      <c r="F402" s="5">
        <v>46004.999664351853</v>
      </c>
      <c r="G402" s="16" t="str">
        <f t="shared" si="30"/>
        <v>MasonaryStone (Gitti)</v>
      </c>
      <c r="H402" s="4" t="s">
        <v>429</v>
      </c>
      <c r="I402" s="18" t="str" cm="1">
        <f t="array" ref="I402">_xlfn.LET(_xlpm.text, D402,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402" s="18" t="str" cm="1">
        <f t="array" ref="J402">_xlfn.LET(_xlpm.text, E402,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2" s="14">
        <f t="shared" si="31"/>
        <v>46005</v>
      </c>
      <c r="L402" s="14">
        <f t="shared" si="32"/>
        <v>46005.624664351853</v>
      </c>
      <c r="N402" s="12"/>
    </row>
    <row r="403" spans="1:14" x14ac:dyDescent="0.25">
      <c r="A403" s="4" t="s">
        <v>425</v>
      </c>
      <c r="B403" s="16" t="str">
        <f t="shared" si="28"/>
        <v>ZIGMA STONE CRUSHER</v>
      </c>
      <c r="C403" s="16" t="str">
        <f t="shared" si="29"/>
        <v>SHREEBALAJI(Shribalaji/Nagaur/Nagaur)</v>
      </c>
      <c r="D403" s="4" t="s">
        <v>3030</v>
      </c>
      <c r="E403" s="4" t="s">
        <v>3119</v>
      </c>
      <c r="F403" s="5">
        <v>46006.999664351853</v>
      </c>
      <c r="G403" s="16" t="str">
        <f t="shared" si="30"/>
        <v>MasonaryStone (Gitti)</v>
      </c>
      <c r="H403" s="4" t="s">
        <v>430</v>
      </c>
      <c r="I403" s="18" t="str" cm="1">
        <f t="array" ref="I403">_xlfn.LET(_xlpm.text, D403, _xlpm.L, LEN(_xlpm.text), _xlfn.CONCAT(_xlfn.MAP(_xlfn.SEQUENCE(_xlpm.L), _xlfn.LAMBDA(_xlpm.i, _xlfn.LET(_xlpm.char, MID(_xlpm.text, _xlpm.i, 1), IF(OR(_xlpm.i=1, _xlpm.i=_xlpm.L, _xlpm.char=" "), _xlpm.char, "X"))))))</f>
        <v>MXXXXX XXXXXXXXXXXX XXXXXXY</v>
      </c>
      <c r="J403" s="18" t="str" cm="1">
        <f t="array" ref="J403">_xlfn.LET(_xlpm.text, E403,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3" s="14">
        <f t="shared" si="31"/>
        <v>46007</v>
      </c>
      <c r="L403" s="14">
        <f t="shared" si="32"/>
        <v>46007.624664351853</v>
      </c>
      <c r="N403" s="12"/>
    </row>
    <row r="404" spans="1:14" x14ac:dyDescent="0.25">
      <c r="A404" s="4" t="s">
        <v>433</v>
      </c>
      <c r="B404" s="16" t="str">
        <f t="shared" si="28"/>
        <v>M/s Sidhi Vinayak Aggregates Private Limated</v>
      </c>
      <c r="C404" s="16" t="str">
        <f t="shared" si="29"/>
        <v>Barsingo Ka Bas Lohawat()</v>
      </c>
      <c r="D404" s="4" t="s">
        <v>1382</v>
      </c>
      <c r="E404" s="4" t="s">
        <v>3119</v>
      </c>
      <c r="F404" s="5">
        <v>45927.999664351853</v>
      </c>
      <c r="G404" s="16" t="str">
        <f t="shared" si="30"/>
        <v>MasonaryStone (Gitti)</v>
      </c>
      <c r="H404" s="4" t="s">
        <v>2257</v>
      </c>
      <c r="I404" s="18" t="str" cm="1">
        <f t="array" ref="I404">_xlfn.LET(_xlpm.text, D404,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04" s="18" t="str" cm="1">
        <f t="array" ref="J404">_xlfn.LET(_xlpm.text, E404,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4" s="14">
        <f t="shared" si="31"/>
        <v>45928</v>
      </c>
      <c r="L404" s="14">
        <f t="shared" si="32"/>
        <v>45928.624664351853</v>
      </c>
      <c r="N404" s="12"/>
    </row>
    <row r="405" spans="1:14" x14ac:dyDescent="0.25">
      <c r="A405" s="4" t="s">
        <v>434</v>
      </c>
      <c r="B405" s="16" t="str">
        <f t="shared" si="28"/>
        <v>M/s Sidhi Vinayak Aggregates Private Limated</v>
      </c>
      <c r="C405" s="16" t="str">
        <f t="shared" si="29"/>
        <v>Barsingo Ka Bas Lohawat()</v>
      </c>
      <c r="D405" s="4" t="s">
        <v>1382</v>
      </c>
      <c r="E405" s="4" t="s">
        <v>3119</v>
      </c>
      <c r="F405" s="5">
        <v>45928.999664351853</v>
      </c>
      <c r="G405" s="16" t="str">
        <f t="shared" si="30"/>
        <v>MasonaryStone (Gitti)</v>
      </c>
      <c r="H405" s="4" t="s">
        <v>2258</v>
      </c>
      <c r="I405" s="18" t="str" cm="1">
        <f t="array" ref="I405">_xlfn.LET(_xlpm.text, D405,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05" s="18" t="str" cm="1">
        <f t="array" ref="J405">_xlfn.LET(_xlpm.text, E405,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5" s="14">
        <f t="shared" si="31"/>
        <v>45929</v>
      </c>
      <c r="L405" s="14">
        <f t="shared" si="32"/>
        <v>45929.624664351853</v>
      </c>
      <c r="N405" s="12"/>
    </row>
    <row r="406" spans="1:14" x14ac:dyDescent="0.25">
      <c r="A406" s="4" t="s">
        <v>435</v>
      </c>
      <c r="B406" s="16" t="str">
        <f t="shared" si="28"/>
        <v>M/s Sidhi Vinayak Aggregates Private Limated</v>
      </c>
      <c r="C406" s="16" t="str">
        <f t="shared" si="29"/>
        <v>Barsingo Ka Bas Lohawat()</v>
      </c>
      <c r="D406" s="4" t="s">
        <v>1382</v>
      </c>
      <c r="E406" s="4" t="s">
        <v>3119</v>
      </c>
      <c r="F406" s="5">
        <v>45930.999664351853</v>
      </c>
      <c r="G406" s="16" t="str">
        <f t="shared" si="30"/>
        <v>MasonaryStone (Gitti)</v>
      </c>
      <c r="H406" s="4" t="s">
        <v>2259</v>
      </c>
      <c r="I406" s="18" t="str" cm="1">
        <f t="array" ref="I406">_xlfn.LET(_xlpm.text, D406,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06" s="18" t="str" cm="1">
        <f t="array" ref="J406">_xlfn.LET(_xlpm.text, E406,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6" s="14">
        <f t="shared" si="31"/>
        <v>45931</v>
      </c>
      <c r="L406" s="14">
        <f t="shared" si="32"/>
        <v>45931.624664351853</v>
      </c>
      <c r="N406" s="12"/>
    </row>
    <row r="407" spans="1:14" x14ac:dyDescent="0.25">
      <c r="A407" s="4" t="s">
        <v>436</v>
      </c>
      <c r="B407" s="16" t="str">
        <f t="shared" si="28"/>
        <v>MAA DURGA STONE CRUSHING COMPANY</v>
      </c>
      <c r="C407" s="16" t="str">
        <f t="shared" si="29"/>
        <v>CHADWAS(Chadwas/Bidasar/Sujangarh)</v>
      </c>
      <c r="D407" s="4" t="s">
        <v>3031</v>
      </c>
      <c r="E407" s="4" t="s">
        <v>3119</v>
      </c>
      <c r="F407" s="5">
        <v>45942.999664351853</v>
      </c>
      <c r="G407" s="16" t="str">
        <f t="shared" si="30"/>
        <v>MasonaryStone (Gitti)</v>
      </c>
      <c r="H407" s="4" t="s">
        <v>2260</v>
      </c>
      <c r="I407" s="18" t="str" cm="1">
        <f t="array" ref="I407">_xlfn.LET(_xlpm.text, D407,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07" s="18" t="str" cm="1">
        <f t="array" ref="J407">_xlfn.LET(_xlpm.text, E407,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7" s="14">
        <f t="shared" si="31"/>
        <v>45943</v>
      </c>
      <c r="L407" s="14">
        <f t="shared" si="32"/>
        <v>45943.624664351853</v>
      </c>
      <c r="N407" s="12"/>
    </row>
    <row r="408" spans="1:14" x14ac:dyDescent="0.25">
      <c r="A408" s="4" t="s">
        <v>437</v>
      </c>
      <c r="B408" s="16" t="str">
        <f t="shared" si="28"/>
        <v>MAA DURGA STONE CRUSHING COMPANY</v>
      </c>
      <c r="C408" s="16" t="str">
        <f t="shared" si="29"/>
        <v>CHADWAS(Chadwas/Bidasar/Sujangarh)</v>
      </c>
      <c r="D408" s="4" t="s">
        <v>3031</v>
      </c>
      <c r="E408" s="4" t="s">
        <v>3119</v>
      </c>
      <c r="F408" s="5">
        <v>45943.999664351853</v>
      </c>
      <c r="G408" s="16" t="str">
        <f t="shared" si="30"/>
        <v>MasonaryStone (Gitti)</v>
      </c>
      <c r="H408" s="4" t="s">
        <v>2261</v>
      </c>
      <c r="I408" s="18" t="str" cm="1">
        <f t="array" ref="I408">_xlfn.LET(_xlpm.text, D408,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08" s="18" t="str" cm="1">
        <f t="array" ref="J408">_xlfn.LET(_xlpm.text, E408,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8" s="14">
        <f t="shared" si="31"/>
        <v>45944</v>
      </c>
      <c r="L408" s="14">
        <f t="shared" si="32"/>
        <v>45944.624664351853</v>
      </c>
      <c r="N408" s="12"/>
    </row>
    <row r="409" spans="1:14" x14ac:dyDescent="0.25">
      <c r="A409" s="4" t="s">
        <v>438</v>
      </c>
      <c r="B409" s="16" t="str">
        <f t="shared" si="28"/>
        <v>MAA DURGA STONE CRUSHING COMPANY</v>
      </c>
      <c r="C409" s="16" t="str">
        <f t="shared" si="29"/>
        <v>CHADWAS(Chadwas/Bidasar/Sujangarh)</v>
      </c>
      <c r="D409" s="4" t="s">
        <v>3031</v>
      </c>
      <c r="E409" s="4" t="s">
        <v>3119</v>
      </c>
      <c r="F409" s="5">
        <v>45943.999664351853</v>
      </c>
      <c r="G409" s="16" t="str">
        <f t="shared" si="30"/>
        <v>MasonaryStone (Gitti)</v>
      </c>
      <c r="H409" s="4" t="s">
        <v>2262</v>
      </c>
      <c r="I409" s="18" t="str" cm="1">
        <f t="array" ref="I409">_xlfn.LET(_xlpm.text, D409,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09" s="18" t="str" cm="1">
        <f t="array" ref="J409">_xlfn.LET(_xlpm.text, E409,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09" s="14">
        <f t="shared" si="31"/>
        <v>45944</v>
      </c>
      <c r="L409" s="14">
        <f t="shared" si="32"/>
        <v>45944.624664351853</v>
      </c>
      <c r="N409" s="12"/>
    </row>
    <row r="410" spans="1:14" x14ac:dyDescent="0.25">
      <c r="A410" s="4" t="s">
        <v>439</v>
      </c>
      <c r="B410" s="16" t="str">
        <f t="shared" si="28"/>
        <v>MAA DURGA STONE CRUSHING COMPANY</v>
      </c>
      <c r="C410" s="16" t="str">
        <f t="shared" si="29"/>
        <v>CHADWAS(Chadwas/Bidasar/Sujangarh)</v>
      </c>
      <c r="D410" s="4" t="s">
        <v>3031</v>
      </c>
      <c r="E410" s="4" t="s">
        <v>3119</v>
      </c>
      <c r="F410" s="5">
        <v>45943.999664351853</v>
      </c>
      <c r="G410" s="16" t="str">
        <f t="shared" si="30"/>
        <v>MasonaryStone (Gitti)</v>
      </c>
      <c r="H410" s="4" t="s">
        <v>2263</v>
      </c>
      <c r="I410" s="18" t="str" cm="1">
        <f t="array" ref="I410">_xlfn.LET(_xlpm.text, D410,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10" s="18" t="str" cm="1">
        <f t="array" ref="J410">_xlfn.LET(_xlpm.text, E410,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0" s="14">
        <f t="shared" si="31"/>
        <v>45944</v>
      </c>
      <c r="L410" s="14">
        <f t="shared" si="32"/>
        <v>45944.624664351853</v>
      </c>
      <c r="N410" s="12"/>
    </row>
    <row r="411" spans="1:14" x14ac:dyDescent="0.25">
      <c r="A411" s="4" t="s">
        <v>440</v>
      </c>
      <c r="B411" s="16" t="str">
        <f t="shared" si="28"/>
        <v>MAA DURGA STONE CRUSHING COMPANY</v>
      </c>
      <c r="C411" s="16" t="str">
        <f t="shared" si="29"/>
        <v>CHADWAS(Chadwas/Bidasar/Sujangarh)</v>
      </c>
      <c r="D411" s="4" t="s">
        <v>3031</v>
      </c>
      <c r="E411" s="4" t="s">
        <v>3119</v>
      </c>
      <c r="F411" s="5">
        <v>45945.999664351853</v>
      </c>
      <c r="G411" s="16" t="str">
        <f t="shared" si="30"/>
        <v>MasonaryStone (Gitti)</v>
      </c>
      <c r="H411" s="4" t="s">
        <v>2264</v>
      </c>
      <c r="I411" s="18" t="str" cm="1">
        <f t="array" ref="I411">_xlfn.LET(_xlpm.text, D411,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11" s="18" t="str" cm="1">
        <f t="array" ref="J411">_xlfn.LET(_xlpm.text, E411,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1" s="14">
        <f t="shared" si="31"/>
        <v>45946</v>
      </c>
      <c r="L411" s="14">
        <f t="shared" si="32"/>
        <v>45946.624664351853</v>
      </c>
      <c r="N411" s="12"/>
    </row>
    <row r="412" spans="1:14" x14ac:dyDescent="0.25">
      <c r="A412" s="4" t="s">
        <v>441</v>
      </c>
      <c r="B412" s="16" t="str">
        <f t="shared" si="28"/>
        <v>MAA DURGA STONE CRUSHING COMPANY</v>
      </c>
      <c r="C412" s="16" t="str">
        <f t="shared" si="29"/>
        <v>CHADWAS(Chadwas/Bidasar/Sujangarh)</v>
      </c>
      <c r="D412" s="4" t="s">
        <v>3032</v>
      </c>
      <c r="E412" s="4" t="s">
        <v>3119</v>
      </c>
      <c r="F412" s="5">
        <v>45947.999664351853</v>
      </c>
      <c r="G412" s="16" t="str">
        <f t="shared" si="30"/>
        <v>MasonaryStone (Gitti)</v>
      </c>
      <c r="H412" s="4" t="s">
        <v>2265</v>
      </c>
      <c r="I412" s="18" t="str" cm="1">
        <f t="array" ref="I412">_xlfn.LET(_xlpm.text, D412,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12" s="18" t="str" cm="1">
        <f t="array" ref="J412">_xlfn.LET(_xlpm.text, E412,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2" s="14">
        <f t="shared" si="31"/>
        <v>45948</v>
      </c>
      <c r="L412" s="14">
        <f t="shared" si="32"/>
        <v>45948.624664351853</v>
      </c>
      <c r="N412" s="12"/>
    </row>
    <row r="413" spans="1:14" x14ac:dyDescent="0.25">
      <c r="A413" s="4" t="s">
        <v>442</v>
      </c>
      <c r="B413" s="16" t="str">
        <f t="shared" si="28"/>
        <v>MAA DURGA STONE CRUSHING COMPANY</v>
      </c>
      <c r="C413" s="16" t="str">
        <f t="shared" si="29"/>
        <v>CHADWAS(Chadwas/Bidasar/Sujangarh)</v>
      </c>
      <c r="D413" s="4" t="s">
        <v>3032</v>
      </c>
      <c r="E413" s="4" t="s">
        <v>3119</v>
      </c>
      <c r="F413" s="5">
        <v>45947.999664351853</v>
      </c>
      <c r="G413" s="16" t="str">
        <f t="shared" si="30"/>
        <v>MasonaryStone (Gitti)</v>
      </c>
      <c r="H413" s="4" t="s">
        <v>2266</v>
      </c>
      <c r="I413" s="18" t="str" cm="1">
        <f t="array" ref="I413">_xlfn.LET(_xlpm.text, D413,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13" s="18" t="str" cm="1">
        <f t="array" ref="J413">_xlfn.LET(_xlpm.text, E413,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3" s="14">
        <f t="shared" si="31"/>
        <v>45948</v>
      </c>
      <c r="L413" s="14">
        <f t="shared" si="32"/>
        <v>45948.624664351853</v>
      </c>
      <c r="N413" s="12"/>
    </row>
    <row r="414" spans="1:14" x14ac:dyDescent="0.25">
      <c r="A414" s="4" t="s">
        <v>443</v>
      </c>
      <c r="B414" s="16" t="str">
        <f t="shared" si="28"/>
        <v>MAA DURGA STONE CRUSHING COMPANY</v>
      </c>
      <c r="C414" s="16" t="str">
        <f t="shared" si="29"/>
        <v>CHADWAS(Chadwas/Bidasar/Sujangarh)</v>
      </c>
      <c r="D414" s="4" t="s">
        <v>3032</v>
      </c>
      <c r="E414" s="4" t="s">
        <v>3119</v>
      </c>
      <c r="F414" s="5">
        <v>45947.999664351853</v>
      </c>
      <c r="G414" s="16" t="str">
        <f t="shared" si="30"/>
        <v>MasonaryStone (Gitti)</v>
      </c>
      <c r="H414" s="4" t="s">
        <v>2267</v>
      </c>
      <c r="I414" s="18" t="str" cm="1">
        <f t="array" ref="I414">_xlfn.LET(_xlpm.text, D414,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14" s="18" t="str" cm="1">
        <f t="array" ref="J414">_xlfn.LET(_xlpm.text, E414,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4" s="14">
        <f t="shared" si="31"/>
        <v>45948</v>
      </c>
      <c r="L414" s="14">
        <f t="shared" si="32"/>
        <v>45948.624664351853</v>
      </c>
      <c r="N414" s="12"/>
    </row>
    <row r="415" spans="1:14" x14ac:dyDescent="0.25">
      <c r="A415" s="4" t="s">
        <v>444</v>
      </c>
      <c r="B415" s="16" t="str">
        <f t="shared" si="28"/>
        <v>MAA DURGA STONE CRUSHING COMPANY</v>
      </c>
      <c r="C415" s="16" t="str">
        <f t="shared" si="29"/>
        <v>CHADWAS(Chadwas/Bidasar/Sujangarh)</v>
      </c>
      <c r="D415" s="4" t="s">
        <v>3032</v>
      </c>
      <c r="E415" s="4" t="s">
        <v>3119</v>
      </c>
      <c r="F415" s="5">
        <v>45947.999664351853</v>
      </c>
      <c r="G415" s="16" t="str">
        <f t="shared" si="30"/>
        <v>MasonaryStone (Gitti)</v>
      </c>
      <c r="H415" s="4" t="s">
        <v>2268</v>
      </c>
      <c r="I415" s="18" t="str" cm="1">
        <f t="array" ref="I415">_xlfn.LET(_xlpm.text, D415,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15" s="18" t="str" cm="1">
        <f t="array" ref="J415">_xlfn.LET(_xlpm.text, E415,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5" s="14">
        <f t="shared" si="31"/>
        <v>45948</v>
      </c>
      <c r="L415" s="14">
        <f t="shared" si="32"/>
        <v>45948.624664351853</v>
      </c>
      <c r="N415" s="12"/>
    </row>
    <row r="416" spans="1:14" x14ac:dyDescent="0.25">
      <c r="A416" s="4" t="s">
        <v>445</v>
      </c>
      <c r="B416" s="16" t="str">
        <f t="shared" si="28"/>
        <v>M/s Sidhi Vinayak Aggregates Private Limated</v>
      </c>
      <c r="C416" s="16" t="str">
        <f t="shared" si="29"/>
        <v>Barsingo Ka Bas Lohawat()</v>
      </c>
      <c r="D416" s="4" t="s">
        <v>1382</v>
      </c>
      <c r="E416" s="4" t="s">
        <v>3119</v>
      </c>
      <c r="F416" s="5">
        <v>45953.999664351853</v>
      </c>
      <c r="G416" s="16" t="str">
        <f t="shared" si="30"/>
        <v>MasonaryStone (Gitti)</v>
      </c>
      <c r="H416" s="4" t="s">
        <v>2269</v>
      </c>
      <c r="I416" s="18" t="str" cm="1">
        <f t="array" ref="I416">_xlfn.LET(_xlpm.text, D416,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16" s="18" t="str" cm="1">
        <f t="array" ref="J416">_xlfn.LET(_xlpm.text, E416,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6" s="14">
        <f t="shared" si="31"/>
        <v>45954</v>
      </c>
      <c r="L416" s="14">
        <f t="shared" si="32"/>
        <v>45954.624664351853</v>
      </c>
      <c r="N416" s="12"/>
    </row>
    <row r="417" spans="1:14" x14ac:dyDescent="0.25">
      <c r="A417" s="4" t="s">
        <v>446</v>
      </c>
      <c r="B417" s="16" t="str">
        <f t="shared" si="28"/>
        <v>M/s Sidhi Vinayak Aggregates Private Limated</v>
      </c>
      <c r="C417" s="16" t="str">
        <f t="shared" si="29"/>
        <v>Barsingo Ka Bas Lohawat()</v>
      </c>
      <c r="D417" s="4" t="s">
        <v>1382</v>
      </c>
      <c r="E417" s="4" t="s">
        <v>3119</v>
      </c>
      <c r="F417" s="5">
        <v>45956.999664351853</v>
      </c>
      <c r="G417" s="16" t="str">
        <f t="shared" si="30"/>
        <v>MasonaryStone (Gitti)</v>
      </c>
      <c r="H417" s="4" t="s">
        <v>2270</v>
      </c>
      <c r="I417" s="18" t="str" cm="1">
        <f t="array" ref="I417">_xlfn.LET(_xlpm.text, D417,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17" s="18" t="str" cm="1">
        <f t="array" ref="J417">_xlfn.LET(_xlpm.text, E417,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7" s="14">
        <f t="shared" si="31"/>
        <v>45957</v>
      </c>
      <c r="L417" s="14">
        <f t="shared" si="32"/>
        <v>45957.624664351853</v>
      </c>
      <c r="N417" s="12"/>
    </row>
    <row r="418" spans="1:14" x14ac:dyDescent="0.25">
      <c r="A418" s="4" t="s">
        <v>447</v>
      </c>
      <c r="B418" s="16" t="str">
        <f t="shared" si="28"/>
        <v>MAA DURGA STONE CRUSHING COMPANY</v>
      </c>
      <c r="C418" s="16" t="str">
        <f t="shared" si="29"/>
        <v>CHADWAS(Chadwas/Bidasar/Sujangarh)</v>
      </c>
      <c r="D418" s="4" t="s">
        <v>3033</v>
      </c>
      <c r="E418" s="4" t="s">
        <v>3119</v>
      </c>
      <c r="F418" s="5">
        <v>45959.999664351853</v>
      </c>
      <c r="G418" s="16" t="str">
        <f t="shared" si="30"/>
        <v>MasonaryStone (Gitti)</v>
      </c>
      <c r="H418" s="4" t="s">
        <v>2271</v>
      </c>
      <c r="I418" s="18" t="str" cm="1">
        <f t="array" ref="I418">_xlfn.LET(_xlpm.text, D418,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18" s="18" t="str" cm="1">
        <f t="array" ref="J418">_xlfn.LET(_xlpm.text, E418,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8" s="14">
        <f t="shared" si="31"/>
        <v>45960</v>
      </c>
      <c r="L418" s="14">
        <f t="shared" si="32"/>
        <v>45960.624664351853</v>
      </c>
      <c r="N418" s="12"/>
    </row>
    <row r="419" spans="1:14" x14ac:dyDescent="0.25">
      <c r="A419" s="4" t="s">
        <v>448</v>
      </c>
      <c r="B419" s="16" t="str">
        <f t="shared" si="28"/>
        <v>MAA DURGA STONE CRUSHING COMPANY</v>
      </c>
      <c r="C419" s="16" t="str">
        <f t="shared" si="29"/>
        <v>CHADWAS(Chadwas/Bidasar/Sujangarh)</v>
      </c>
      <c r="D419" s="4" t="s">
        <v>3033</v>
      </c>
      <c r="E419" s="4" t="s">
        <v>3119</v>
      </c>
      <c r="F419" s="5">
        <v>45959.999664351853</v>
      </c>
      <c r="G419" s="16" t="str">
        <f t="shared" si="30"/>
        <v>MasonaryStone (Gitti)</v>
      </c>
      <c r="H419" s="4" t="s">
        <v>2272</v>
      </c>
      <c r="I419" s="18" t="str" cm="1">
        <f t="array" ref="I419">_xlfn.LET(_xlpm.text, D419,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19" s="18" t="str" cm="1">
        <f t="array" ref="J419">_xlfn.LET(_xlpm.text, E419,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19" s="14">
        <f t="shared" si="31"/>
        <v>45960</v>
      </c>
      <c r="L419" s="14">
        <f t="shared" si="32"/>
        <v>45960.624664351853</v>
      </c>
      <c r="N419" s="12"/>
    </row>
    <row r="420" spans="1:14" x14ac:dyDescent="0.25">
      <c r="A420" s="4" t="s">
        <v>449</v>
      </c>
      <c r="B420" s="16" t="str">
        <f t="shared" si="28"/>
        <v>MAA DURGA STONE CRUSHING COMPANY</v>
      </c>
      <c r="C420" s="16" t="str">
        <f t="shared" si="29"/>
        <v>CHADWAS(Chadwas/Bidasar/Sujangarh)</v>
      </c>
      <c r="D420" s="4" t="s">
        <v>3031</v>
      </c>
      <c r="E420" s="4" t="s">
        <v>3119</v>
      </c>
      <c r="F420" s="5">
        <v>45966.999664351853</v>
      </c>
      <c r="G420" s="16" t="str">
        <f t="shared" si="30"/>
        <v>MasonaryStone (Gitti)</v>
      </c>
      <c r="H420" s="4" t="s">
        <v>2273</v>
      </c>
      <c r="I420" s="18" t="str" cm="1">
        <f t="array" ref="I420">_xlfn.LET(_xlpm.text, D420,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20" s="18" t="str" cm="1">
        <f t="array" ref="J420">_xlfn.LET(_xlpm.text, E420,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0" s="14">
        <f t="shared" si="31"/>
        <v>45967</v>
      </c>
      <c r="L420" s="14">
        <f t="shared" si="32"/>
        <v>45967.624664351853</v>
      </c>
      <c r="N420" s="12"/>
    </row>
    <row r="421" spans="1:14" x14ac:dyDescent="0.25">
      <c r="A421" s="4" t="s">
        <v>450</v>
      </c>
      <c r="B421" s="16" t="str">
        <f t="shared" si="28"/>
        <v>MAA DURGA STONE CRUSHING COMPANY</v>
      </c>
      <c r="C421" s="16" t="str">
        <f t="shared" si="29"/>
        <v>CHADWAS(Chadwas/Bidasar/Sujangarh)</v>
      </c>
      <c r="D421" s="4" t="s">
        <v>3031</v>
      </c>
      <c r="E421" s="4" t="s">
        <v>3119</v>
      </c>
      <c r="F421" s="5">
        <v>45967.999664351853</v>
      </c>
      <c r="G421" s="16" t="str">
        <f t="shared" si="30"/>
        <v>MasonaryStone (Gitti)</v>
      </c>
      <c r="H421" s="4" t="s">
        <v>2257</v>
      </c>
      <c r="I421" s="18" t="str" cm="1">
        <f t="array" ref="I421">_xlfn.LET(_xlpm.text, D421,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21" s="18" t="str" cm="1">
        <f t="array" ref="J421">_xlfn.LET(_xlpm.text, E421,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1" s="14">
        <f t="shared" si="31"/>
        <v>45968</v>
      </c>
      <c r="L421" s="14">
        <f t="shared" si="32"/>
        <v>45968.624664351853</v>
      </c>
      <c r="N421" s="12"/>
    </row>
    <row r="422" spans="1:14" x14ac:dyDescent="0.25">
      <c r="A422" s="4" t="s">
        <v>451</v>
      </c>
      <c r="B422" s="16" t="str">
        <f t="shared" si="28"/>
        <v>MAA DURGA STONE CRUSHING COMPANY</v>
      </c>
      <c r="C422" s="16" t="str">
        <f t="shared" si="29"/>
        <v>CHADWAS(Chadwas/Bidasar/Sujangarh)</v>
      </c>
      <c r="D422" s="4" t="s">
        <v>3031</v>
      </c>
      <c r="E422" s="4" t="s">
        <v>3119</v>
      </c>
      <c r="F422" s="5">
        <v>45968.999664351853</v>
      </c>
      <c r="G422" s="16" t="str">
        <f t="shared" si="30"/>
        <v>MasonaryStone (Gitti)</v>
      </c>
      <c r="H422" s="4" t="s">
        <v>2274</v>
      </c>
      <c r="I422" s="18" t="str" cm="1">
        <f t="array" ref="I422">_xlfn.LET(_xlpm.text, D422,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22" s="18" t="str" cm="1">
        <f t="array" ref="J422">_xlfn.LET(_xlpm.text, E422,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2" s="14">
        <f t="shared" si="31"/>
        <v>45969</v>
      </c>
      <c r="L422" s="14">
        <f t="shared" si="32"/>
        <v>45969.624664351853</v>
      </c>
      <c r="N422" s="12"/>
    </row>
    <row r="423" spans="1:14" x14ac:dyDescent="0.25">
      <c r="A423" s="4" t="s">
        <v>452</v>
      </c>
      <c r="B423" s="16" t="str">
        <f t="shared" si="28"/>
        <v>MAA DURGA STONE CRUSHING COMPANY</v>
      </c>
      <c r="C423" s="16" t="str">
        <f t="shared" si="29"/>
        <v>CHADWAS(Chadwas/Bidasar/Sujangarh)</v>
      </c>
      <c r="D423" s="4" t="s">
        <v>3031</v>
      </c>
      <c r="E423" s="4" t="s">
        <v>3119</v>
      </c>
      <c r="F423" s="5">
        <v>45968.999664351853</v>
      </c>
      <c r="G423" s="16" t="str">
        <f t="shared" si="30"/>
        <v>MasonaryStone (Gitti)</v>
      </c>
      <c r="H423" s="4" t="s">
        <v>2275</v>
      </c>
      <c r="I423" s="18" t="str" cm="1">
        <f t="array" ref="I423">_xlfn.LET(_xlpm.text, D423,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23" s="18" t="str" cm="1">
        <f t="array" ref="J423">_xlfn.LET(_xlpm.text, E423,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3" s="14">
        <f t="shared" si="31"/>
        <v>45969</v>
      </c>
      <c r="L423" s="14">
        <f t="shared" si="32"/>
        <v>45969.624664351853</v>
      </c>
      <c r="N423" s="12"/>
    </row>
    <row r="424" spans="1:14" x14ac:dyDescent="0.25">
      <c r="A424" s="4" t="s">
        <v>453</v>
      </c>
      <c r="B424" s="16" t="str">
        <f t="shared" si="28"/>
        <v>MAA DURGA STONE CRUSHING COMPANY</v>
      </c>
      <c r="C424" s="16" t="str">
        <f t="shared" si="29"/>
        <v>CHADWAS(Chadwas/Bidasar/Sujangarh)</v>
      </c>
      <c r="D424" s="4" t="s">
        <v>3031</v>
      </c>
      <c r="E424" s="4" t="s">
        <v>3119</v>
      </c>
      <c r="F424" s="5">
        <v>45968.999664351853</v>
      </c>
      <c r="G424" s="16" t="str">
        <f t="shared" si="30"/>
        <v>MasonaryStone (Gitti)</v>
      </c>
      <c r="H424" s="4" t="s">
        <v>2276</v>
      </c>
      <c r="I424" s="18" t="str" cm="1">
        <f t="array" ref="I424">_xlfn.LET(_xlpm.text, D424,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24" s="18" t="str" cm="1">
        <f t="array" ref="J424">_xlfn.LET(_xlpm.text, E424,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4" s="14">
        <f t="shared" si="31"/>
        <v>45969</v>
      </c>
      <c r="L424" s="14">
        <f t="shared" si="32"/>
        <v>45969.624664351853</v>
      </c>
      <c r="N424" s="12"/>
    </row>
    <row r="425" spans="1:14" x14ac:dyDescent="0.25">
      <c r="A425" s="4" t="s">
        <v>454</v>
      </c>
      <c r="B425" s="16" t="str">
        <f t="shared" si="28"/>
        <v>MAA DURGA STONE CRUSHING COMPANY</v>
      </c>
      <c r="C425" s="16" t="str">
        <f t="shared" si="29"/>
        <v>CHADWAS(Chadwas/Bidasar/Sujangarh)</v>
      </c>
      <c r="D425" s="4" t="s">
        <v>3032</v>
      </c>
      <c r="E425" s="4" t="s">
        <v>3119</v>
      </c>
      <c r="F425" s="5">
        <v>45969.999664351853</v>
      </c>
      <c r="G425" s="16" t="str">
        <f t="shared" si="30"/>
        <v>MasonaryStone (Gitti)</v>
      </c>
      <c r="H425" s="4" t="s">
        <v>2277</v>
      </c>
      <c r="I425" s="18" t="str" cm="1">
        <f t="array" ref="I425">_xlfn.LET(_xlpm.text, D425,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25" s="18" t="str" cm="1">
        <f t="array" ref="J425">_xlfn.LET(_xlpm.text, E425,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5" s="14">
        <f t="shared" si="31"/>
        <v>45970</v>
      </c>
      <c r="L425" s="14">
        <f t="shared" si="32"/>
        <v>45970.624664351853</v>
      </c>
      <c r="N425" s="12"/>
    </row>
    <row r="426" spans="1:14" x14ac:dyDescent="0.25">
      <c r="A426" s="4" t="s">
        <v>455</v>
      </c>
      <c r="B426" s="16" t="str">
        <f t="shared" si="28"/>
        <v>Jagdamba Stone Crusher</v>
      </c>
      <c r="C426" s="16" t="str">
        <f t="shared" si="29"/>
        <v>Jagdamba Stone Crusher(Kodasar Bidavtaan/Sujangarh/Churu)</v>
      </c>
      <c r="D426" s="4" t="s">
        <v>3033</v>
      </c>
      <c r="E426" s="4" t="s">
        <v>3119</v>
      </c>
      <c r="F426" s="5">
        <v>45969.999664351853</v>
      </c>
      <c r="G426" s="16" t="str">
        <f t="shared" si="30"/>
        <v>MasonaryStone (Gitti)</v>
      </c>
      <c r="H426" s="4" t="s">
        <v>2278</v>
      </c>
      <c r="I426" s="18" t="str" cm="1">
        <f t="array" ref="I426">_xlfn.LET(_xlpm.text, D426,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26" s="18" t="str" cm="1">
        <f t="array" ref="J426">_xlfn.LET(_xlpm.text, E426,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6" s="14">
        <f t="shared" si="31"/>
        <v>45970</v>
      </c>
      <c r="L426" s="14">
        <f t="shared" si="32"/>
        <v>45970.624664351853</v>
      </c>
      <c r="N426" s="12"/>
    </row>
    <row r="427" spans="1:14" x14ac:dyDescent="0.25">
      <c r="A427" s="4" t="s">
        <v>456</v>
      </c>
      <c r="B427" s="16" t="str">
        <f t="shared" si="28"/>
        <v>MAA DURGA STONE CRUSHING COMPANY</v>
      </c>
      <c r="C427" s="16" t="str">
        <f t="shared" si="29"/>
        <v>CHADWAS(Chadwas/Bidasar/Sujangarh)</v>
      </c>
      <c r="D427" s="4" t="s">
        <v>3032</v>
      </c>
      <c r="E427" s="4" t="s">
        <v>3119</v>
      </c>
      <c r="F427" s="5">
        <v>45970.999664351853</v>
      </c>
      <c r="G427" s="16" t="str">
        <f t="shared" si="30"/>
        <v>MasonaryStone (Gitti)</v>
      </c>
      <c r="H427" s="4" t="s">
        <v>2279</v>
      </c>
      <c r="I427" s="18" t="str" cm="1">
        <f t="array" ref="I427">_xlfn.LET(_xlpm.text, D427,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27" s="18" t="str" cm="1">
        <f t="array" ref="J427">_xlfn.LET(_xlpm.text, E427,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7" s="14">
        <f t="shared" si="31"/>
        <v>45971</v>
      </c>
      <c r="L427" s="14">
        <f t="shared" si="32"/>
        <v>45971.624664351853</v>
      </c>
      <c r="N427" s="12"/>
    </row>
    <row r="428" spans="1:14" x14ac:dyDescent="0.25">
      <c r="A428" s="4" t="s">
        <v>457</v>
      </c>
      <c r="B428" s="16" t="str">
        <f t="shared" si="28"/>
        <v>Jagdamba Stone Crusher</v>
      </c>
      <c r="C428" s="16" t="str">
        <f t="shared" si="29"/>
        <v>Jagdamba Stone Crusher(Kodasar Bidavtaan/Sujangarh/Churu)</v>
      </c>
      <c r="D428" s="4" t="s">
        <v>3033</v>
      </c>
      <c r="E428" s="4" t="s">
        <v>3119</v>
      </c>
      <c r="F428" s="5">
        <v>45971.999664351853</v>
      </c>
      <c r="G428" s="16" t="str">
        <f t="shared" si="30"/>
        <v>MasonaryStone (Gitti)</v>
      </c>
      <c r="H428" s="4" t="s">
        <v>2280</v>
      </c>
      <c r="I428" s="18" t="str" cm="1">
        <f t="array" ref="I428">_xlfn.LET(_xlpm.text, D428,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28" s="18" t="str" cm="1">
        <f t="array" ref="J428">_xlfn.LET(_xlpm.text, E428,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8" s="14">
        <f t="shared" si="31"/>
        <v>45972</v>
      </c>
      <c r="L428" s="14">
        <f t="shared" si="32"/>
        <v>45972.624664351853</v>
      </c>
      <c r="N428" s="12"/>
    </row>
    <row r="429" spans="1:14" x14ac:dyDescent="0.25">
      <c r="A429" s="4" t="s">
        <v>458</v>
      </c>
      <c r="B429" s="16" t="str">
        <f t="shared" si="28"/>
        <v>M/s Sidhi Vinayak Aggregates Private Limated</v>
      </c>
      <c r="C429" s="16" t="str">
        <f t="shared" si="29"/>
        <v>Barsingo Ka Bas Lohawat()</v>
      </c>
      <c r="D429" s="4" t="s">
        <v>1382</v>
      </c>
      <c r="E429" s="4" t="s">
        <v>3119</v>
      </c>
      <c r="F429" s="5">
        <v>45971.999664351853</v>
      </c>
      <c r="G429" s="16" t="str">
        <f t="shared" si="30"/>
        <v>MasonaryStone (Gitti)</v>
      </c>
      <c r="H429" s="4" t="s">
        <v>2281</v>
      </c>
      <c r="I429" s="18" t="str" cm="1">
        <f t="array" ref="I429">_xlfn.LET(_xlpm.text, D429,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29" s="18" t="str" cm="1">
        <f t="array" ref="J429">_xlfn.LET(_xlpm.text, E429,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29" s="14">
        <f t="shared" si="31"/>
        <v>45972</v>
      </c>
      <c r="L429" s="14">
        <f t="shared" si="32"/>
        <v>45972.624664351853</v>
      </c>
      <c r="N429" s="12"/>
    </row>
    <row r="430" spans="1:14" x14ac:dyDescent="0.25">
      <c r="A430" s="4" t="s">
        <v>459</v>
      </c>
      <c r="B430" s="16" t="str">
        <f t="shared" si="28"/>
        <v>Jagdamba Stone Crusher</v>
      </c>
      <c r="C430" s="16" t="str">
        <f t="shared" si="29"/>
        <v>Jagdamba Stone Crusher(Kodasar Bidavtaan/Sujangarh/Churu)</v>
      </c>
      <c r="D430" s="4" t="s">
        <v>1382</v>
      </c>
      <c r="E430" s="4" t="s">
        <v>3119</v>
      </c>
      <c r="F430" s="5">
        <v>45971.999664351853</v>
      </c>
      <c r="G430" s="16" t="str">
        <f t="shared" si="30"/>
        <v>MasonaryStone (Gitti)</v>
      </c>
      <c r="H430" s="4" t="s">
        <v>2282</v>
      </c>
      <c r="I430" s="18" t="str" cm="1">
        <f t="array" ref="I430">_xlfn.LET(_xlpm.text, D430,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30" s="18" t="str" cm="1">
        <f t="array" ref="J430">_xlfn.LET(_xlpm.text, E430,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0" s="14">
        <f t="shared" si="31"/>
        <v>45972</v>
      </c>
      <c r="L430" s="14">
        <f t="shared" si="32"/>
        <v>45972.624664351853</v>
      </c>
      <c r="N430" s="12"/>
    </row>
    <row r="431" spans="1:14" x14ac:dyDescent="0.25">
      <c r="A431" s="4" t="s">
        <v>460</v>
      </c>
      <c r="B431" s="16" t="str">
        <f t="shared" si="28"/>
        <v>Jagdamba Stone Crusher</v>
      </c>
      <c r="C431" s="16" t="str">
        <f t="shared" si="29"/>
        <v>Jagdamba Stone Crusher(Kodasar Bidavtaan/Sujangarh/Churu)</v>
      </c>
      <c r="D431" s="4" t="s">
        <v>1382</v>
      </c>
      <c r="E431" s="4" t="s">
        <v>3119</v>
      </c>
      <c r="F431" s="5">
        <v>45971.999664351853</v>
      </c>
      <c r="G431" s="16" t="str">
        <f t="shared" si="30"/>
        <v>MasonaryStone (Gitti)</v>
      </c>
      <c r="H431" s="4" t="s">
        <v>2282</v>
      </c>
      <c r="I431" s="18" t="str" cm="1">
        <f t="array" ref="I431">_xlfn.LET(_xlpm.text, D431,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31" s="18" t="str" cm="1">
        <f t="array" ref="J431">_xlfn.LET(_xlpm.text, E431,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1" s="14">
        <f t="shared" si="31"/>
        <v>45972</v>
      </c>
      <c r="L431" s="14">
        <f t="shared" si="32"/>
        <v>45972.624664351853</v>
      </c>
      <c r="N431" s="12"/>
    </row>
    <row r="432" spans="1:14" x14ac:dyDescent="0.25">
      <c r="A432" s="4" t="s">
        <v>461</v>
      </c>
      <c r="B432" s="16" t="str">
        <f t="shared" si="28"/>
        <v>M/s Sidhi Vinayak Aggregates Private Limated</v>
      </c>
      <c r="C432" s="16" t="str">
        <f t="shared" si="29"/>
        <v>Barsingo Ka Bas Lohawat()</v>
      </c>
      <c r="D432" s="4" t="s">
        <v>1382</v>
      </c>
      <c r="E432" s="4" t="s">
        <v>3119</v>
      </c>
      <c r="F432" s="5">
        <v>45972.999664351853</v>
      </c>
      <c r="G432" s="16" t="str">
        <f t="shared" si="30"/>
        <v>MasonaryStone (Gitti)</v>
      </c>
      <c r="H432" s="4" t="s">
        <v>2283</v>
      </c>
      <c r="I432" s="18" t="str" cm="1">
        <f t="array" ref="I432">_xlfn.LET(_xlpm.text, D432,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32" s="18" t="str" cm="1">
        <f t="array" ref="J432">_xlfn.LET(_xlpm.text, E432,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2" s="14">
        <f t="shared" si="31"/>
        <v>45973</v>
      </c>
      <c r="L432" s="14">
        <f t="shared" si="32"/>
        <v>45973.624664351853</v>
      </c>
      <c r="N432" s="12"/>
    </row>
    <row r="433" spans="1:14" x14ac:dyDescent="0.25">
      <c r="A433" s="4" t="s">
        <v>462</v>
      </c>
      <c r="B433" s="16" t="str">
        <f t="shared" si="28"/>
        <v>Jagdamba Stone Crusher</v>
      </c>
      <c r="C433" s="16" t="str">
        <f t="shared" si="29"/>
        <v>Jagdamba Stone Crusher(Kodasar Bidavtaan/Sujangarh/Churu)</v>
      </c>
      <c r="D433" s="4" t="s">
        <v>1382</v>
      </c>
      <c r="E433" s="4" t="s">
        <v>3119</v>
      </c>
      <c r="F433" s="5">
        <v>45972.999664351853</v>
      </c>
      <c r="G433" s="16" t="str">
        <f t="shared" si="30"/>
        <v>MasonaryStone (Gitti)</v>
      </c>
      <c r="H433" s="4" t="s">
        <v>2284</v>
      </c>
      <c r="I433" s="18" t="str" cm="1">
        <f t="array" ref="I433">_xlfn.LET(_xlpm.text, D433,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33" s="18" t="str" cm="1">
        <f t="array" ref="J433">_xlfn.LET(_xlpm.text, E433,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3" s="14">
        <f t="shared" si="31"/>
        <v>45973</v>
      </c>
      <c r="L433" s="14">
        <f t="shared" si="32"/>
        <v>45973.624664351853</v>
      </c>
      <c r="N433" s="12"/>
    </row>
    <row r="434" spans="1:14" x14ac:dyDescent="0.25">
      <c r="A434" s="4" t="s">
        <v>463</v>
      </c>
      <c r="B434" s="16" t="str">
        <f t="shared" si="28"/>
        <v>Jagdamba Stone Crusher</v>
      </c>
      <c r="C434" s="16" t="str">
        <f t="shared" si="29"/>
        <v>Jagdamba Stone Crusher(Kodasar Bidavtaan/Sujangarh/Churu)</v>
      </c>
      <c r="D434" s="4" t="s">
        <v>1382</v>
      </c>
      <c r="E434" s="4" t="s">
        <v>3119</v>
      </c>
      <c r="F434" s="5">
        <v>45972.999664351853</v>
      </c>
      <c r="G434" s="16" t="str">
        <f t="shared" si="30"/>
        <v>MasonaryStone (Gitti)</v>
      </c>
      <c r="H434" s="4" t="s">
        <v>2285</v>
      </c>
      <c r="I434" s="18" t="str" cm="1">
        <f t="array" ref="I434">_xlfn.LET(_xlpm.text, D434,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34" s="18" t="str" cm="1">
        <f t="array" ref="J434">_xlfn.LET(_xlpm.text, E434,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4" s="14">
        <f t="shared" si="31"/>
        <v>45973</v>
      </c>
      <c r="L434" s="14">
        <f t="shared" si="32"/>
        <v>45973.624664351853</v>
      </c>
      <c r="N434" s="12"/>
    </row>
    <row r="435" spans="1:14" x14ac:dyDescent="0.25">
      <c r="A435" s="4" t="s">
        <v>464</v>
      </c>
      <c r="B435" s="16" t="str">
        <f t="shared" si="28"/>
        <v>MAA DURGA STONE CRUSHING COMPANY</v>
      </c>
      <c r="C435" s="16" t="str">
        <f t="shared" si="29"/>
        <v>CHADWAS(Chadwas/Bidasar/Sujangarh)</v>
      </c>
      <c r="D435" s="4" t="s">
        <v>3034</v>
      </c>
      <c r="E435" s="4" t="s">
        <v>3119</v>
      </c>
      <c r="F435" s="5">
        <v>45972.999664351853</v>
      </c>
      <c r="G435" s="16" t="str">
        <f t="shared" si="30"/>
        <v>MasonaryStone (Gitti)</v>
      </c>
      <c r="H435" s="4" t="s">
        <v>2286</v>
      </c>
      <c r="I435" s="18" t="str" cm="1">
        <f t="array" ref="I435">_xlfn.LET(_xlpm.text, D435,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35" s="18" t="str" cm="1">
        <f t="array" ref="J435">_xlfn.LET(_xlpm.text, E435,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5" s="14">
        <f t="shared" si="31"/>
        <v>45973</v>
      </c>
      <c r="L435" s="14">
        <f t="shared" si="32"/>
        <v>45973.624664351853</v>
      </c>
      <c r="N435" s="12"/>
    </row>
    <row r="436" spans="1:14" x14ac:dyDescent="0.25">
      <c r="A436" s="4" t="s">
        <v>465</v>
      </c>
      <c r="B436" s="16" t="str">
        <f t="shared" si="28"/>
        <v>MAA DURGA STONE CRUSHING COMPANY</v>
      </c>
      <c r="C436" s="16" t="str">
        <f t="shared" si="29"/>
        <v>CHADWAS(Chadwas/Bidasar/Sujangarh)</v>
      </c>
      <c r="D436" s="4" t="s">
        <v>3034</v>
      </c>
      <c r="E436" s="4" t="s">
        <v>3119</v>
      </c>
      <c r="F436" s="5">
        <v>45972.999664351853</v>
      </c>
      <c r="G436" s="16" t="str">
        <f t="shared" si="30"/>
        <v>MasonaryStone (Gitti)</v>
      </c>
      <c r="H436" s="4" t="s">
        <v>2287</v>
      </c>
      <c r="I436" s="18" t="str" cm="1">
        <f t="array" ref="I436">_xlfn.LET(_xlpm.text, D436,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36" s="18" t="str" cm="1">
        <f t="array" ref="J436">_xlfn.LET(_xlpm.text, E436,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6" s="14">
        <f t="shared" si="31"/>
        <v>45973</v>
      </c>
      <c r="L436" s="14">
        <f t="shared" si="32"/>
        <v>45973.624664351853</v>
      </c>
      <c r="N436" s="12"/>
    </row>
    <row r="437" spans="1:14" x14ac:dyDescent="0.25">
      <c r="A437" s="4" t="s">
        <v>466</v>
      </c>
      <c r="B437" s="16" t="str">
        <f t="shared" si="28"/>
        <v>MAA DURGA STONE CRUSHING COMPANY</v>
      </c>
      <c r="C437" s="16" t="str">
        <f t="shared" si="29"/>
        <v>CHADWAS(Chadwas/Bidasar/Sujangarh)</v>
      </c>
      <c r="D437" s="4" t="s">
        <v>3034</v>
      </c>
      <c r="E437" s="4" t="s">
        <v>3119</v>
      </c>
      <c r="F437" s="5">
        <v>45972.999664351853</v>
      </c>
      <c r="G437" s="16" t="str">
        <f t="shared" si="30"/>
        <v>MasonaryStone (Gitti)</v>
      </c>
      <c r="H437" s="4" t="s">
        <v>2288</v>
      </c>
      <c r="I437" s="18" t="str" cm="1">
        <f t="array" ref="I437">_xlfn.LET(_xlpm.text, D437,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37" s="18" t="str" cm="1">
        <f t="array" ref="J437">_xlfn.LET(_xlpm.text, E437,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7" s="14">
        <f t="shared" si="31"/>
        <v>45973</v>
      </c>
      <c r="L437" s="14">
        <f t="shared" si="32"/>
        <v>45973.624664351853</v>
      </c>
      <c r="N437" s="12"/>
    </row>
    <row r="438" spans="1:14" x14ac:dyDescent="0.25">
      <c r="A438" s="4" t="s">
        <v>467</v>
      </c>
      <c r="B438" s="16" t="str">
        <f t="shared" si="28"/>
        <v>MAA DURGA STONE CRUSHING COMPANY</v>
      </c>
      <c r="C438" s="16" t="str">
        <f t="shared" si="29"/>
        <v>CHADWAS(Chadwas/Bidasar/Sujangarh)</v>
      </c>
      <c r="D438" s="4" t="s">
        <v>3034</v>
      </c>
      <c r="E438" s="4" t="s">
        <v>3119</v>
      </c>
      <c r="F438" s="5">
        <v>45972.999664351853</v>
      </c>
      <c r="G438" s="16" t="str">
        <f t="shared" si="30"/>
        <v>MasonaryStone (Gitti)</v>
      </c>
      <c r="H438" s="4" t="s">
        <v>2289</v>
      </c>
      <c r="I438" s="18" t="str" cm="1">
        <f t="array" ref="I438">_xlfn.LET(_xlpm.text, D438,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38" s="18" t="str" cm="1">
        <f t="array" ref="J438">_xlfn.LET(_xlpm.text, E438,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8" s="14">
        <f t="shared" si="31"/>
        <v>45973</v>
      </c>
      <c r="L438" s="14">
        <f t="shared" si="32"/>
        <v>45973.624664351853</v>
      </c>
      <c r="N438" s="12"/>
    </row>
    <row r="439" spans="1:14" x14ac:dyDescent="0.25">
      <c r="A439" s="4" t="s">
        <v>468</v>
      </c>
      <c r="B439" s="16" t="str">
        <f t="shared" si="28"/>
        <v>MAA DURGA STONE CRUSHING COMPANY</v>
      </c>
      <c r="C439" s="16" t="str">
        <f t="shared" si="29"/>
        <v>CHADWAS(Chadwas/Bidasar/Sujangarh)</v>
      </c>
      <c r="D439" s="4" t="s">
        <v>3034</v>
      </c>
      <c r="E439" s="4" t="s">
        <v>3119</v>
      </c>
      <c r="F439" s="5">
        <v>45972.999664351853</v>
      </c>
      <c r="G439" s="16" t="str">
        <f t="shared" si="30"/>
        <v>MasonaryStone (Gitti)</v>
      </c>
      <c r="H439" s="4" t="s">
        <v>2290</v>
      </c>
      <c r="I439" s="18" t="str" cm="1">
        <f t="array" ref="I439">_xlfn.LET(_xlpm.text, D439,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39" s="18" t="str" cm="1">
        <f t="array" ref="J439">_xlfn.LET(_xlpm.text, E439,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39" s="14">
        <f t="shared" si="31"/>
        <v>45973</v>
      </c>
      <c r="L439" s="14">
        <f t="shared" si="32"/>
        <v>45973.624664351853</v>
      </c>
      <c r="N439" s="12"/>
    </row>
    <row r="440" spans="1:14" x14ac:dyDescent="0.25">
      <c r="A440" s="4" t="s">
        <v>469</v>
      </c>
      <c r="B440" s="16" t="str">
        <f t="shared" si="28"/>
        <v>MAA DURGA STONE CRUSHING COMPANY</v>
      </c>
      <c r="C440" s="16" t="str">
        <f t="shared" si="29"/>
        <v>CHADWAS(Chadwas/Bidasar/Sujangarh)</v>
      </c>
      <c r="D440" s="4" t="s">
        <v>3034</v>
      </c>
      <c r="E440" s="4" t="s">
        <v>3119</v>
      </c>
      <c r="F440" s="5">
        <v>45972.999664351853</v>
      </c>
      <c r="G440" s="16" t="str">
        <f t="shared" si="30"/>
        <v>MasonaryStone (Gitti)</v>
      </c>
      <c r="H440" s="4" t="s">
        <v>2291</v>
      </c>
      <c r="I440" s="18" t="str" cm="1">
        <f t="array" ref="I440">_xlfn.LET(_xlpm.text, D440,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40" s="18" t="str" cm="1">
        <f t="array" ref="J440">_xlfn.LET(_xlpm.text, E440,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0" s="14">
        <f t="shared" si="31"/>
        <v>45973</v>
      </c>
      <c r="L440" s="14">
        <f t="shared" si="32"/>
        <v>45973.624664351853</v>
      </c>
      <c r="N440" s="12"/>
    </row>
    <row r="441" spans="1:14" x14ac:dyDescent="0.25">
      <c r="A441" s="4" t="s">
        <v>470</v>
      </c>
      <c r="B441" s="16" t="str">
        <f t="shared" si="28"/>
        <v>MAA DURGA STONE CRUSHING COMPANY</v>
      </c>
      <c r="C441" s="16" t="str">
        <f t="shared" si="29"/>
        <v>CHADWAS(Chadwas/Bidasar/Sujangarh)</v>
      </c>
      <c r="D441" s="4" t="s">
        <v>3032</v>
      </c>
      <c r="E441" s="4" t="s">
        <v>3119</v>
      </c>
      <c r="F441" s="5">
        <v>45972.999664351853</v>
      </c>
      <c r="G441" s="16" t="str">
        <f t="shared" si="30"/>
        <v>MasonaryStone (Gitti)</v>
      </c>
      <c r="H441" s="4" t="s">
        <v>2292</v>
      </c>
      <c r="I441" s="18" t="str" cm="1">
        <f t="array" ref="I441">_xlfn.LET(_xlpm.text, D441,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41" s="18" t="str" cm="1">
        <f t="array" ref="J441">_xlfn.LET(_xlpm.text, E441,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1" s="14">
        <f t="shared" si="31"/>
        <v>45973</v>
      </c>
      <c r="L441" s="14">
        <f t="shared" si="32"/>
        <v>45973.624664351853</v>
      </c>
      <c r="N441" s="12"/>
    </row>
    <row r="442" spans="1:14" x14ac:dyDescent="0.25">
      <c r="A442" s="4" t="s">
        <v>471</v>
      </c>
      <c r="B442" s="16" t="str">
        <f t="shared" si="28"/>
        <v>MAA DURGA STONE CRUSHING COMPANY</v>
      </c>
      <c r="C442" s="16" t="str">
        <f t="shared" si="29"/>
        <v>CHADWAS(Chadwas/Bidasar/Sujangarh)</v>
      </c>
      <c r="D442" s="4" t="s">
        <v>3032</v>
      </c>
      <c r="E442" s="4" t="s">
        <v>3119</v>
      </c>
      <c r="F442" s="5">
        <v>45972.999664351853</v>
      </c>
      <c r="G442" s="16" t="str">
        <f t="shared" si="30"/>
        <v>MasonaryStone (Gitti)</v>
      </c>
      <c r="H442" s="4" t="s">
        <v>2292</v>
      </c>
      <c r="I442" s="18" t="str" cm="1">
        <f t="array" ref="I442">_xlfn.LET(_xlpm.text, D442,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42" s="18" t="str" cm="1">
        <f t="array" ref="J442">_xlfn.LET(_xlpm.text, E442,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2" s="14">
        <f t="shared" si="31"/>
        <v>45973</v>
      </c>
      <c r="L442" s="14">
        <f t="shared" si="32"/>
        <v>45973.624664351853</v>
      </c>
      <c r="N442" s="12"/>
    </row>
    <row r="443" spans="1:14" x14ac:dyDescent="0.25">
      <c r="A443" s="4" t="s">
        <v>472</v>
      </c>
      <c r="B443" s="16" t="str">
        <f t="shared" si="28"/>
        <v>M/s Sidhi Vinayak Aggregates Private Limated</v>
      </c>
      <c r="C443" s="16" t="str">
        <f t="shared" si="29"/>
        <v>Barsingo Ka Bas Lohawat()</v>
      </c>
      <c r="D443" s="4" t="s">
        <v>1382</v>
      </c>
      <c r="E443" s="4" t="s">
        <v>3119</v>
      </c>
      <c r="F443" s="5">
        <v>45973.999664351853</v>
      </c>
      <c r="G443" s="16" t="str">
        <f t="shared" si="30"/>
        <v>MasonaryStone (Gitti)</v>
      </c>
      <c r="H443" s="4" t="s">
        <v>2293</v>
      </c>
      <c r="I443" s="18" t="str" cm="1">
        <f t="array" ref="I443">_xlfn.LET(_xlpm.text, D443,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43" s="18" t="str" cm="1">
        <f t="array" ref="J443">_xlfn.LET(_xlpm.text, E443,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3" s="14">
        <f t="shared" si="31"/>
        <v>45974</v>
      </c>
      <c r="L443" s="14">
        <f t="shared" si="32"/>
        <v>45974.624664351853</v>
      </c>
      <c r="N443" s="12"/>
    </row>
    <row r="444" spans="1:14" x14ac:dyDescent="0.25">
      <c r="A444" s="4" t="s">
        <v>473</v>
      </c>
      <c r="B444" s="16" t="str">
        <f t="shared" si="28"/>
        <v>MAA DURGA STONE CRUSHING COMPANY</v>
      </c>
      <c r="C444" s="16" t="str">
        <f t="shared" si="29"/>
        <v>CHADWAS(Chadwas/Bidasar/Sujangarh)</v>
      </c>
      <c r="D444" s="4" t="s">
        <v>3034</v>
      </c>
      <c r="E444" s="4" t="s">
        <v>3119</v>
      </c>
      <c r="F444" s="5">
        <v>45973.999664351853</v>
      </c>
      <c r="G444" s="16" t="str">
        <f t="shared" si="30"/>
        <v>MasonaryStone (Gitti)</v>
      </c>
      <c r="H444" s="4" t="s">
        <v>2294</v>
      </c>
      <c r="I444" s="18" t="str" cm="1">
        <f t="array" ref="I444">_xlfn.LET(_xlpm.text, D444,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44" s="18" t="str" cm="1">
        <f t="array" ref="J444">_xlfn.LET(_xlpm.text, E444,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4" s="14">
        <f t="shared" si="31"/>
        <v>45974</v>
      </c>
      <c r="L444" s="14">
        <f t="shared" si="32"/>
        <v>45974.624664351853</v>
      </c>
      <c r="N444" s="12"/>
    </row>
    <row r="445" spans="1:14" x14ac:dyDescent="0.25">
      <c r="A445" s="4" t="s">
        <v>474</v>
      </c>
      <c r="B445" s="16" t="str">
        <f t="shared" si="28"/>
        <v>MAA DURGA STONE CRUSHING COMPANY</v>
      </c>
      <c r="C445" s="16" t="str">
        <f t="shared" si="29"/>
        <v>CHADWAS(Chadwas/Bidasar/Sujangarh)</v>
      </c>
      <c r="D445" s="4" t="s">
        <v>3034</v>
      </c>
      <c r="E445" s="4" t="s">
        <v>3119</v>
      </c>
      <c r="F445" s="5">
        <v>45973.999664351853</v>
      </c>
      <c r="G445" s="16" t="str">
        <f t="shared" si="30"/>
        <v>MasonaryStone (Gitti)</v>
      </c>
      <c r="H445" s="4" t="s">
        <v>2295</v>
      </c>
      <c r="I445" s="18" t="str" cm="1">
        <f t="array" ref="I445">_xlfn.LET(_xlpm.text, D445,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45" s="18" t="str" cm="1">
        <f t="array" ref="J445">_xlfn.LET(_xlpm.text, E445,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5" s="14">
        <f t="shared" si="31"/>
        <v>45974</v>
      </c>
      <c r="L445" s="14">
        <f t="shared" si="32"/>
        <v>45974.624664351853</v>
      </c>
      <c r="N445" s="12"/>
    </row>
    <row r="446" spans="1:14" x14ac:dyDescent="0.25">
      <c r="A446" s="4" t="s">
        <v>475</v>
      </c>
      <c r="B446" s="16" t="str">
        <f t="shared" si="28"/>
        <v>MAA DURGA STONE CRUSHING COMPANY</v>
      </c>
      <c r="C446" s="16" t="str">
        <f t="shared" si="29"/>
        <v>CHADWAS(Chadwas/Bidasar/Sujangarh)</v>
      </c>
      <c r="D446" s="4" t="s">
        <v>3034</v>
      </c>
      <c r="E446" s="4" t="s">
        <v>3119</v>
      </c>
      <c r="F446" s="5">
        <v>45973.999664351853</v>
      </c>
      <c r="G446" s="16" t="str">
        <f t="shared" si="30"/>
        <v>MasonaryStone (Gitti)</v>
      </c>
      <c r="H446" s="4" t="s">
        <v>2296</v>
      </c>
      <c r="I446" s="18" t="str" cm="1">
        <f t="array" ref="I446">_xlfn.LET(_xlpm.text, D446,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46" s="18" t="str" cm="1">
        <f t="array" ref="J446">_xlfn.LET(_xlpm.text, E446,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6" s="14">
        <f t="shared" si="31"/>
        <v>45974</v>
      </c>
      <c r="L446" s="14">
        <f t="shared" si="32"/>
        <v>45974.624664351853</v>
      </c>
      <c r="N446" s="12"/>
    </row>
    <row r="447" spans="1:14" x14ac:dyDescent="0.25">
      <c r="A447" s="4" t="s">
        <v>476</v>
      </c>
      <c r="B447" s="16" t="str">
        <f t="shared" si="28"/>
        <v>MAA DURGA STONE CRUSHING COMPANY</v>
      </c>
      <c r="C447" s="16" t="str">
        <f t="shared" si="29"/>
        <v>CHADWAS(Chadwas/Bidasar/Sujangarh)</v>
      </c>
      <c r="D447" s="4" t="s">
        <v>3034</v>
      </c>
      <c r="E447" s="4" t="s">
        <v>3119</v>
      </c>
      <c r="F447" s="5">
        <v>45973.999664351853</v>
      </c>
      <c r="G447" s="16" t="str">
        <f t="shared" si="30"/>
        <v>MasonaryStone (Gitti)</v>
      </c>
      <c r="H447" s="4" t="s">
        <v>2297</v>
      </c>
      <c r="I447" s="18" t="str" cm="1">
        <f t="array" ref="I447">_xlfn.LET(_xlpm.text, D447,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47" s="18" t="str" cm="1">
        <f t="array" ref="J447">_xlfn.LET(_xlpm.text, E447,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7" s="14">
        <f t="shared" si="31"/>
        <v>45974</v>
      </c>
      <c r="L447" s="14">
        <f t="shared" si="32"/>
        <v>45974.624664351853</v>
      </c>
      <c r="N447" s="12"/>
    </row>
    <row r="448" spans="1:14" x14ac:dyDescent="0.25">
      <c r="A448" s="4" t="s">
        <v>477</v>
      </c>
      <c r="B448" s="16" t="str">
        <f t="shared" si="28"/>
        <v>Jagdamba Stone Crusher</v>
      </c>
      <c r="C448" s="16" t="str">
        <f t="shared" si="29"/>
        <v>Jagdamba Stone Crusher(Kodasar Bidavtaan/Sujangarh/Churu)</v>
      </c>
      <c r="D448" s="4" t="s">
        <v>1382</v>
      </c>
      <c r="E448" s="4" t="s">
        <v>3119</v>
      </c>
      <c r="F448" s="5">
        <v>45974.999664351853</v>
      </c>
      <c r="G448" s="16" t="str">
        <f t="shared" si="30"/>
        <v>MasonaryStone (Gitti)</v>
      </c>
      <c r="H448" s="4" t="s">
        <v>2298</v>
      </c>
      <c r="I448" s="18" t="str" cm="1">
        <f t="array" ref="I448">_xlfn.LET(_xlpm.text, D448,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48" s="18" t="str" cm="1">
        <f t="array" ref="J448">_xlfn.LET(_xlpm.text, E448,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8" s="14">
        <f t="shared" si="31"/>
        <v>45975</v>
      </c>
      <c r="L448" s="14">
        <f t="shared" si="32"/>
        <v>45975.624664351853</v>
      </c>
      <c r="N448" s="12"/>
    </row>
    <row r="449" spans="1:14" x14ac:dyDescent="0.25">
      <c r="A449" s="4" t="s">
        <v>478</v>
      </c>
      <c r="B449" s="16" t="str">
        <f t="shared" si="28"/>
        <v>Jagdamba Stone Crusher</v>
      </c>
      <c r="C449" s="16" t="str">
        <f t="shared" si="29"/>
        <v>Jagdamba Stone Crusher(Kodasar Bidavtaan/Sujangarh/Churu)</v>
      </c>
      <c r="D449" s="4" t="s">
        <v>1382</v>
      </c>
      <c r="E449" s="4" t="s">
        <v>3119</v>
      </c>
      <c r="F449" s="5">
        <v>45974.999664351853</v>
      </c>
      <c r="G449" s="16" t="str">
        <f t="shared" si="30"/>
        <v>MasonaryStone (Gitti)</v>
      </c>
      <c r="H449" s="4" t="s">
        <v>2299</v>
      </c>
      <c r="I449" s="18" t="str" cm="1">
        <f t="array" ref="I449">_xlfn.LET(_xlpm.text, D449,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49" s="18" t="str" cm="1">
        <f t="array" ref="J449">_xlfn.LET(_xlpm.text, E449,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49" s="14">
        <f t="shared" si="31"/>
        <v>45975</v>
      </c>
      <c r="L449" s="14">
        <f t="shared" si="32"/>
        <v>45975.624664351853</v>
      </c>
      <c r="N449" s="12"/>
    </row>
    <row r="450" spans="1:14" x14ac:dyDescent="0.25">
      <c r="A450" s="4" t="s">
        <v>479</v>
      </c>
      <c r="B450" s="16" t="str">
        <f t="shared" ref="B450:B513" si="33">VLOOKUP(LEFT($A450,4)&amp;"*",$O$3:$R$17, 2, FALSE)</f>
        <v>Jagdamba Stone Crusher</v>
      </c>
      <c r="C450" s="16" t="str">
        <f t="shared" ref="C450:C513" si="34">VLOOKUP(LEFT($A450,4)&amp;"*",$O$3:$R$17, 3, FALSE)</f>
        <v>Jagdamba Stone Crusher(Kodasar Bidavtaan/Sujangarh/Churu)</v>
      </c>
      <c r="D450" s="4" t="s">
        <v>3033</v>
      </c>
      <c r="E450" s="4" t="s">
        <v>3119</v>
      </c>
      <c r="F450" s="5">
        <v>45974.999664351853</v>
      </c>
      <c r="G450" s="16" t="str">
        <f t="shared" ref="G450:G513" si="35">VLOOKUP(LEFT($A450,4)&amp;"*",$O$3:$R$17, 4, FALSE)</f>
        <v>MasonaryStone (Gitti)</v>
      </c>
      <c r="H450" s="4" t="s">
        <v>2300</v>
      </c>
      <c r="I450" s="18" t="str" cm="1">
        <f t="array" ref="I450">_xlfn.LET(_xlpm.text, D450,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50" s="18" t="str" cm="1">
        <f t="array" ref="J450">_xlfn.LET(_xlpm.text, E450,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0" s="14">
        <f t="shared" si="31"/>
        <v>45975</v>
      </c>
      <c r="L450" s="14">
        <f t="shared" si="32"/>
        <v>45975.624664351853</v>
      </c>
      <c r="N450" s="12"/>
    </row>
    <row r="451" spans="1:14" x14ac:dyDescent="0.25">
      <c r="A451" s="4" t="s">
        <v>480</v>
      </c>
      <c r="B451" s="16" t="str">
        <f t="shared" si="33"/>
        <v>MAA DURGA STONE CRUSHING COMPANY</v>
      </c>
      <c r="C451" s="16" t="str">
        <f t="shared" si="34"/>
        <v>CHADWAS(Chadwas/Bidasar/Sujangarh)</v>
      </c>
      <c r="D451" s="4" t="s">
        <v>3034</v>
      </c>
      <c r="E451" s="4" t="s">
        <v>3119</v>
      </c>
      <c r="F451" s="5">
        <v>45974.999664351853</v>
      </c>
      <c r="G451" s="16" t="str">
        <f t="shared" si="35"/>
        <v>MasonaryStone (Gitti)</v>
      </c>
      <c r="H451" s="4" t="s">
        <v>2301</v>
      </c>
      <c r="I451" s="18" t="str" cm="1">
        <f t="array" ref="I451">_xlfn.LET(_xlpm.text, D451,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51" s="18" t="str" cm="1">
        <f t="array" ref="J451">_xlfn.LET(_xlpm.text, E451,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1" s="14">
        <f t="shared" ref="K451:K514" si="36">F451+(29/86400)</f>
        <v>45975</v>
      </c>
      <c r="L451" s="14">
        <f t="shared" ref="L451:L514" si="37">F451+(15/24)</f>
        <v>45975.624664351853</v>
      </c>
      <c r="N451" s="12"/>
    </row>
    <row r="452" spans="1:14" x14ac:dyDescent="0.25">
      <c r="A452" s="4" t="s">
        <v>481</v>
      </c>
      <c r="B452" s="16" t="str">
        <f t="shared" si="33"/>
        <v>MAA DURGA STONE CRUSHING COMPANY</v>
      </c>
      <c r="C452" s="16" t="str">
        <f t="shared" si="34"/>
        <v>CHADWAS(Chadwas/Bidasar/Sujangarh)</v>
      </c>
      <c r="D452" s="4" t="s">
        <v>3034</v>
      </c>
      <c r="E452" s="4" t="s">
        <v>3119</v>
      </c>
      <c r="F452" s="5">
        <v>45974.999664351853</v>
      </c>
      <c r="G452" s="16" t="str">
        <f t="shared" si="35"/>
        <v>MasonaryStone (Gitti)</v>
      </c>
      <c r="H452" s="4" t="s">
        <v>2302</v>
      </c>
      <c r="I452" s="18" t="str" cm="1">
        <f t="array" ref="I452">_xlfn.LET(_xlpm.text, D452,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52" s="18" t="str" cm="1">
        <f t="array" ref="J452">_xlfn.LET(_xlpm.text, E452,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2" s="14">
        <f t="shared" si="36"/>
        <v>45975</v>
      </c>
      <c r="L452" s="14">
        <f t="shared" si="37"/>
        <v>45975.624664351853</v>
      </c>
      <c r="N452" s="12"/>
    </row>
    <row r="453" spans="1:14" x14ac:dyDescent="0.25">
      <c r="A453" s="4" t="s">
        <v>482</v>
      </c>
      <c r="B453" s="16" t="str">
        <f t="shared" si="33"/>
        <v>M/s Sidhi Vinayak Aggregates Private Limated</v>
      </c>
      <c r="C453" s="16" t="str">
        <f t="shared" si="34"/>
        <v>Barsingo Ka Bas Lohawat()</v>
      </c>
      <c r="D453" s="4" t="s">
        <v>1382</v>
      </c>
      <c r="E453" s="4" t="s">
        <v>3119</v>
      </c>
      <c r="F453" s="5">
        <v>45975.999664351853</v>
      </c>
      <c r="G453" s="16" t="str">
        <f t="shared" si="35"/>
        <v>MasonaryStone (Gitti)</v>
      </c>
      <c r="H453" s="4" t="s">
        <v>2303</v>
      </c>
      <c r="I453" s="18" t="str" cm="1">
        <f t="array" ref="I453">_xlfn.LET(_xlpm.text, D453,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53" s="18" t="str" cm="1">
        <f t="array" ref="J453">_xlfn.LET(_xlpm.text, E453,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3" s="14">
        <f t="shared" si="36"/>
        <v>45976</v>
      </c>
      <c r="L453" s="14">
        <f t="shared" si="37"/>
        <v>45976.624664351853</v>
      </c>
      <c r="N453" s="12"/>
    </row>
    <row r="454" spans="1:14" x14ac:dyDescent="0.25">
      <c r="A454" s="4" t="s">
        <v>483</v>
      </c>
      <c r="B454" s="16" t="str">
        <f t="shared" si="33"/>
        <v>MAA DURGA STONE CRUSHING COMPANY</v>
      </c>
      <c r="C454" s="16" t="str">
        <f t="shared" si="34"/>
        <v>CHADWAS(Chadwas/Bidasar/Sujangarh)</v>
      </c>
      <c r="D454" s="4" t="s">
        <v>3031</v>
      </c>
      <c r="E454" s="4" t="s">
        <v>3119</v>
      </c>
      <c r="F454" s="5">
        <v>45975.999664351853</v>
      </c>
      <c r="G454" s="16" t="str">
        <f t="shared" si="35"/>
        <v>MasonaryStone (Gitti)</v>
      </c>
      <c r="H454" s="4" t="s">
        <v>2304</v>
      </c>
      <c r="I454" s="18" t="str" cm="1">
        <f t="array" ref="I454">_xlfn.LET(_xlpm.text, D454,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54" s="18" t="str" cm="1">
        <f t="array" ref="J454">_xlfn.LET(_xlpm.text, E454,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4" s="14">
        <f t="shared" si="36"/>
        <v>45976</v>
      </c>
      <c r="L454" s="14">
        <f t="shared" si="37"/>
        <v>45976.624664351853</v>
      </c>
      <c r="N454" s="12"/>
    </row>
    <row r="455" spans="1:14" x14ac:dyDescent="0.25">
      <c r="A455" s="4" t="s">
        <v>484</v>
      </c>
      <c r="B455" s="16" t="str">
        <f t="shared" si="33"/>
        <v>MAA DURGA STONE CRUSHING COMPANY</v>
      </c>
      <c r="C455" s="16" t="str">
        <f t="shared" si="34"/>
        <v>CHADWAS(Chadwas/Bidasar/Sujangarh)</v>
      </c>
      <c r="D455" s="4" t="s">
        <v>3034</v>
      </c>
      <c r="E455" s="4" t="s">
        <v>3119</v>
      </c>
      <c r="F455" s="5">
        <v>45975.999664351853</v>
      </c>
      <c r="G455" s="16" t="str">
        <f t="shared" si="35"/>
        <v>MasonaryStone (Gitti)</v>
      </c>
      <c r="H455" s="4" t="s">
        <v>2305</v>
      </c>
      <c r="I455" s="18" t="str" cm="1">
        <f t="array" ref="I455">_xlfn.LET(_xlpm.text, D455,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55" s="18" t="str" cm="1">
        <f t="array" ref="J455">_xlfn.LET(_xlpm.text, E455,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5" s="14">
        <f t="shared" si="36"/>
        <v>45976</v>
      </c>
      <c r="L455" s="14">
        <f t="shared" si="37"/>
        <v>45976.624664351853</v>
      </c>
      <c r="N455" s="12"/>
    </row>
    <row r="456" spans="1:14" x14ac:dyDescent="0.25">
      <c r="A456" s="4" t="s">
        <v>485</v>
      </c>
      <c r="B456" s="16" t="str">
        <f t="shared" si="33"/>
        <v>MAA DURGA STONE CRUSHING COMPANY</v>
      </c>
      <c r="C456" s="16" t="str">
        <f t="shared" si="34"/>
        <v>CHADWAS(Chadwas/Bidasar/Sujangarh)</v>
      </c>
      <c r="D456" s="4" t="s">
        <v>3034</v>
      </c>
      <c r="E456" s="4" t="s">
        <v>3119</v>
      </c>
      <c r="F456" s="5">
        <v>45975.999664351853</v>
      </c>
      <c r="G456" s="16" t="str">
        <f t="shared" si="35"/>
        <v>MasonaryStone (Gitti)</v>
      </c>
      <c r="H456" s="4" t="s">
        <v>2306</v>
      </c>
      <c r="I456" s="18" t="str" cm="1">
        <f t="array" ref="I456">_xlfn.LET(_xlpm.text, D456,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56" s="18" t="str" cm="1">
        <f t="array" ref="J456">_xlfn.LET(_xlpm.text, E456,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6" s="14">
        <f t="shared" si="36"/>
        <v>45976</v>
      </c>
      <c r="L456" s="14">
        <f t="shared" si="37"/>
        <v>45976.624664351853</v>
      </c>
      <c r="N456" s="12"/>
    </row>
    <row r="457" spans="1:14" x14ac:dyDescent="0.25">
      <c r="A457" s="4" t="s">
        <v>486</v>
      </c>
      <c r="B457" s="16" t="str">
        <f t="shared" si="33"/>
        <v>MAA DURGA STONE CRUSHING COMPANY</v>
      </c>
      <c r="C457" s="16" t="str">
        <f t="shared" si="34"/>
        <v>CHADWAS(Chadwas/Bidasar/Sujangarh)</v>
      </c>
      <c r="D457" s="4" t="s">
        <v>3034</v>
      </c>
      <c r="E457" s="4" t="s">
        <v>3119</v>
      </c>
      <c r="F457" s="5">
        <v>45975.999664351853</v>
      </c>
      <c r="G457" s="16" t="str">
        <f t="shared" si="35"/>
        <v>MasonaryStone (Gitti)</v>
      </c>
      <c r="H457" s="4" t="s">
        <v>2307</v>
      </c>
      <c r="I457" s="18" t="str" cm="1">
        <f t="array" ref="I457">_xlfn.LET(_xlpm.text, D457,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57" s="18" t="str" cm="1">
        <f t="array" ref="J457">_xlfn.LET(_xlpm.text, E457,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7" s="14">
        <f t="shared" si="36"/>
        <v>45976</v>
      </c>
      <c r="L457" s="14">
        <f t="shared" si="37"/>
        <v>45976.624664351853</v>
      </c>
      <c r="N457" s="12"/>
    </row>
    <row r="458" spans="1:14" x14ac:dyDescent="0.25">
      <c r="A458" s="4" t="s">
        <v>487</v>
      </c>
      <c r="B458" s="16" t="str">
        <f t="shared" si="33"/>
        <v>MAA DURGA STONE CRUSHING COMPANY</v>
      </c>
      <c r="C458" s="16" t="str">
        <f t="shared" si="34"/>
        <v>CHADWAS(Chadwas/Bidasar/Sujangarh)</v>
      </c>
      <c r="D458" s="4" t="s">
        <v>3032</v>
      </c>
      <c r="E458" s="4" t="s">
        <v>3119</v>
      </c>
      <c r="F458" s="5">
        <v>45975.999664351853</v>
      </c>
      <c r="G458" s="16" t="str">
        <f t="shared" si="35"/>
        <v>MasonaryStone (Gitti)</v>
      </c>
      <c r="H458" s="4" t="s">
        <v>2308</v>
      </c>
      <c r="I458" s="18" t="str" cm="1">
        <f t="array" ref="I458">_xlfn.LET(_xlpm.text, D458,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58" s="18" t="str" cm="1">
        <f t="array" ref="J458">_xlfn.LET(_xlpm.text, E458,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8" s="14">
        <f t="shared" si="36"/>
        <v>45976</v>
      </c>
      <c r="L458" s="14">
        <f t="shared" si="37"/>
        <v>45976.624664351853</v>
      </c>
      <c r="N458" s="12"/>
    </row>
    <row r="459" spans="1:14" x14ac:dyDescent="0.25">
      <c r="A459" s="4" t="s">
        <v>488</v>
      </c>
      <c r="B459" s="16" t="str">
        <f t="shared" si="33"/>
        <v>MAA DURGA STONE CRUSHING COMPANY</v>
      </c>
      <c r="C459" s="16" t="str">
        <f t="shared" si="34"/>
        <v>CHADWAS(Chadwas/Bidasar/Sujangarh)</v>
      </c>
      <c r="D459" s="4" t="s">
        <v>3032</v>
      </c>
      <c r="E459" s="4" t="s">
        <v>3119</v>
      </c>
      <c r="F459" s="5">
        <v>45975.999664351853</v>
      </c>
      <c r="G459" s="16" t="str">
        <f t="shared" si="35"/>
        <v>MasonaryStone (Gitti)</v>
      </c>
      <c r="H459" s="4" t="s">
        <v>2309</v>
      </c>
      <c r="I459" s="18" t="str" cm="1">
        <f t="array" ref="I459">_xlfn.LET(_xlpm.text, D459,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59" s="18" t="str" cm="1">
        <f t="array" ref="J459">_xlfn.LET(_xlpm.text, E459,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59" s="14">
        <f t="shared" si="36"/>
        <v>45976</v>
      </c>
      <c r="L459" s="14">
        <f t="shared" si="37"/>
        <v>45976.624664351853</v>
      </c>
      <c r="N459" s="12"/>
    </row>
    <row r="460" spans="1:14" x14ac:dyDescent="0.25">
      <c r="A460" s="4" t="s">
        <v>489</v>
      </c>
      <c r="B460" s="16" t="str">
        <f t="shared" si="33"/>
        <v>MAA DURGA STONE CRUSHING COMPANY</v>
      </c>
      <c r="C460" s="16" t="str">
        <f t="shared" si="34"/>
        <v>CHADWAS(Chadwas/Bidasar/Sujangarh)</v>
      </c>
      <c r="D460" s="4" t="s">
        <v>3034</v>
      </c>
      <c r="E460" s="4" t="s">
        <v>3119</v>
      </c>
      <c r="F460" s="5">
        <v>45976.999664351853</v>
      </c>
      <c r="G460" s="16" t="str">
        <f t="shared" si="35"/>
        <v>MasonaryStone (Gitti)</v>
      </c>
      <c r="H460" s="4" t="s">
        <v>2310</v>
      </c>
      <c r="I460" s="18" t="str" cm="1">
        <f t="array" ref="I460">_xlfn.LET(_xlpm.text, D460,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60" s="18" t="str" cm="1">
        <f t="array" ref="J460">_xlfn.LET(_xlpm.text, E460,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0" s="14">
        <f t="shared" si="36"/>
        <v>45977</v>
      </c>
      <c r="L460" s="14">
        <f t="shared" si="37"/>
        <v>45977.624664351853</v>
      </c>
      <c r="N460" s="12"/>
    </row>
    <row r="461" spans="1:14" x14ac:dyDescent="0.25">
      <c r="A461" s="4" t="s">
        <v>490</v>
      </c>
      <c r="B461" s="16" t="str">
        <f t="shared" si="33"/>
        <v>MAA DURGA STONE CRUSHING COMPANY</v>
      </c>
      <c r="C461" s="16" t="str">
        <f t="shared" si="34"/>
        <v>CHADWAS(Chadwas/Bidasar/Sujangarh)</v>
      </c>
      <c r="D461" s="4" t="s">
        <v>3034</v>
      </c>
      <c r="E461" s="4" t="s">
        <v>3119</v>
      </c>
      <c r="F461" s="5">
        <v>45976.999664351853</v>
      </c>
      <c r="G461" s="16" t="str">
        <f t="shared" si="35"/>
        <v>MasonaryStone (Gitti)</v>
      </c>
      <c r="H461" s="4" t="s">
        <v>2311</v>
      </c>
      <c r="I461" s="18" t="str" cm="1">
        <f t="array" ref="I461">_xlfn.LET(_xlpm.text, D461,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61" s="18" t="str" cm="1">
        <f t="array" ref="J461">_xlfn.LET(_xlpm.text, E461,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1" s="14">
        <f t="shared" si="36"/>
        <v>45977</v>
      </c>
      <c r="L461" s="14">
        <f t="shared" si="37"/>
        <v>45977.624664351853</v>
      </c>
      <c r="N461" s="12"/>
    </row>
    <row r="462" spans="1:14" x14ac:dyDescent="0.25">
      <c r="A462" s="4" t="s">
        <v>491</v>
      </c>
      <c r="B462" s="16" t="str">
        <f t="shared" si="33"/>
        <v>MAA DURGA STONE CRUSHING COMPANY</v>
      </c>
      <c r="C462" s="16" t="str">
        <f t="shared" si="34"/>
        <v>CHADWAS(Chadwas/Bidasar/Sujangarh)</v>
      </c>
      <c r="D462" s="4" t="s">
        <v>3034</v>
      </c>
      <c r="E462" s="4" t="s">
        <v>3119</v>
      </c>
      <c r="F462" s="5">
        <v>45976.999664351853</v>
      </c>
      <c r="G462" s="16" t="str">
        <f t="shared" si="35"/>
        <v>MasonaryStone (Gitti)</v>
      </c>
      <c r="H462" s="4" t="s">
        <v>2312</v>
      </c>
      <c r="I462" s="18" t="str" cm="1">
        <f t="array" ref="I462">_xlfn.LET(_xlpm.text, D462,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62" s="18" t="str" cm="1">
        <f t="array" ref="J462">_xlfn.LET(_xlpm.text, E462,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2" s="14">
        <f t="shared" si="36"/>
        <v>45977</v>
      </c>
      <c r="L462" s="14">
        <f t="shared" si="37"/>
        <v>45977.624664351853</v>
      </c>
      <c r="N462" s="12"/>
    </row>
    <row r="463" spans="1:14" x14ac:dyDescent="0.25">
      <c r="A463" s="4" t="s">
        <v>492</v>
      </c>
      <c r="B463" s="16" t="str">
        <f t="shared" si="33"/>
        <v>M/s Sidhi Vinayak Aggregates Private Limated</v>
      </c>
      <c r="C463" s="16" t="str">
        <f t="shared" si="34"/>
        <v>Barsingo Ka Bas Lohawat()</v>
      </c>
      <c r="D463" s="4" t="s">
        <v>3031</v>
      </c>
      <c r="E463" s="4" t="s">
        <v>3119</v>
      </c>
      <c r="F463" s="5">
        <v>45977.999664351853</v>
      </c>
      <c r="G463" s="16" t="str">
        <f t="shared" si="35"/>
        <v>MasonaryStone (Gitti)</v>
      </c>
      <c r="H463" s="4" t="s">
        <v>2313</v>
      </c>
      <c r="I463" s="18" t="str" cm="1">
        <f t="array" ref="I463">_xlfn.LET(_xlpm.text, D463,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63" s="18" t="str" cm="1">
        <f t="array" ref="J463">_xlfn.LET(_xlpm.text, E463,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3" s="14">
        <f t="shared" si="36"/>
        <v>45978</v>
      </c>
      <c r="L463" s="14">
        <f t="shared" si="37"/>
        <v>45978.624664351853</v>
      </c>
      <c r="N463" s="12"/>
    </row>
    <row r="464" spans="1:14" x14ac:dyDescent="0.25">
      <c r="A464" s="4" t="s">
        <v>493</v>
      </c>
      <c r="B464" s="16" t="str">
        <f t="shared" si="33"/>
        <v>MAA DURGA STONE CRUSHING COMPANY</v>
      </c>
      <c r="C464" s="16" t="str">
        <f t="shared" si="34"/>
        <v>CHADWAS(Chadwas/Bidasar/Sujangarh)</v>
      </c>
      <c r="D464" s="4" t="s">
        <v>3031</v>
      </c>
      <c r="E464" s="4" t="s">
        <v>3119</v>
      </c>
      <c r="F464" s="5">
        <v>45978.999664351853</v>
      </c>
      <c r="G464" s="16" t="str">
        <f t="shared" si="35"/>
        <v>MasonaryStone (Gitti)</v>
      </c>
      <c r="H464" s="4" t="s">
        <v>2314</v>
      </c>
      <c r="I464" s="18" t="str" cm="1">
        <f t="array" ref="I464">_xlfn.LET(_xlpm.text, D464,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64" s="18" t="str" cm="1">
        <f t="array" ref="J464">_xlfn.LET(_xlpm.text, E464,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4" s="14">
        <f t="shared" si="36"/>
        <v>45979</v>
      </c>
      <c r="L464" s="14">
        <f t="shared" si="37"/>
        <v>45979.624664351853</v>
      </c>
      <c r="N464" s="12"/>
    </row>
    <row r="465" spans="1:14" x14ac:dyDescent="0.25">
      <c r="A465" s="4" t="s">
        <v>494</v>
      </c>
      <c r="B465" s="16" t="str">
        <f t="shared" si="33"/>
        <v>MAA DURGA STONE CRUSHING COMPANY</v>
      </c>
      <c r="C465" s="16" t="str">
        <f t="shared" si="34"/>
        <v>CHADWAS(Chadwas/Bidasar/Sujangarh)</v>
      </c>
      <c r="D465" s="4" t="s">
        <v>3031</v>
      </c>
      <c r="E465" s="4" t="s">
        <v>3119</v>
      </c>
      <c r="F465" s="5">
        <v>45978.999664351853</v>
      </c>
      <c r="G465" s="16" t="str">
        <f t="shared" si="35"/>
        <v>MasonaryStone (Gitti)</v>
      </c>
      <c r="H465" s="4" t="s">
        <v>2315</v>
      </c>
      <c r="I465" s="18" t="str" cm="1">
        <f t="array" ref="I465">_xlfn.LET(_xlpm.text, D465,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65" s="18" t="str" cm="1">
        <f t="array" ref="J465">_xlfn.LET(_xlpm.text, E465,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5" s="14">
        <f t="shared" si="36"/>
        <v>45979</v>
      </c>
      <c r="L465" s="14">
        <f t="shared" si="37"/>
        <v>45979.624664351853</v>
      </c>
      <c r="N465" s="12"/>
    </row>
    <row r="466" spans="1:14" x14ac:dyDescent="0.25">
      <c r="A466" s="4" t="s">
        <v>495</v>
      </c>
      <c r="B466" s="16" t="str">
        <f t="shared" si="33"/>
        <v>MAA DURGA STONE CRUSHING COMPANY</v>
      </c>
      <c r="C466" s="16" t="str">
        <f t="shared" si="34"/>
        <v>CHADWAS(Chadwas/Bidasar/Sujangarh)</v>
      </c>
      <c r="D466" s="4" t="s">
        <v>3031</v>
      </c>
      <c r="E466" s="4" t="s">
        <v>3119</v>
      </c>
      <c r="F466" s="5">
        <v>45978.999664351853</v>
      </c>
      <c r="G466" s="16" t="str">
        <f t="shared" si="35"/>
        <v>MasonaryStone (Gitti)</v>
      </c>
      <c r="H466" s="4" t="s">
        <v>2316</v>
      </c>
      <c r="I466" s="18" t="str" cm="1">
        <f t="array" ref="I466">_xlfn.LET(_xlpm.text, D466,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66" s="18" t="str" cm="1">
        <f t="array" ref="J466">_xlfn.LET(_xlpm.text, E466,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6" s="14">
        <f t="shared" si="36"/>
        <v>45979</v>
      </c>
      <c r="L466" s="14">
        <f t="shared" si="37"/>
        <v>45979.624664351853</v>
      </c>
      <c r="N466" s="12"/>
    </row>
    <row r="467" spans="1:14" x14ac:dyDescent="0.25">
      <c r="A467" s="4" t="s">
        <v>496</v>
      </c>
      <c r="B467" s="16" t="str">
        <f t="shared" si="33"/>
        <v>Jagdamba Stone Crusher</v>
      </c>
      <c r="C467" s="16" t="str">
        <f t="shared" si="34"/>
        <v>Jagdamba Stone Crusher(Kodasar Bidavtaan/Sujangarh/Churu)</v>
      </c>
      <c r="D467" s="4" t="s">
        <v>3033</v>
      </c>
      <c r="E467" s="4" t="s">
        <v>3119</v>
      </c>
      <c r="F467" s="5">
        <v>45978.999664351853</v>
      </c>
      <c r="G467" s="16" t="str">
        <f t="shared" si="35"/>
        <v>MasonaryStone (Gitti)</v>
      </c>
      <c r="H467" s="4" t="s">
        <v>2317</v>
      </c>
      <c r="I467" s="18" t="str" cm="1">
        <f t="array" ref="I467">_xlfn.LET(_xlpm.text, D467,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67" s="18" t="str" cm="1">
        <f t="array" ref="J467">_xlfn.LET(_xlpm.text, E467,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7" s="14">
        <f t="shared" si="36"/>
        <v>45979</v>
      </c>
      <c r="L467" s="14">
        <f t="shared" si="37"/>
        <v>45979.624664351853</v>
      </c>
      <c r="N467" s="12"/>
    </row>
    <row r="468" spans="1:14" x14ac:dyDescent="0.25">
      <c r="A468" s="4" t="s">
        <v>497</v>
      </c>
      <c r="B468" s="16" t="str">
        <f t="shared" si="33"/>
        <v>Jagdamba Stone Crusher</v>
      </c>
      <c r="C468" s="16" t="str">
        <f t="shared" si="34"/>
        <v>Jagdamba Stone Crusher(Kodasar Bidavtaan/Sujangarh/Churu)</v>
      </c>
      <c r="D468" s="4" t="s">
        <v>3033</v>
      </c>
      <c r="E468" s="4" t="s">
        <v>3119</v>
      </c>
      <c r="F468" s="5">
        <v>45978.999664351853</v>
      </c>
      <c r="G468" s="16" t="str">
        <f t="shared" si="35"/>
        <v>MasonaryStone (Gitti)</v>
      </c>
      <c r="H468" s="4" t="s">
        <v>2318</v>
      </c>
      <c r="I468" s="18" t="str" cm="1">
        <f t="array" ref="I468">_xlfn.LET(_xlpm.text, D468,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68" s="18" t="str" cm="1">
        <f t="array" ref="J468">_xlfn.LET(_xlpm.text, E468,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8" s="14">
        <f t="shared" si="36"/>
        <v>45979</v>
      </c>
      <c r="L468" s="14">
        <f t="shared" si="37"/>
        <v>45979.624664351853</v>
      </c>
      <c r="N468" s="12"/>
    </row>
    <row r="469" spans="1:14" x14ac:dyDescent="0.25">
      <c r="A469" s="4" t="s">
        <v>498</v>
      </c>
      <c r="B469" s="16" t="str">
        <f t="shared" si="33"/>
        <v>Jagdamba Stone Crusher</v>
      </c>
      <c r="C469" s="16" t="str">
        <f t="shared" si="34"/>
        <v>Jagdamba Stone Crusher(Kodasar Bidavtaan/Sujangarh/Churu)</v>
      </c>
      <c r="D469" s="4" t="s">
        <v>1382</v>
      </c>
      <c r="E469" s="4" t="s">
        <v>3119</v>
      </c>
      <c r="F469" s="5">
        <v>45979.999664351853</v>
      </c>
      <c r="G469" s="16" t="str">
        <f t="shared" si="35"/>
        <v>MasonaryStone (Gitti)</v>
      </c>
      <c r="H469" s="4" t="s">
        <v>2319</v>
      </c>
      <c r="I469" s="18" t="str" cm="1">
        <f t="array" ref="I469">_xlfn.LET(_xlpm.text, D469,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69" s="18" t="str" cm="1">
        <f t="array" ref="J469">_xlfn.LET(_xlpm.text, E469,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69" s="14">
        <f t="shared" si="36"/>
        <v>45980</v>
      </c>
      <c r="L469" s="14">
        <f t="shared" si="37"/>
        <v>45980.624664351853</v>
      </c>
      <c r="N469" s="12"/>
    </row>
    <row r="470" spans="1:14" x14ac:dyDescent="0.25">
      <c r="A470" s="4" t="s">
        <v>499</v>
      </c>
      <c r="B470" s="16" t="str">
        <f t="shared" si="33"/>
        <v>Jagdamba Stone Crusher</v>
      </c>
      <c r="C470" s="16" t="str">
        <f t="shared" si="34"/>
        <v>Jagdamba Stone Crusher(Kodasar Bidavtaan/Sujangarh/Churu)</v>
      </c>
      <c r="D470" s="4" t="s">
        <v>1382</v>
      </c>
      <c r="E470" s="4" t="s">
        <v>3119</v>
      </c>
      <c r="F470" s="5">
        <v>45979.999664351853</v>
      </c>
      <c r="G470" s="16" t="str">
        <f t="shared" si="35"/>
        <v>MasonaryStone (Gitti)</v>
      </c>
      <c r="H470" s="4" t="s">
        <v>2320</v>
      </c>
      <c r="I470" s="18" t="str" cm="1">
        <f t="array" ref="I470">_xlfn.LET(_xlpm.text, D470,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70" s="18" t="str" cm="1">
        <f t="array" ref="J470">_xlfn.LET(_xlpm.text, E470,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0" s="14">
        <f t="shared" si="36"/>
        <v>45980</v>
      </c>
      <c r="L470" s="14">
        <f t="shared" si="37"/>
        <v>45980.624664351853</v>
      </c>
      <c r="N470" s="12"/>
    </row>
    <row r="471" spans="1:14" x14ac:dyDescent="0.25">
      <c r="A471" s="4" t="s">
        <v>500</v>
      </c>
      <c r="B471" s="16" t="str">
        <f t="shared" si="33"/>
        <v>Jagdamba Stone Crusher</v>
      </c>
      <c r="C471" s="16" t="str">
        <f t="shared" si="34"/>
        <v>Jagdamba Stone Crusher(Kodasar Bidavtaan/Sujangarh/Churu)</v>
      </c>
      <c r="D471" s="4" t="s">
        <v>1382</v>
      </c>
      <c r="E471" s="4" t="s">
        <v>3119</v>
      </c>
      <c r="F471" s="5">
        <v>45979.999664351853</v>
      </c>
      <c r="G471" s="16" t="str">
        <f t="shared" si="35"/>
        <v>MasonaryStone (Gitti)</v>
      </c>
      <c r="H471" s="4" t="s">
        <v>2321</v>
      </c>
      <c r="I471" s="18" t="str" cm="1">
        <f t="array" ref="I471">_xlfn.LET(_xlpm.text, D471,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71" s="18" t="str" cm="1">
        <f t="array" ref="J471">_xlfn.LET(_xlpm.text, E471,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1" s="14">
        <f t="shared" si="36"/>
        <v>45980</v>
      </c>
      <c r="L471" s="14">
        <f t="shared" si="37"/>
        <v>45980.624664351853</v>
      </c>
      <c r="N471" s="12"/>
    </row>
    <row r="472" spans="1:14" x14ac:dyDescent="0.25">
      <c r="A472" s="4" t="s">
        <v>501</v>
      </c>
      <c r="B472" s="16" t="str">
        <f t="shared" si="33"/>
        <v>MAA DURGA STONE CRUSHING COMPANY</v>
      </c>
      <c r="C472" s="16" t="str">
        <f t="shared" si="34"/>
        <v>CHADWAS(Chadwas/Bidasar/Sujangarh)</v>
      </c>
      <c r="D472" s="4" t="s">
        <v>3031</v>
      </c>
      <c r="E472" s="4" t="s">
        <v>3119</v>
      </c>
      <c r="F472" s="5">
        <v>45980.999664351853</v>
      </c>
      <c r="G472" s="16" t="str">
        <f t="shared" si="35"/>
        <v>MasonaryStone (Gitti)</v>
      </c>
      <c r="H472" s="4" t="s">
        <v>2322</v>
      </c>
      <c r="I472" s="18" t="str" cm="1">
        <f t="array" ref="I472">_xlfn.LET(_xlpm.text, D472,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72" s="18" t="str" cm="1">
        <f t="array" ref="J472">_xlfn.LET(_xlpm.text, E472,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2" s="14">
        <f t="shared" si="36"/>
        <v>45981</v>
      </c>
      <c r="L472" s="14">
        <f t="shared" si="37"/>
        <v>45981.624664351853</v>
      </c>
      <c r="N472" s="12"/>
    </row>
    <row r="473" spans="1:14" x14ac:dyDescent="0.25">
      <c r="A473" s="4" t="s">
        <v>502</v>
      </c>
      <c r="B473" s="16" t="str">
        <f t="shared" si="33"/>
        <v>MAA DURGA STONE CRUSHING COMPANY</v>
      </c>
      <c r="C473" s="16" t="str">
        <f t="shared" si="34"/>
        <v>CHADWAS(Chadwas/Bidasar/Sujangarh)</v>
      </c>
      <c r="D473" s="4" t="s">
        <v>3031</v>
      </c>
      <c r="E473" s="4" t="s">
        <v>3119</v>
      </c>
      <c r="F473" s="5">
        <v>45980.999664351853</v>
      </c>
      <c r="G473" s="16" t="str">
        <f t="shared" si="35"/>
        <v>MasonaryStone (Gitti)</v>
      </c>
      <c r="H473" s="4" t="s">
        <v>2323</v>
      </c>
      <c r="I473" s="18" t="str" cm="1">
        <f t="array" ref="I473">_xlfn.LET(_xlpm.text, D473,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73" s="18" t="str" cm="1">
        <f t="array" ref="J473">_xlfn.LET(_xlpm.text, E473,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3" s="14">
        <f t="shared" si="36"/>
        <v>45981</v>
      </c>
      <c r="L473" s="14">
        <f t="shared" si="37"/>
        <v>45981.624664351853</v>
      </c>
      <c r="N473" s="12"/>
    </row>
    <row r="474" spans="1:14" x14ac:dyDescent="0.25">
      <c r="A474" s="4" t="s">
        <v>503</v>
      </c>
      <c r="B474" s="16" t="str">
        <f t="shared" si="33"/>
        <v>MAA DURGA STONE CRUSHING COMPANY</v>
      </c>
      <c r="C474" s="16" t="str">
        <f t="shared" si="34"/>
        <v>CHADWAS(Chadwas/Bidasar/Sujangarh)</v>
      </c>
      <c r="D474" s="4" t="s">
        <v>3032</v>
      </c>
      <c r="E474" s="4" t="s">
        <v>3119</v>
      </c>
      <c r="F474" s="5">
        <v>45980.999664351853</v>
      </c>
      <c r="G474" s="16" t="str">
        <f t="shared" si="35"/>
        <v>MasonaryStone (Gitti)</v>
      </c>
      <c r="H474" s="4" t="s">
        <v>2324</v>
      </c>
      <c r="I474" s="18" t="str" cm="1">
        <f t="array" ref="I474">_xlfn.LET(_xlpm.text, D474,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74" s="18" t="str" cm="1">
        <f t="array" ref="J474">_xlfn.LET(_xlpm.text, E474,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4" s="14">
        <f t="shared" si="36"/>
        <v>45981</v>
      </c>
      <c r="L474" s="14">
        <f t="shared" si="37"/>
        <v>45981.624664351853</v>
      </c>
      <c r="N474" s="12"/>
    </row>
    <row r="475" spans="1:14" x14ac:dyDescent="0.25">
      <c r="A475" s="4" t="s">
        <v>504</v>
      </c>
      <c r="B475" s="16" t="str">
        <f t="shared" si="33"/>
        <v>MAA DURGA STONE CRUSHING COMPANY</v>
      </c>
      <c r="C475" s="16" t="str">
        <f t="shared" si="34"/>
        <v>CHADWAS(Chadwas/Bidasar/Sujangarh)</v>
      </c>
      <c r="D475" s="4" t="s">
        <v>3032</v>
      </c>
      <c r="E475" s="4" t="s">
        <v>3119</v>
      </c>
      <c r="F475" s="5">
        <v>45980.999664351853</v>
      </c>
      <c r="G475" s="16" t="str">
        <f t="shared" si="35"/>
        <v>MasonaryStone (Gitti)</v>
      </c>
      <c r="H475" s="4" t="s">
        <v>414</v>
      </c>
      <c r="I475" s="18" t="str" cm="1">
        <f t="array" ref="I475">_xlfn.LET(_xlpm.text, D475,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75" s="18" t="str" cm="1">
        <f t="array" ref="J475">_xlfn.LET(_xlpm.text, E475,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5" s="14">
        <f t="shared" si="36"/>
        <v>45981</v>
      </c>
      <c r="L475" s="14">
        <f t="shared" si="37"/>
        <v>45981.624664351853</v>
      </c>
      <c r="N475" s="12"/>
    </row>
    <row r="476" spans="1:14" x14ac:dyDescent="0.25">
      <c r="A476" s="4" t="s">
        <v>505</v>
      </c>
      <c r="B476" s="16" t="str">
        <f t="shared" si="33"/>
        <v>MAA DURGA STONE CRUSHING COMPANY</v>
      </c>
      <c r="C476" s="16" t="str">
        <f t="shared" si="34"/>
        <v>CHADWAS(Chadwas/Bidasar/Sujangarh)</v>
      </c>
      <c r="D476" s="4" t="s">
        <v>3032</v>
      </c>
      <c r="E476" s="4" t="s">
        <v>3119</v>
      </c>
      <c r="F476" s="5">
        <v>45980.999664351853</v>
      </c>
      <c r="G476" s="16" t="str">
        <f t="shared" si="35"/>
        <v>MasonaryStone (Gitti)</v>
      </c>
      <c r="H476" s="4" t="s">
        <v>2325</v>
      </c>
      <c r="I476" s="18" t="str" cm="1">
        <f t="array" ref="I476">_xlfn.LET(_xlpm.text, D476,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76" s="18" t="str" cm="1">
        <f t="array" ref="J476">_xlfn.LET(_xlpm.text, E476,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6" s="14">
        <f t="shared" si="36"/>
        <v>45981</v>
      </c>
      <c r="L476" s="14">
        <f t="shared" si="37"/>
        <v>45981.624664351853</v>
      </c>
      <c r="N476" s="12"/>
    </row>
    <row r="477" spans="1:14" x14ac:dyDescent="0.25">
      <c r="A477" s="4" t="s">
        <v>506</v>
      </c>
      <c r="B477" s="16" t="str">
        <f t="shared" si="33"/>
        <v>MAA DURGA STONE CRUSHING COMPANY</v>
      </c>
      <c r="C477" s="16" t="str">
        <f t="shared" si="34"/>
        <v>CHADWAS(Chadwas/Bidasar/Sujangarh)</v>
      </c>
      <c r="D477" s="4" t="s">
        <v>3031</v>
      </c>
      <c r="E477" s="4" t="s">
        <v>3119</v>
      </c>
      <c r="F477" s="5">
        <v>45981.999664351853</v>
      </c>
      <c r="G477" s="16" t="str">
        <f t="shared" si="35"/>
        <v>MasonaryStone (Gitti)</v>
      </c>
      <c r="H477" s="4" t="s">
        <v>2326</v>
      </c>
      <c r="I477" s="18" t="str" cm="1">
        <f t="array" ref="I477">_xlfn.LET(_xlpm.text, D477,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77" s="18" t="str" cm="1">
        <f t="array" ref="J477">_xlfn.LET(_xlpm.text, E477,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7" s="14">
        <f t="shared" si="36"/>
        <v>45982</v>
      </c>
      <c r="L477" s="14">
        <f t="shared" si="37"/>
        <v>45982.624664351853</v>
      </c>
      <c r="N477" s="12"/>
    </row>
    <row r="478" spans="1:14" x14ac:dyDescent="0.25">
      <c r="A478" s="4" t="s">
        <v>507</v>
      </c>
      <c r="B478" s="16" t="str">
        <f t="shared" si="33"/>
        <v>MAA DURGA STONE CRUSHING COMPANY</v>
      </c>
      <c r="C478" s="16" t="str">
        <f t="shared" si="34"/>
        <v>CHADWAS(Chadwas/Bidasar/Sujangarh)</v>
      </c>
      <c r="D478" s="4" t="s">
        <v>3031</v>
      </c>
      <c r="E478" s="4" t="s">
        <v>3119</v>
      </c>
      <c r="F478" s="5">
        <v>45981.999664351853</v>
      </c>
      <c r="G478" s="16" t="str">
        <f t="shared" si="35"/>
        <v>MasonaryStone (Gitti)</v>
      </c>
      <c r="H478" s="4" t="s">
        <v>2327</v>
      </c>
      <c r="I478" s="18" t="str" cm="1">
        <f t="array" ref="I478">_xlfn.LET(_xlpm.text, D478,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78" s="18" t="str" cm="1">
        <f t="array" ref="J478">_xlfn.LET(_xlpm.text, E478,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8" s="14">
        <f t="shared" si="36"/>
        <v>45982</v>
      </c>
      <c r="L478" s="14">
        <f t="shared" si="37"/>
        <v>45982.624664351853</v>
      </c>
      <c r="N478" s="12"/>
    </row>
    <row r="479" spans="1:14" x14ac:dyDescent="0.25">
      <c r="A479" s="4" t="s">
        <v>508</v>
      </c>
      <c r="B479" s="16" t="str">
        <f t="shared" si="33"/>
        <v>MAA DURGA STONE CRUSHING COMPANY</v>
      </c>
      <c r="C479" s="16" t="str">
        <f t="shared" si="34"/>
        <v>CHADWAS(Chadwas/Bidasar/Sujangarh)</v>
      </c>
      <c r="D479" s="4" t="s">
        <v>3031</v>
      </c>
      <c r="E479" s="4" t="s">
        <v>3119</v>
      </c>
      <c r="F479" s="5">
        <v>45982.999664351853</v>
      </c>
      <c r="G479" s="16" t="str">
        <f t="shared" si="35"/>
        <v>MasonaryStone (Gitti)</v>
      </c>
      <c r="H479" s="4" t="s">
        <v>2328</v>
      </c>
      <c r="I479" s="18" t="str" cm="1">
        <f t="array" ref="I479">_xlfn.LET(_xlpm.text, D479,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79" s="18" t="str" cm="1">
        <f t="array" ref="J479">_xlfn.LET(_xlpm.text, E479,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79" s="14">
        <f t="shared" si="36"/>
        <v>45983</v>
      </c>
      <c r="L479" s="14">
        <f t="shared" si="37"/>
        <v>45983.624664351853</v>
      </c>
      <c r="N479" s="12"/>
    </row>
    <row r="480" spans="1:14" x14ac:dyDescent="0.25">
      <c r="A480" s="4" t="s">
        <v>509</v>
      </c>
      <c r="B480" s="16" t="str">
        <f t="shared" si="33"/>
        <v>MAA DURGA STONE CRUSHING COMPANY</v>
      </c>
      <c r="C480" s="16" t="str">
        <f t="shared" si="34"/>
        <v>CHADWAS(Chadwas/Bidasar/Sujangarh)</v>
      </c>
      <c r="D480" s="4" t="s">
        <v>3031</v>
      </c>
      <c r="E480" s="4" t="s">
        <v>3119</v>
      </c>
      <c r="F480" s="5">
        <v>45982.999664351853</v>
      </c>
      <c r="G480" s="16" t="str">
        <f t="shared" si="35"/>
        <v>MasonaryStone (Gitti)</v>
      </c>
      <c r="H480" s="4" t="s">
        <v>2329</v>
      </c>
      <c r="I480" s="18" t="str" cm="1">
        <f t="array" ref="I480">_xlfn.LET(_xlpm.text, D480,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80" s="18" t="str" cm="1">
        <f t="array" ref="J480">_xlfn.LET(_xlpm.text, E480,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0" s="14">
        <f t="shared" si="36"/>
        <v>45983</v>
      </c>
      <c r="L480" s="14">
        <f t="shared" si="37"/>
        <v>45983.624664351853</v>
      </c>
      <c r="N480" s="12"/>
    </row>
    <row r="481" spans="1:14" x14ac:dyDescent="0.25">
      <c r="A481" s="4" t="s">
        <v>510</v>
      </c>
      <c r="B481" s="16" t="str">
        <f t="shared" si="33"/>
        <v>MAA DURGA STONE CRUSHING COMPANY</v>
      </c>
      <c r="C481" s="16" t="str">
        <f t="shared" si="34"/>
        <v>CHADWAS(Chadwas/Bidasar/Sujangarh)</v>
      </c>
      <c r="D481" s="4" t="s">
        <v>3031</v>
      </c>
      <c r="E481" s="4" t="s">
        <v>3119</v>
      </c>
      <c r="F481" s="5">
        <v>45982.999664351853</v>
      </c>
      <c r="G481" s="16" t="str">
        <f t="shared" si="35"/>
        <v>MasonaryStone (Gitti)</v>
      </c>
      <c r="H481" s="4" t="s">
        <v>2330</v>
      </c>
      <c r="I481" s="18" t="str" cm="1">
        <f t="array" ref="I481">_xlfn.LET(_xlpm.text, D481,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81" s="18" t="str" cm="1">
        <f t="array" ref="J481">_xlfn.LET(_xlpm.text, E481,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1" s="14">
        <f t="shared" si="36"/>
        <v>45983</v>
      </c>
      <c r="L481" s="14">
        <f t="shared" si="37"/>
        <v>45983.624664351853</v>
      </c>
      <c r="N481" s="12"/>
    </row>
    <row r="482" spans="1:14" x14ac:dyDescent="0.25">
      <c r="A482" s="4" t="s">
        <v>511</v>
      </c>
      <c r="B482" s="16" t="str">
        <f t="shared" si="33"/>
        <v>MAA DURGA STONE CRUSHING COMPANY</v>
      </c>
      <c r="C482" s="16" t="str">
        <f t="shared" si="34"/>
        <v>CHADWAS(Chadwas/Bidasar/Sujangarh)</v>
      </c>
      <c r="D482" s="4" t="s">
        <v>3032</v>
      </c>
      <c r="E482" s="4" t="s">
        <v>3119</v>
      </c>
      <c r="F482" s="5">
        <v>45982.999664351853</v>
      </c>
      <c r="G482" s="16" t="str">
        <f t="shared" si="35"/>
        <v>MasonaryStone (Gitti)</v>
      </c>
      <c r="H482" s="4" t="s">
        <v>2331</v>
      </c>
      <c r="I482" s="18" t="str" cm="1">
        <f t="array" ref="I482">_xlfn.LET(_xlpm.text, D482,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82" s="18" t="str" cm="1">
        <f t="array" ref="J482">_xlfn.LET(_xlpm.text, E482,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2" s="14">
        <f t="shared" si="36"/>
        <v>45983</v>
      </c>
      <c r="L482" s="14">
        <f t="shared" si="37"/>
        <v>45983.624664351853</v>
      </c>
      <c r="N482" s="12"/>
    </row>
    <row r="483" spans="1:14" x14ac:dyDescent="0.25">
      <c r="A483" s="4" t="s">
        <v>512</v>
      </c>
      <c r="B483" s="16" t="str">
        <f t="shared" si="33"/>
        <v>MAA DURGA STONE CRUSHING COMPANY</v>
      </c>
      <c r="C483" s="16" t="str">
        <f t="shared" si="34"/>
        <v>CHADWAS(Chadwas/Bidasar/Sujangarh)</v>
      </c>
      <c r="D483" s="4" t="s">
        <v>3034</v>
      </c>
      <c r="E483" s="4" t="s">
        <v>3119</v>
      </c>
      <c r="F483" s="5">
        <v>45982.999664351853</v>
      </c>
      <c r="G483" s="16" t="str">
        <f t="shared" si="35"/>
        <v>MasonaryStone (Gitti)</v>
      </c>
      <c r="H483" s="4" t="s">
        <v>2332</v>
      </c>
      <c r="I483" s="18" t="str" cm="1">
        <f t="array" ref="I483">_xlfn.LET(_xlpm.text, D483,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83" s="18" t="str" cm="1">
        <f t="array" ref="J483">_xlfn.LET(_xlpm.text, E483,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3" s="14">
        <f t="shared" si="36"/>
        <v>45983</v>
      </c>
      <c r="L483" s="14">
        <f t="shared" si="37"/>
        <v>45983.624664351853</v>
      </c>
      <c r="N483" s="12"/>
    </row>
    <row r="484" spans="1:14" x14ac:dyDescent="0.25">
      <c r="A484" s="4" t="s">
        <v>513</v>
      </c>
      <c r="B484" s="16" t="str">
        <f t="shared" si="33"/>
        <v>MAA DURGA STONE CRUSHING COMPANY</v>
      </c>
      <c r="C484" s="16" t="str">
        <f t="shared" si="34"/>
        <v>CHADWAS(Chadwas/Bidasar/Sujangarh)</v>
      </c>
      <c r="D484" s="4" t="s">
        <v>3032</v>
      </c>
      <c r="E484" s="4" t="s">
        <v>3119</v>
      </c>
      <c r="F484" s="5">
        <v>45983.999664351853</v>
      </c>
      <c r="G484" s="16" t="str">
        <f t="shared" si="35"/>
        <v>MasonaryStone (Gitti)</v>
      </c>
      <c r="H484" s="4" t="s">
        <v>2333</v>
      </c>
      <c r="I484" s="18" t="str" cm="1">
        <f t="array" ref="I484">_xlfn.LET(_xlpm.text, D484,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84" s="18" t="str" cm="1">
        <f t="array" ref="J484">_xlfn.LET(_xlpm.text, E484,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4" s="14">
        <f t="shared" si="36"/>
        <v>45984</v>
      </c>
      <c r="L484" s="14">
        <f t="shared" si="37"/>
        <v>45984.624664351853</v>
      </c>
      <c r="N484" s="12"/>
    </row>
    <row r="485" spans="1:14" x14ac:dyDescent="0.25">
      <c r="A485" s="4" t="s">
        <v>514</v>
      </c>
      <c r="B485" s="16" t="str">
        <f t="shared" si="33"/>
        <v>MAA DURGA STONE CRUSHING COMPANY</v>
      </c>
      <c r="C485" s="16" t="str">
        <f t="shared" si="34"/>
        <v>CHADWAS(Chadwas/Bidasar/Sujangarh)</v>
      </c>
      <c r="D485" s="4" t="s">
        <v>3032</v>
      </c>
      <c r="E485" s="4" t="s">
        <v>3119</v>
      </c>
      <c r="F485" s="5">
        <v>45983.999664351853</v>
      </c>
      <c r="G485" s="16" t="str">
        <f t="shared" si="35"/>
        <v>MasonaryStone (Gitti)</v>
      </c>
      <c r="H485" s="4" t="s">
        <v>2334</v>
      </c>
      <c r="I485" s="18" t="str" cm="1">
        <f t="array" ref="I485">_xlfn.LET(_xlpm.text, D485,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85" s="18" t="str" cm="1">
        <f t="array" ref="J485">_xlfn.LET(_xlpm.text, E485,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5" s="14">
        <f t="shared" si="36"/>
        <v>45984</v>
      </c>
      <c r="L485" s="14">
        <f t="shared" si="37"/>
        <v>45984.624664351853</v>
      </c>
      <c r="N485" s="12"/>
    </row>
    <row r="486" spans="1:14" x14ac:dyDescent="0.25">
      <c r="A486" s="4" t="s">
        <v>515</v>
      </c>
      <c r="B486" s="16" t="str">
        <f t="shared" si="33"/>
        <v>MAA DURGA STONE CRUSHING COMPANY</v>
      </c>
      <c r="C486" s="16" t="str">
        <f t="shared" si="34"/>
        <v>CHADWAS(Chadwas/Bidasar/Sujangarh)</v>
      </c>
      <c r="D486" s="4" t="s">
        <v>3032</v>
      </c>
      <c r="E486" s="4" t="s">
        <v>3119</v>
      </c>
      <c r="F486" s="5">
        <v>45983.999664351853</v>
      </c>
      <c r="G486" s="16" t="str">
        <f t="shared" si="35"/>
        <v>MasonaryStone (Gitti)</v>
      </c>
      <c r="H486" s="4" t="s">
        <v>2335</v>
      </c>
      <c r="I486" s="18" t="str" cm="1">
        <f t="array" ref="I486">_xlfn.LET(_xlpm.text, D486,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86" s="18" t="str" cm="1">
        <f t="array" ref="J486">_xlfn.LET(_xlpm.text, E486,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6" s="14">
        <f t="shared" si="36"/>
        <v>45984</v>
      </c>
      <c r="L486" s="14">
        <f t="shared" si="37"/>
        <v>45984.624664351853</v>
      </c>
      <c r="N486" s="12"/>
    </row>
    <row r="487" spans="1:14" x14ac:dyDescent="0.25">
      <c r="A487" s="4" t="s">
        <v>516</v>
      </c>
      <c r="B487" s="16" t="str">
        <f t="shared" si="33"/>
        <v>Jagdamba Stone Crusher</v>
      </c>
      <c r="C487" s="16" t="str">
        <f t="shared" si="34"/>
        <v>Jagdamba Stone Crusher(Kodasar Bidavtaan/Sujangarh/Churu)</v>
      </c>
      <c r="D487" s="4" t="s">
        <v>3033</v>
      </c>
      <c r="E487" s="4" t="s">
        <v>3119</v>
      </c>
      <c r="F487" s="5">
        <v>45984.999664351853</v>
      </c>
      <c r="G487" s="16" t="str">
        <f t="shared" si="35"/>
        <v>MasonaryStone (Gitti)</v>
      </c>
      <c r="H487" s="4" t="s">
        <v>2336</v>
      </c>
      <c r="I487" s="18" t="str" cm="1">
        <f t="array" ref="I487">_xlfn.LET(_xlpm.text, D487,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87" s="18" t="str" cm="1">
        <f t="array" ref="J487">_xlfn.LET(_xlpm.text, E487,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7" s="14">
        <f t="shared" si="36"/>
        <v>45985</v>
      </c>
      <c r="L487" s="14">
        <f t="shared" si="37"/>
        <v>45985.624664351853</v>
      </c>
      <c r="N487" s="12"/>
    </row>
    <row r="488" spans="1:14" x14ac:dyDescent="0.25">
      <c r="A488" s="4" t="s">
        <v>517</v>
      </c>
      <c r="B488" s="16" t="str">
        <f t="shared" si="33"/>
        <v>Jagdamba Stone Crusher</v>
      </c>
      <c r="C488" s="16" t="str">
        <f t="shared" si="34"/>
        <v>Jagdamba Stone Crusher(Kodasar Bidavtaan/Sujangarh/Churu)</v>
      </c>
      <c r="D488" s="4" t="s">
        <v>1382</v>
      </c>
      <c r="E488" s="4" t="s">
        <v>3119</v>
      </c>
      <c r="F488" s="5">
        <v>45984.999664351853</v>
      </c>
      <c r="G488" s="16" t="str">
        <f t="shared" si="35"/>
        <v>MasonaryStone (Gitti)</v>
      </c>
      <c r="H488" s="4" t="s">
        <v>2337</v>
      </c>
      <c r="I488" s="18" t="str" cm="1">
        <f t="array" ref="I488">_xlfn.LET(_xlpm.text, D488,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88" s="18" t="str" cm="1">
        <f t="array" ref="J488">_xlfn.LET(_xlpm.text, E488,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8" s="14">
        <f t="shared" si="36"/>
        <v>45985</v>
      </c>
      <c r="L488" s="14">
        <f t="shared" si="37"/>
        <v>45985.624664351853</v>
      </c>
      <c r="N488" s="12"/>
    </row>
    <row r="489" spans="1:14" x14ac:dyDescent="0.25">
      <c r="A489" s="4" t="s">
        <v>518</v>
      </c>
      <c r="B489" s="16" t="str">
        <f t="shared" si="33"/>
        <v>Jagdamba Stone Crusher</v>
      </c>
      <c r="C489" s="16" t="str">
        <f t="shared" si="34"/>
        <v>Jagdamba Stone Crusher(Kodasar Bidavtaan/Sujangarh/Churu)</v>
      </c>
      <c r="D489" s="4" t="s">
        <v>1382</v>
      </c>
      <c r="E489" s="4" t="s">
        <v>3119</v>
      </c>
      <c r="F489" s="5">
        <v>45984.999664351853</v>
      </c>
      <c r="G489" s="16" t="str">
        <f t="shared" si="35"/>
        <v>MasonaryStone (Gitti)</v>
      </c>
      <c r="H489" s="4" t="s">
        <v>2338</v>
      </c>
      <c r="I489" s="18" t="str" cm="1">
        <f t="array" ref="I489">_xlfn.LET(_xlpm.text, D489,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89" s="18" t="str" cm="1">
        <f t="array" ref="J489">_xlfn.LET(_xlpm.text, E489,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89" s="14">
        <f t="shared" si="36"/>
        <v>45985</v>
      </c>
      <c r="L489" s="14">
        <f t="shared" si="37"/>
        <v>45985.624664351853</v>
      </c>
      <c r="N489" s="12"/>
    </row>
    <row r="490" spans="1:14" x14ac:dyDescent="0.25">
      <c r="A490" s="4" t="s">
        <v>519</v>
      </c>
      <c r="B490" s="16" t="str">
        <f t="shared" si="33"/>
        <v>MAA DURGA STONE CRUSHING COMPANY</v>
      </c>
      <c r="C490" s="16" t="str">
        <f t="shared" si="34"/>
        <v>CHADWAS(Chadwas/Bidasar/Sujangarh)</v>
      </c>
      <c r="D490" s="4" t="s">
        <v>3034</v>
      </c>
      <c r="E490" s="4" t="s">
        <v>3119</v>
      </c>
      <c r="F490" s="5">
        <v>45984.999664351853</v>
      </c>
      <c r="G490" s="16" t="str">
        <f t="shared" si="35"/>
        <v>MasonaryStone (Gitti)</v>
      </c>
      <c r="H490" s="4" t="s">
        <v>2339</v>
      </c>
      <c r="I490" s="18" t="str" cm="1">
        <f t="array" ref="I490">_xlfn.LET(_xlpm.text, D490,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90" s="18" t="str" cm="1">
        <f t="array" ref="J490">_xlfn.LET(_xlpm.text, E490,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0" s="14">
        <f t="shared" si="36"/>
        <v>45985</v>
      </c>
      <c r="L490" s="14">
        <f t="shared" si="37"/>
        <v>45985.624664351853</v>
      </c>
      <c r="N490" s="12"/>
    </row>
    <row r="491" spans="1:14" x14ac:dyDescent="0.25">
      <c r="A491" s="4" t="s">
        <v>520</v>
      </c>
      <c r="B491" s="16" t="str">
        <f t="shared" si="33"/>
        <v>MAA DURGA STONE CRUSHING COMPANY</v>
      </c>
      <c r="C491" s="16" t="str">
        <f t="shared" si="34"/>
        <v>CHADWAS(Chadwas/Bidasar/Sujangarh)</v>
      </c>
      <c r="D491" s="4" t="s">
        <v>3034</v>
      </c>
      <c r="E491" s="4" t="s">
        <v>3119</v>
      </c>
      <c r="F491" s="5">
        <v>45984.999664351853</v>
      </c>
      <c r="G491" s="16" t="str">
        <f t="shared" si="35"/>
        <v>MasonaryStone (Gitti)</v>
      </c>
      <c r="H491" s="4" t="s">
        <v>2340</v>
      </c>
      <c r="I491" s="18" t="str" cm="1">
        <f t="array" ref="I491">_xlfn.LET(_xlpm.text, D491,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491" s="18" t="str" cm="1">
        <f t="array" ref="J491">_xlfn.LET(_xlpm.text, E491,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1" s="14">
        <f t="shared" si="36"/>
        <v>45985</v>
      </c>
      <c r="L491" s="14">
        <f t="shared" si="37"/>
        <v>45985.624664351853</v>
      </c>
      <c r="N491" s="12"/>
    </row>
    <row r="492" spans="1:14" x14ac:dyDescent="0.25">
      <c r="A492" s="4" t="s">
        <v>521</v>
      </c>
      <c r="B492" s="16" t="str">
        <f t="shared" si="33"/>
        <v>MAA DURGA STONE CRUSHING COMPANY</v>
      </c>
      <c r="C492" s="16" t="str">
        <f t="shared" si="34"/>
        <v>CHADWAS(Chadwas/Bidasar/Sujangarh)</v>
      </c>
      <c r="D492" s="4" t="s">
        <v>3031</v>
      </c>
      <c r="E492" s="4" t="s">
        <v>3119</v>
      </c>
      <c r="F492" s="5">
        <v>45984.999664351853</v>
      </c>
      <c r="G492" s="16" t="str">
        <f t="shared" si="35"/>
        <v>MasonaryStone (Gitti)</v>
      </c>
      <c r="H492" s="4" t="s">
        <v>2341</v>
      </c>
      <c r="I492" s="18" t="str" cm="1">
        <f t="array" ref="I492">_xlfn.LET(_xlpm.text, D492,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92" s="18" t="str" cm="1">
        <f t="array" ref="J492">_xlfn.LET(_xlpm.text, E492,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2" s="14">
        <f t="shared" si="36"/>
        <v>45985</v>
      </c>
      <c r="L492" s="14">
        <f t="shared" si="37"/>
        <v>45985.624664351853</v>
      </c>
      <c r="N492" s="12"/>
    </row>
    <row r="493" spans="1:14" x14ac:dyDescent="0.25">
      <c r="A493" s="4" t="s">
        <v>522</v>
      </c>
      <c r="B493" s="16" t="str">
        <f t="shared" si="33"/>
        <v>MAA DURGA STONE CRUSHING COMPANY</v>
      </c>
      <c r="C493" s="16" t="str">
        <f t="shared" si="34"/>
        <v>CHADWAS(Chadwas/Bidasar/Sujangarh)</v>
      </c>
      <c r="D493" s="4" t="s">
        <v>3031</v>
      </c>
      <c r="E493" s="4" t="s">
        <v>3119</v>
      </c>
      <c r="F493" s="5">
        <v>45984.999664351853</v>
      </c>
      <c r="G493" s="16" t="str">
        <f t="shared" si="35"/>
        <v>MasonaryStone (Gitti)</v>
      </c>
      <c r="H493" s="4" t="s">
        <v>2342</v>
      </c>
      <c r="I493" s="18" t="str" cm="1">
        <f t="array" ref="I493">_xlfn.LET(_xlpm.text, D493,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93" s="18" t="str" cm="1">
        <f t="array" ref="J493">_xlfn.LET(_xlpm.text, E493,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3" s="14">
        <f t="shared" si="36"/>
        <v>45985</v>
      </c>
      <c r="L493" s="14">
        <f t="shared" si="37"/>
        <v>45985.624664351853</v>
      </c>
      <c r="N493" s="12"/>
    </row>
    <row r="494" spans="1:14" x14ac:dyDescent="0.25">
      <c r="A494" s="4" t="s">
        <v>523</v>
      </c>
      <c r="B494" s="16" t="str">
        <f t="shared" si="33"/>
        <v>MAA DURGA STONE CRUSHING COMPANY</v>
      </c>
      <c r="C494" s="16" t="str">
        <f t="shared" si="34"/>
        <v>CHADWAS(Chadwas/Bidasar/Sujangarh)</v>
      </c>
      <c r="D494" s="4" t="s">
        <v>3032</v>
      </c>
      <c r="E494" s="4" t="s">
        <v>3119</v>
      </c>
      <c r="F494" s="5">
        <v>45984.999664351853</v>
      </c>
      <c r="G494" s="16" t="str">
        <f t="shared" si="35"/>
        <v>MasonaryStone (Gitti)</v>
      </c>
      <c r="H494" s="4" t="s">
        <v>2343</v>
      </c>
      <c r="I494" s="18" t="str" cm="1">
        <f t="array" ref="I494">_xlfn.LET(_xlpm.text, D494,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94" s="18" t="str" cm="1">
        <f t="array" ref="J494">_xlfn.LET(_xlpm.text, E494,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4" s="14">
        <f t="shared" si="36"/>
        <v>45985</v>
      </c>
      <c r="L494" s="14">
        <f t="shared" si="37"/>
        <v>45985.624664351853</v>
      </c>
      <c r="N494" s="12"/>
    </row>
    <row r="495" spans="1:14" x14ac:dyDescent="0.25">
      <c r="A495" s="4" t="s">
        <v>524</v>
      </c>
      <c r="B495" s="16" t="str">
        <f t="shared" si="33"/>
        <v>MAA DURGA STONE CRUSHING COMPANY</v>
      </c>
      <c r="C495" s="16" t="str">
        <f t="shared" si="34"/>
        <v>CHADWAS(Chadwas/Bidasar/Sujangarh)</v>
      </c>
      <c r="D495" s="4" t="s">
        <v>3032</v>
      </c>
      <c r="E495" s="4" t="s">
        <v>3119</v>
      </c>
      <c r="F495" s="5">
        <v>45984.999664351853</v>
      </c>
      <c r="G495" s="16" t="str">
        <f t="shared" si="35"/>
        <v>MasonaryStone (Gitti)</v>
      </c>
      <c r="H495" s="4" t="s">
        <v>2344</v>
      </c>
      <c r="I495" s="18" t="str" cm="1">
        <f t="array" ref="I495">_xlfn.LET(_xlpm.text, D495,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495" s="18" t="str" cm="1">
        <f t="array" ref="J495">_xlfn.LET(_xlpm.text, E495,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5" s="14">
        <f t="shared" si="36"/>
        <v>45985</v>
      </c>
      <c r="L495" s="14">
        <f t="shared" si="37"/>
        <v>45985.624664351853</v>
      </c>
      <c r="N495" s="12"/>
    </row>
    <row r="496" spans="1:14" x14ac:dyDescent="0.25">
      <c r="A496" s="4" t="s">
        <v>525</v>
      </c>
      <c r="B496" s="16" t="str">
        <f t="shared" si="33"/>
        <v>Jagdamba Stone Crusher</v>
      </c>
      <c r="C496" s="16" t="str">
        <f t="shared" si="34"/>
        <v>Jagdamba Stone Crusher(Kodasar Bidavtaan/Sujangarh/Churu)</v>
      </c>
      <c r="D496" s="4" t="s">
        <v>1382</v>
      </c>
      <c r="E496" s="4" t="s">
        <v>3119</v>
      </c>
      <c r="F496" s="5">
        <v>45985.999664351853</v>
      </c>
      <c r="G496" s="16" t="str">
        <f t="shared" si="35"/>
        <v>MasonaryStone (Gitti)</v>
      </c>
      <c r="H496" s="4" t="s">
        <v>2345</v>
      </c>
      <c r="I496" s="18" t="str" cm="1">
        <f t="array" ref="I496">_xlfn.LET(_xlpm.text, D496,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96" s="18" t="str" cm="1">
        <f t="array" ref="J496">_xlfn.LET(_xlpm.text, E496,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6" s="14">
        <f t="shared" si="36"/>
        <v>45986</v>
      </c>
      <c r="L496" s="14">
        <f t="shared" si="37"/>
        <v>45986.624664351853</v>
      </c>
      <c r="N496" s="12"/>
    </row>
    <row r="497" spans="1:14" x14ac:dyDescent="0.25">
      <c r="A497" s="4" t="s">
        <v>526</v>
      </c>
      <c r="B497" s="16" t="str">
        <f t="shared" si="33"/>
        <v>Jagdamba Stone Crusher</v>
      </c>
      <c r="C497" s="16" t="str">
        <f t="shared" si="34"/>
        <v>Jagdamba Stone Crusher(Kodasar Bidavtaan/Sujangarh/Churu)</v>
      </c>
      <c r="D497" s="4" t="s">
        <v>1382</v>
      </c>
      <c r="E497" s="4" t="s">
        <v>3119</v>
      </c>
      <c r="F497" s="5">
        <v>45985.999664351853</v>
      </c>
      <c r="G497" s="16" t="str">
        <f t="shared" si="35"/>
        <v>MasonaryStone (Gitti)</v>
      </c>
      <c r="H497" s="4" t="s">
        <v>2346</v>
      </c>
      <c r="I497" s="18" t="str" cm="1">
        <f t="array" ref="I497">_xlfn.LET(_xlpm.text, D497,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497" s="18" t="str" cm="1">
        <f t="array" ref="J497">_xlfn.LET(_xlpm.text, E497,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7" s="14">
        <f t="shared" si="36"/>
        <v>45986</v>
      </c>
      <c r="L497" s="14">
        <f t="shared" si="37"/>
        <v>45986.624664351853</v>
      </c>
      <c r="N497" s="12"/>
    </row>
    <row r="498" spans="1:14" x14ac:dyDescent="0.25">
      <c r="A498" s="4" t="s">
        <v>527</v>
      </c>
      <c r="B498" s="16" t="str">
        <f t="shared" si="33"/>
        <v>Jagdamba Stone Crusher</v>
      </c>
      <c r="C498" s="16" t="str">
        <f t="shared" si="34"/>
        <v>Jagdamba Stone Crusher(Kodasar Bidavtaan/Sujangarh/Churu)</v>
      </c>
      <c r="D498" s="4" t="s">
        <v>3033</v>
      </c>
      <c r="E498" s="4" t="s">
        <v>3119</v>
      </c>
      <c r="F498" s="5">
        <v>45985.999664351853</v>
      </c>
      <c r="G498" s="16" t="str">
        <f t="shared" si="35"/>
        <v>MasonaryStone (Gitti)</v>
      </c>
      <c r="H498" s="4" t="s">
        <v>2347</v>
      </c>
      <c r="I498" s="18" t="str" cm="1">
        <f t="array" ref="I498">_xlfn.LET(_xlpm.text, D498,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498" s="18" t="str" cm="1">
        <f t="array" ref="J498">_xlfn.LET(_xlpm.text, E498,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8" s="14">
        <f t="shared" si="36"/>
        <v>45986</v>
      </c>
      <c r="L498" s="14">
        <f t="shared" si="37"/>
        <v>45986.624664351853</v>
      </c>
      <c r="N498" s="12"/>
    </row>
    <row r="499" spans="1:14" x14ac:dyDescent="0.25">
      <c r="A499" s="4" t="s">
        <v>528</v>
      </c>
      <c r="B499" s="16" t="str">
        <f t="shared" si="33"/>
        <v>MAA DURGA STONE CRUSHING COMPANY</v>
      </c>
      <c r="C499" s="16" t="str">
        <f t="shared" si="34"/>
        <v>CHADWAS(Chadwas/Bidasar/Sujangarh)</v>
      </c>
      <c r="D499" s="4" t="s">
        <v>3031</v>
      </c>
      <c r="E499" s="4" t="s">
        <v>3119</v>
      </c>
      <c r="F499" s="5">
        <v>45985.999664351853</v>
      </c>
      <c r="G499" s="16" t="str">
        <f t="shared" si="35"/>
        <v>MasonaryStone (Gitti)</v>
      </c>
      <c r="H499" s="4" t="s">
        <v>2348</v>
      </c>
      <c r="I499" s="18" t="str" cm="1">
        <f t="array" ref="I499">_xlfn.LET(_xlpm.text, D499,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499" s="18" t="str" cm="1">
        <f t="array" ref="J499">_xlfn.LET(_xlpm.text, E499,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499" s="14">
        <f t="shared" si="36"/>
        <v>45986</v>
      </c>
      <c r="L499" s="14">
        <f t="shared" si="37"/>
        <v>45986.624664351853</v>
      </c>
      <c r="N499" s="12"/>
    </row>
    <row r="500" spans="1:14" x14ac:dyDescent="0.25">
      <c r="A500" s="4" t="s">
        <v>529</v>
      </c>
      <c r="B500" s="16" t="str">
        <f t="shared" si="33"/>
        <v>MAA DURGA STONE CRUSHING COMPANY</v>
      </c>
      <c r="C500" s="16" t="str">
        <f t="shared" si="34"/>
        <v>CHADWAS(Chadwas/Bidasar/Sujangarh)</v>
      </c>
      <c r="D500" s="4" t="s">
        <v>3031</v>
      </c>
      <c r="E500" s="4" t="s">
        <v>3119</v>
      </c>
      <c r="F500" s="5">
        <v>45985.999664351853</v>
      </c>
      <c r="G500" s="16" t="str">
        <f t="shared" si="35"/>
        <v>MasonaryStone (Gitti)</v>
      </c>
      <c r="H500" s="4" t="s">
        <v>2349</v>
      </c>
      <c r="I500" s="18" t="str" cm="1">
        <f t="array" ref="I500">_xlfn.LET(_xlpm.text, D500,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00" s="18" t="str" cm="1">
        <f t="array" ref="J500">_xlfn.LET(_xlpm.text, E500,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0" s="14">
        <f t="shared" si="36"/>
        <v>45986</v>
      </c>
      <c r="L500" s="14">
        <f t="shared" si="37"/>
        <v>45986.624664351853</v>
      </c>
      <c r="N500" s="12"/>
    </row>
    <row r="501" spans="1:14" x14ac:dyDescent="0.25">
      <c r="A501" s="4" t="s">
        <v>530</v>
      </c>
      <c r="B501" s="16" t="str">
        <f t="shared" si="33"/>
        <v>MAA DURGA STONE CRUSHING COMPANY</v>
      </c>
      <c r="C501" s="16" t="str">
        <f t="shared" si="34"/>
        <v>CHADWAS(Chadwas/Bidasar/Sujangarh)</v>
      </c>
      <c r="D501" s="4" t="s">
        <v>3032</v>
      </c>
      <c r="E501" s="4" t="s">
        <v>3119</v>
      </c>
      <c r="F501" s="5">
        <v>45985.999664351853</v>
      </c>
      <c r="G501" s="16" t="str">
        <f t="shared" si="35"/>
        <v>MasonaryStone (Gitti)</v>
      </c>
      <c r="H501" s="4" t="s">
        <v>2350</v>
      </c>
      <c r="I501" s="18" t="str" cm="1">
        <f t="array" ref="I501">_xlfn.LET(_xlpm.text, D501,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01" s="18" t="str" cm="1">
        <f t="array" ref="J501">_xlfn.LET(_xlpm.text, E501,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1" s="14">
        <f t="shared" si="36"/>
        <v>45986</v>
      </c>
      <c r="L501" s="14">
        <f t="shared" si="37"/>
        <v>45986.624664351853</v>
      </c>
      <c r="N501" s="12"/>
    </row>
    <row r="502" spans="1:14" x14ac:dyDescent="0.25">
      <c r="A502" s="4" t="s">
        <v>531</v>
      </c>
      <c r="B502" s="16" t="str">
        <f t="shared" si="33"/>
        <v>MAA DURGA STONE CRUSHING COMPANY</v>
      </c>
      <c r="C502" s="16" t="str">
        <f t="shared" si="34"/>
        <v>CHADWAS(Chadwas/Bidasar/Sujangarh)</v>
      </c>
      <c r="D502" s="4" t="s">
        <v>3032</v>
      </c>
      <c r="E502" s="4" t="s">
        <v>3119</v>
      </c>
      <c r="F502" s="5">
        <v>45985.999664351853</v>
      </c>
      <c r="G502" s="16" t="str">
        <f t="shared" si="35"/>
        <v>MasonaryStone (Gitti)</v>
      </c>
      <c r="H502" s="4" t="s">
        <v>2351</v>
      </c>
      <c r="I502" s="18" t="str" cm="1">
        <f t="array" ref="I502">_xlfn.LET(_xlpm.text, D502,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02" s="18" t="str" cm="1">
        <f t="array" ref="J502">_xlfn.LET(_xlpm.text, E502,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2" s="14">
        <f t="shared" si="36"/>
        <v>45986</v>
      </c>
      <c r="L502" s="14">
        <f t="shared" si="37"/>
        <v>45986.624664351853</v>
      </c>
      <c r="N502" s="12"/>
    </row>
    <row r="503" spans="1:14" x14ac:dyDescent="0.25">
      <c r="A503" s="4" t="s">
        <v>532</v>
      </c>
      <c r="B503" s="16" t="str">
        <f t="shared" si="33"/>
        <v>MAA DURGA STONE CRUSHING COMPANY</v>
      </c>
      <c r="C503" s="16" t="str">
        <f t="shared" si="34"/>
        <v>CHADWAS(Chadwas/Bidasar/Sujangarh)</v>
      </c>
      <c r="D503" s="4" t="s">
        <v>3032</v>
      </c>
      <c r="E503" s="4" t="s">
        <v>3119</v>
      </c>
      <c r="F503" s="5">
        <v>45985.999664351853</v>
      </c>
      <c r="G503" s="16" t="str">
        <f t="shared" si="35"/>
        <v>MasonaryStone (Gitti)</v>
      </c>
      <c r="H503" s="4" t="s">
        <v>2352</v>
      </c>
      <c r="I503" s="18" t="str" cm="1">
        <f t="array" ref="I503">_xlfn.LET(_xlpm.text, D503,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03" s="18" t="str" cm="1">
        <f t="array" ref="J503">_xlfn.LET(_xlpm.text, E503,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3" s="14">
        <f t="shared" si="36"/>
        <v>45986</v>
      </c>
      <c r="L503" s="14">
        <f t="shared" si="37"/>
        <v>45986.624664351853</v>
      </c>
      <c r="N503" s="12"/>
    </row>
    <row r="504" spans="1:14" x14ac:dyDescent="0.25">
      <c r="A504" s="4" t="s">
        <v>533</v>
      </c>
      <c r="B504" s="16" t="str">
        <f t="shared" si="33"/>
        <v>MAA DURGA STONE CRUSHING COMPANY</v>
      </c>
      <c r="C504" s="16" t="str">
        <f t="shared" si="34"/>
        <v>CHADWAS(Chadwas/Bidasar/Sujangarh)</v>
      </c>
      <c r="D504" s="4" t="s">
        <v>3034</v>
      </c>
      <c r="E504" s="4" t="s">
        <v>3119</v>
      </c>
      <c r="F504" s="5">
        <v>45986.999664351853</v>
      </c>
      <c r="G504" s="16" t="str">
        <f t="shared" si="35"/>
        <v>MasonaryStone (Gitti)</v>
      </c>
      <c r="H504" s="4" t="s">
        <v>2353</v>
      </c>
      <c r="I504" s="18" t="str" cm="1">
        <f t="array" ref="I504">_xlfn.LET(_xlpm.text, D504,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04" s="18" t="str" cm="1">
        <f t="array" ref="J504">_xlfn.LET(_xlpm.text, E504,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4" s="14">
        <f t="shared" si="36"/>
        <v>45987</v>
      </c>
      <c r="L504" s="14">
        <f t="shared" si="37"/>
        <v>45987.624664351853</v>
      </c>
      <c r="N504" s="12"/>
    </row>
    <row r="505" spans="1:14" x14ac:dyDescent="0.25">
      <c r="A505" s="4" t="s">
        <v>534</v>
      </c>
      <c r="B505" s="16" t="str">
        <f t="shared" si="33"/>
        <v>Jagdamba Stone Crusher</v>
      </c>
      <c r="C505" s="16" t="str">
        <f t="shared" si="34"/>
        <v>Jagdamba Stone Crusher(Kodasar Bidavtaan/Sujangarh/Churu)</v>
      </c>
      <c r="D505" s="4" t="s">
        <v>1382</v>
      </c>
      <c r="E505" s="4" t="s">
        <v>3119</v>
      </c>
      <c r="F505" s="5">
        <v>45987.999664351853</v>
      </c>
      <c r="G505" s="16" t="str">
        <f t="shared" si="35"/>
        <v>MasonaryStone (Gitti)</v>
      </c>
      <c r="H505" s="4" t="s">
        <v>2354</v>
      </c>
      <c r="I505" s="18" t="str" cm="1">
        <f t="array" ref="I505">_xlfn.LET(_xlpm.text, D505,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05" s="18" t="str" cm="1">
        <f t="array" ref="J505">_xlfn.LET(_xlpm.text, E505,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5" s="14">
        <f t="shared" si="36"/>
        <v>45988</v>
      </c>
      <c r="L505" s="14">
        <f t="shared" si="37"/>
        <v>45988.624664351853</v>
      </c>
      <c r="N505" s="12"/>
    </row>
    <row r="506" spans="1:14" x14ac:dyDescent="0.25">
      <c r="A506" s="4" t="s">
        <v>535</v>
      </c>
      <c r="B506" s="16" t="str">
        <f t="shared" si="33"/>
        <v>MAA DURGA STONE CRUSHING COMPANY</v>
      </c>
      <c r="C506" s="16" t="str">
        <f t="shared" si="34"/>
        <v>CHADWAS(Chadwas/Bidasar/Sujangarh)</v>
      </c>
      <c r="D506" s="4" t="s">
        <v>3031</v>
      </c>
      <c r="E506" s="4" t="s">
        <v>3119</v>
      </c>
      <c r="F506" s="5">
        <v>45987.999664351853</v>
      </c>
      <c r="G506" s="16" t="str">
        <f t="shared" si="35"/>
        <v>MasonaryStone (Gitti)</v>
      </c>
      <c r="H506" s="4" t="s">
        <v>2355</v>
      </c>
      <c r="I506" s="18" t="str" cm="1">
        <f t="array" ref="I506">_xlfn.LET(_xlpm.text, D506,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06" s="18" t="str" cm="1">
        <f t="array" ref="J506">_xlfn.LET(_xlpm.text, E506,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6" s="14">
        <f t="shared" si="36"/>
        <v>45988</v>
      </c>
      <c r="L506" s="14">
        <f t="shared" si="37"/>
        <v>45988.624664351853</v>
      </c>
      <c r="N506" s="12"/>
    </row>
    <row r="507" spans="1:14" x14ac:dyDescent="0.25">
      <c r="A507" s="4" t="s">
        <v>536</v>
      </c>
      <c r="B507" s="16" t="str">
        <f t="shared" si="33"/>
        <v>MAA DURGA STONE CRUSHING COMPANY</v>
      </c>
      <c r="C507" s="16" t="str">
        <f t="shared" si="34"/>
        <v>CHADWAS(Chadwas/Bidasar/Sujangarh)</v>
      </c>
      <c r="D507" s="4" t="s">
        <v>3034</v>
      </c>
      <c r="E507" s="4" t="s">
        <v>3119</v>
      </c>
      <c r="F507" s="5">
        <v>45988.999664351853</v>
      </c>
      <c r="G507" s="16" t="str">
        <f t="shared" si="35"/>
        <v>MasonaryStone (Gitti)</v>
      </c>
      <c r="H507" s="4" t="s">
        <v>2356</v>
      </c>
      <c r="I507" s="18" t="str" cm="1">
        <f t="array" ref="I507">_xlfn.LET(_xlpm.text, D507,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07" s="18" t="str" cm="1">
        <f t="array" ref="J507">_xlfn.LET(_xlpm.text, E507,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7" s="14">
        <f t="shared" si="36"/>
        <v>45989</v>
      </c>
      <c r="L507" s="14">
        <f t="shared" si="37"/>
        <v>45989.624664351853</v>
      </c>
      <c r="N507" s="12"/>
    </row>
    <row r="508" spans="1:14" x14ac:dyDescent="0.25">
      <c r="A508" s="4" t="s">
        <v>537</v>
      </c>
      <c r="B508" s="16" t="str">
        <f t="shared" si="33"/>
        <v>MAA DURGA STONE CRUSHING COMPANY</v>
      </c>
      <c r="C508" s="16" t="str">
        <f t="shared" si="34"/>
        <v>CHADWAS(Chadwas/Bidasar/Sujangarh)</v>
      </c>
      <c r="D508" s="4" t="s">
        <v>3034</v>
      </c>
      <c r="E508" s="4" t="s">
        <v>3119</v>
      </c>
      <c r="F508" s="5">
        <v>45988.999664351853</v>
      </c>
      <c r="G508" s="16" t="str">
        <f t="shared" si="35"/>
        <v>MasonaryStone (Gitti)</v>
      </c>
      <c r="H508" s="4" t="s">
        <v>2357</v>
      </c>
      <c r="I508" s="18" t="str" cm="1">
        <f t="array" ref="I508">_xlfn.LET(_xlpm.text, D508,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08" s="18" t="str" cm="1">
        <f t="array" ref="J508">_xlfn.LET(_xlpm.text, E508,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8" s="14">
        <f t="shared" si="36"/>
        <v>45989</v>
      </c>
      <c r="L508" s="14">
        <f t="shared" si="37"/>
        <v>45989.624664351853</v>
      </c>
      <c r="N508" s="12"/>
    </row>
    <row r="509" spans="1:14" x14ac:dyDescent="0.25">
      <c r="A509" s="4" t="s">
        <v>538</v>
      </c>
      <c r="B509" s="16" t="str">
        <f t="shared" si="33"/>
        <v>MAA DURGA STONE CRUSHING COMPANY</v>
      </c>
      <c r="C509" s="16" t="str">
        <f t="shared" si="34"/>
        <v>CHADWAS(Chadwas/Bidasar/Sujangarh)</v>
      </c>
      <c r="D509" s="4" t="s">
        <v>3034</v>
      </c>
      <c r="E509" s="4" t="s">
        <v>3119</v>
      </c>
      <c r="F509" s="5">
        <v>45988.999664351853</v>
      </c>
      <c r="G509" s="16" t="str">
        <f t="shared" si="35"/>
        <v>MasonaryStone (Gitti)</v>
      </c>
      <c r="H509" s="4" t="s">
        <v>2358</v>
      </c>
      <c r="I509" s="18" t="str" cm="1">
        <f t="array" ref="I509">_xlfn.LET(_xlpm.text, D509,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09" s="18" t="str" cm="1">
        <f t="array" ref="J509">_xlfn.LET(_xlpm.text, E509,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09" s="14">
        <f t="shared" si="36"/>
        <v>45989</v>
      </c>
      <c r="L509" s="14">
        <f t="shared" si="37"/>
        <v>45989.624664351853</v>
      </c>
      <c r="N509" s="12"/>
    </row>
    <row r="510" spans="1:14" x14ac:dyDescent="0.25">
      <c r="A510" s="4" t="s">
        <v>539</v>
      </c>
      <c r="B510" s="16" t="str">
        <f t="shared" si="33"/>
        <v>MAA DURGA STONE CRUSHING COMPANY</v>
      </c>
      <c r="C510" s="16" t="str">
        <f t="shared" si="34"/>
        <v>CHADWAS(Chadwas/Bidasar/Sujangarh)</v>
      </c>
      <c r="D510" s="4" t="s">
        <v>3034</v>
      </c>
      <c r="E510" s="4" t="s">
        <v>3119</v>
      </c>
      <c r="F510" s="5">
        <v>45988.999664351853</v>
      </c>
      <c r="G510" s="16" t="str">
        <f t="shared" si="35"/>
        <v>MasonaryStone (Gitti)</v>
      </c>
      <c r="H510" s="4" t="s">
        <v>2359</v>
      </c>
      <c r="I510" s="18" t="str" cm="1">
        <f t="array" ref="I510">_xlfn.LET(_xlpm.text, D510,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10" s="18" t="str" cm="1">
        <f t="array" ref="J510">_xlfn.LET(_xlpm.text, E510,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0" s="14">
        <f t="shared" si="36"/>
        <v>45989</v>
      </c>
      <c r="L510" s="14">
        <f t="shared" si="37"/>
        <v>45989.624664351853</v>
      </c>
      <c r="N510" s="12"/>
    </row>
    <row r="511" spans="1:14" x14ac:dyDescent="0.25">
      <c r="A511" s="4" t="s">
        <v>540</v>
      </c>
      <c r="B511" s="16" t="str">
        <f t="shared" si="33"/>
        <v>MAA DURGA STONE CRUSHING COMPANY</v>
      </c>
      <c r="C511" s="16" t="str">
        <f t="shared" si="34"/>
        <v>CHADWAS(Chadwas/Bidasar/Sujangarh)</v>
      </c>
      <c r="D511" s="4" t="s">
        <v>3032</v>
      </c>
      <c r="E511" s="4" t="s">
        <v>3119</v>
      </c>
      <c r="F511" s="5">
        <v>45989.999664351853</v>
      </c>
      <c r="G511" s="16" t="str">
        <f t="shared" si="35"/>
        <v>MasonaryStone (Gitti)</v>
      </c>
      <c r="H511" s="4" t="s">
        <v>2360</v>
      </c>
      <c r="I511" s="18" t="str" cm="1">
        <f t="array" ref="I511">_xlfn.LET(_xlpm.text, D511,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11" s="18" t="str" cm="1">
        <f t="array" ref="J511">_xlfn.LET(_xlpm.text, E511,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1" s="14">
        <f t="shared" si="36"/>
        <v>45990</v>
      </c>
      <c r="L511" s="14">
        <f t="shared" si="37"/>
        <v>45990.624664351853</v>
      </c>
      <c r="N511" s="12"/>
    </row>
    <row r="512" spans="1:14" x14ac:dyDescent="0.25">
      <c r="A512" s="4" t="s">
        <v>541</v>
      </c>
      <c r="B512" s="16" t="str">
        <f t="shared" si="33"/>
        <v>MAA DURGA STONE CRUSHING COMPANY</v>
      </c>
      <c r="C512" s="16" t="str">
        <f t="shared" si="34"/>
        <v>CHADWAS(Chadwas/Bidasar/Sujangarh)</v>
      </c>
      <c r="D512" s="4" t="s">
        <v>3032</v>
      </c>
      <c r="E512" s="4" t="s">
        <v>3119</v>
      </c>
      <c r="F512" s="5">
        <v>45989.999664351853</v>
      </c>
      <c r="G512" s="16" t="str">
        <f t="shared" si="35"/>
        <v>MasonaryStone (Gitti)</v>
      </c>
      <c r="H512" s="4" t="s">
        <v>2361</v>
      </c>
      <c r="I512" s="18" t="str" cm="1">
        <f t="array" ref="I512">_xlfn.LET(_xlpm.text, D512,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12" s="18" t="str" cm="1">
        <f t="array" ref="J512">_xlfn.LET(_xlpm.text, E512,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2" s="14">
        <f t="shared" si="36"/>
        <v>45990</v>
      </c>
      <c r="L512" s="14">
        <f t="shared" si="37"/>
        <v>45990.624664351853</v>
      </c>
      <c r="N512" s="12"/>
    </row>
    <row r="513" spans="1:14" x14ac:dyDescent="0.25">
      <c r="A513" s="4" t="s">
        <v>542</v>
      </c>
      <c r="B513" s="16" t="str">
        <f t="shared" si="33"/>
        <v>MAA DURGA STONE CRUSHING COMPANY</v>
      </c>
      <c r="C513" s="16" t="str">
        <f t="shared" si="34"/>
        <v>CHADWAS(Chadwas/Bidasar/Sujangarh)</v>
      </c>
      <c r="D513" s="4" t="s">
        <v>3034</v>
      </c>
      <c r="E513" s="4" t="s">
        <v>3119</v>
      </c>
      <c r="F513" s="5">
        <v>45989.999664351853</v>
      </c>
      <c r="G513" s="16" t="str">
        <f t="shared" si="35"/>
        <v>MasonaryStone (Gitti)</v>
      </c>
      <c r="H513" s="4" t="s">
        <v>2362</v>
      </c>
      <c r="I513" s="18" t="str" cm="1">
        <f t="array" ref="I513">_xlfn.LET(_xlpm.text, D513,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13" s="18" t="str" cm="1">
        <f t="array" ref="J513">_xlfn.LET(_xlpm.text, E513,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3" s="14">
        <f t="shared" si="36"/>
        <v>45990</v>
      </c>
      <c r="L513" s="14">
        <f t="shared" si="37"/>
        <v>45990.624664351853</v>
      </c>
      <c r="N513" s="12"/>
    </row>
    <row r="514" spans="1:14" x14ac:dyDescent="0.25">
      <c r="A514" s="4" t="s">
        <v>543</v>
      </c>
      <c r="B514" s="16" t="str">
        <f t="shared" ref="B514:B577" si="38">VLOOKUP(LEFT($A514,4)&amp;"*",$O$3:$R$17, 2, FALSE)</f>
        <v>MAA DURGA STONE CRUSHING COMPANY</v>
      </c>
      <c r="C514" s="16" t="str">
        <f t="shared" ref="C514:C577" si="39">VLOOKUP(LEFT($A514,4)&amp;"*",$O$3:$R$17, 3, FALSE)</f>
        <v>CHADWAS(Chadwas/Bidasar/Sujangarh)</v>
      </c>
      <c r="D514" s="4" t="s">
        <v>3034</v>
      </c>
      <c r="E514" s="4" t="s">
        <v>3119</v>
      </c>
      <c r="F514" s="5">
        <v>45989.999664351853</v>
      </c>
      <c r="G514" s="16" t="str">
        <f t="shared" ref="G514:G577" si="40">VLOOKUP(LEFT($A514,4)&amp;"*",$O$3:$R$17, 4, FALSE)</f>
        <v>MasonaryStone (Gitti)</v>
      </c>
      <c r="H514" s="4" t="s">
        <v>2363</v>
      </c>
      <c r="I514" s="18" t="str" cm="1">
        <f t="array" ref="I514">_xlfn.LET(_xlpm.text, D514,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14" s="18" t="str" cm="1">
        <f t="array" ref="J514">_xlfn.LET(_xlpm.text, E514,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4" s="14">
        <f t="shared" si="36"/>
        <v>45990</v>
      </c>
      <c r="L514" s="14">
        <f t="shared" si="37"/>
        <v>45990.624664351853</v>
      </c>
      <c r="N514" s="12"/>
    </row>
    <row r="515" spans="1:14" x14ac:dyDescent="0.25">
      <c r="A515" s="4" t="s">
        <v>544</v>
      </c>
      <c r="B515" s="16" t="str">
        <f t="shared" si="38"/>
        <v>MAA DURGA STONE CRUSHING COMPANY</v>
      </c>
      <c r="C515" s="16" t="str">
        <f t="shared" si="39"/>
        <v>CHADWAS(Chadwas/Bidasar/Sujangarh)</v>
      </c>
      <c r="D515" s="4" t="s">
        <v>3032</v>
      </c>
      <c r="E515" s="4" t="s">
        <v>3119</v>
      </c>
      <c r="F515" s="5">
        <v>45989.999664351853</v>
      </c>
      <c r="G515" s="16" t="str">
        <f t="shared" si="40"/>
        <v>MasonaryStone (Gitti)</v>
      </c>
      <c r="H515" s="4" t="s">
        <v>2364</v>
      </c>
      <c r="I515" s="18" t="str" cm="1">
        <f t="array" ref="I515">_xlfn.LET(_xlpm.text, D515,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15" s="18" t="str" cm="1">
        <f t="array" ref="J515">_xlfn.LET(_xlpm.text, E515,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5" s="14">
        <f t="shared" ref="K515:K578" si="41">F515+(29/86400)</f>
        <v>45990</v>
      </c>
      <c r="L515" s="14">
        <f t="shared" ref="L515:L578" si="42">F515+(15/24)</f>
        <v>45990.624664351853</v>
      </c>
      <c r="N515" s="12"/>
    </row>
    <row r="516" spans="1:14" x14ac:dyDescent="0.25">
      <c r="A516" s="4" t="s">
        <v>545</v>
      </c>
      <c r="B516" s="16" t="str">
        <f t="shared" si="38"/>
        <v>MAA DURGA STONE CRUSHING COMPANY</v>
      </c>
      <c r="C516" s="16" t="str">
        <f t="shared" si="39"/>
        <v>CHADWAS(Chadwas/Bidasar/Sujangarh)</v>
      </c>
      <c r="D516" s="4" t="s">
        <v>3032</v>
      </c>
      <c r="E516" s="4" t="s">
        <v>3119</v>
      </c>
      <c r="F516" s="5">
        <v>45989.999664351853</v>
      </c>
      <c r="G516" s="16" t="str">
        <f t="shared" si="40"/>
        <v>MasonaryStone (Gitti)</v>
      </c>
      <c r="H516" s="4" t="s">
        <v>2365</v>
      </c>
      <c r="I516" s="18" t="str" cm="1">
        <f t="array" ref="I516">_xlfn.LET(_xlpm.text, D516,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16" s="18" t="str" cm="1">
        <f t="array" ref="J516">_xlfn.LET(_xlpm.text, E516,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6" s="14">
        <f t="shared" si="41"/>
        <v>45990</v>
      </c>
      <c r="L516" s="14">
        <f t="shared" si="42"/>
        <v>45990.624664351853</v>
      </c>
      <c r="N516" s="12"/>
    </row>
    <row r="517" spans="1:14" x14ac:dyDescent="0.25">
      <c r="A517" s="4" t="s">
        <v>546</v>
      </c>
      <c r="B517" s="16" t="str">
        <f t="shared" si="38"/>
        <v>BALAJI STONE CRUSHURE_</v>
      </c>
      <c r="C517" s="16" t="str">
        <f t="shared" si="39"/>
        <v>SHRI BALAJI 2022 (Shribalaji/Nagaur/Nagaur)</v>
      </c>
      <c r="D517" s="4" t="s">
        <v>1382</v>
      </c>
      <c r="E517" s="4" t="s">
        <v>3119</v>
      </c>
      <c r="F517" s="5">
        <v>45990.999664351853</v>
      </c>
      <c r="G517" s="16" t="str">
        <f t="shared" si="40"/>
        <v>MasonaryStone (Gitti)</v>
      </c>
      <c r="H517" s="4" t="s">
        <v>2366</v>
      </c>
      <c r="I517" s="18" t="str" cm="1">
        <f t="array" ref="I517">_xlfn.LET(_xlpm.text, D517,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17" s="18" t="str" cm="1">
        <f t="array" ref="J517">_xlfn.LET(_xlpm.text, E517,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7" s="14">
        <f t="shared" si="41"/>
        <v>45991</v>
      </c>
      <c r="L517" s="14">
        <f t="shared" si="42"/>
        <v>45991.624664351853</v>
      </c>
      <c r="N517" s="12"/>
    </row>
    <row r="518" spans="1:14" x14ac:dyDescent="0.25">
      <c r="A518" s="4" t="s">
        <v>547</v>
      </c>
      <c r="B518" s="16" t="str">
        <f t="shared" si="38"/>
        <v>MAA DURGA STONE CRUSHING COMPANY</v>
      </c>
      <c r="C518" s="16" t="str">
        <f t="shared" si="39"/>
        <v>CHADWAS(Chadwas/Bidasar/Sujangarh)</v>
      </c>
      <c r="D518" s="4" t="s">
        <v>3032</v>
      </c>
      <c r="E518" s="4" t="s">
        <v>3119</v>
      </c>
      <c r="F518" s="5">
        <v>45990.999664351853</v>
      </c>
      <c r="G518" s="16" t="str">
        <f t="shared" si="40"/>
        <v>MasonaryStone (Gitti)</v>
      </c>
      <c r="H518" s="4" t="s">
        <v>2367</v>
      </c>
      <c r="I518" s="18" t="str" cm="1">
        <f t="array" ref="I518">_xlfn.LET(_xlpm.text, D518,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18" s="18" t="str" cm="1">
        <f t="array" ref="J518">_xlfn.LET(_xlpm.text, E518,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8" s="14">
        <f t="shared" si="41"/>
        <v>45991</v>
      </c>
      <c r="L518" s="14">
        <f t="shared" si="42"/>
        <v>45991.624664351853</v>
      </c>
      <c r="N518" s="12"/>
    </row>
    <row r="519" spans="1:14" x14ac:dyDescent="0.25">
      <c r="A519" s="4" t="s">
        <v>548</v>
      </c>
      <c r="B519" s="16" t="str">
        <f t="shared" si="38"/>
        <v>MAA DURGA STONE CRUSHING COMPANY</v>
      </c>
      <c r="C519" s="16" t="str">
        <f t="shared" si="39"/>
        <v>CHADWAS(Chadwas/Bidasar/Sujangarh)</v>
      </c>
      <c r="D519" s="4" t="s">
        <v>3035</v>
      </c>
      <c r="E519" s="4" t="s">
        <v>3119</v>
      </c>
      <c r="F519" s="5">
        <v>45990.999664351853</v>
      </c>
      <c r="G519" s="16" t="str">
        <f t="shared" si="40"/>
        <v>MasonaryStone (Gitti)</v>
      </c>
      <c r="H519" s="4" t="s">
        <v>2368</v>
      </c>
      <c r="I519" s="18" t="str" cm="1">
        <f t="array" ref="I519">_xlfn.LET(_xlpm.text, D519,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19" s="18" t="str" cm="1">
        <f t="array" ref="J519">_xlfn.LET(_xlpm.text, E519,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19" s="14">
        <f t="shared" si="41"/>
        <v>45991</v>
      </c>
      <c r="L519" s="14">
        <f t="shared" si="42"/>
        <v>45991.624664351853</v>
      </c>
      <c r="N519" s="12"/>
    </row>
    <row r="520" spans="1:14" x14ac:dyDescent="0.25">
      <c r="A520" s="4" t="s">
        <v>549</v>
      </c>
      <c r="B520" s="16" t="str">
        <f t="shared" si="38"/>
        <v>MAA DURGA STONE CRUSHING COMPANY</v>
      </c>
      <c r="C520" s="16" t="str">
        <f t="shared" si="39"/>
        <v>CHADWAS(Chadwas/Bidasar/Sujangarh)</v>
      </c>
      <c r="D520" s="4" t="s">
        <v>3035</v>
      </c>
      <c r="E520" s="4" t="s">
        <v>3119</v>
      </c>
      <c r="F520" s="5">
        <v>45990.999664351853</v>
      </c>
      <c r="G520" s="16" t="str">
        <f t="shared" si="40"/>
        <v>MasonaryStone (Gitti)</v>
      </c>
      <c r="H520" s="4" t="s">
        <v>2369</v>
      </c>
      <c r="I520" s="18" t="str" cm="1">
        <f t="array" ref="I520">_xlfn.LET(_xlpm.text, D520,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20" s="18" t="str" cm="1">
        <f t="array" ref="J520">_xlfn.LET(_xlpm.text, E520,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0" s="14">
        <f t="shared" si="41"/>
        <v>45991</v>
      </c>
      <c r="L520" s="14">
        <f t="shared" si="42"/>
        <v>45991.624664351853</v>
      </c>
      <c r="N520" s="12"/>
    </row>
    <row r="521" spans="1:14" x14ac:dyDescent="0.25">
      <c r="A521" s="4" t="s">
        <v>550</v>
      </c>
      <c r="B521" s="16" t="str">
        <f t="shared" si="38"/>
        <v>BALAJI STONE CRUSHURE_</v>
      </c>
      <c r="C521" s="16" t="str">
        <f t="shared" si="39"/>
        <v>SHRI BALAJI 2022 (Shribalaji/Nagaur/Nagaur)</v>
      </c>
      <c r="D521" s="4" t="s">
        <v>1382</v>
      </c>
      <c r="E521" s="4" t="s">
        <v>3119</v>
      </c>
      <c r="F521" s="5">
        <v>45991.999664351853</v>
      </c>
      <c r="G521" s="16" t="str">
        <f t="shared" si="40"/>
        <v>MasonaryStone (Gitti)</v>
      </c>
      <c r="H521" s="4" t="s">
        <v>2370</v>
      </c>
      <c r="I521" s="18" t="str" cm="1">
        <f t="array" ref="I521">_xlfn.LET(_xlpm.text, D521,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21" s="18" t="str" cm="1">
        <f t="array" ref="J521">_xlfn.LET(_xlpm.text, E521,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1" s="14">
        <f t="shared" si="41"/>
        <v>45992</v>
      </c>
      <c r="L521" s="14">
        <f t="shared" si="42"/>
        <v>45992.624664351853</v>
      </c>
      <c r="N521" s="12"/>
    </row>
    <row r="522" spans="1:14" x14ac:dyDescent="0.25">
      <c r="A522" s="4" t="s">
        <v>551</v>
      </c>
      <c r="B522" s="16" t="str">
        <f t="shared" si="38"/>
        <v>BALAJI STONE CRUSHURE_</v>
      </c>
      <c r="C522" s="16" t="str">
        <f t="shared" si="39"/>
        <v>SHRI BALAJI 2022 (Shribalaji/Nagaur/Nagaur)</v>
      </c>
      <c r="D522" s="4" t="s">
        <v>1382</v>
      </c>
      <c r="E522" s="4" t="s">
        <v>3119</v>
      </c>
      <c r="F522" s="5">
        <v>45991.999664351853</v>
      </c>
      <c r="G522" s="16" t="str">
        <f t="shared" si="40"/>
        <v>MasonaryStone (Gitti)</v>
      </c>
      <c r="H522" s="4" t="s">
        <v>2371</v>
      </c>
      <c r="I522" s="18" t="str" cm="1">
        <f t="array" ref="I522">_xlfn.LET(_xlpm.text, D522,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22" s="18" t="str" cm="1">
        <f t="array" ref="J522">_xlfn.LET(_xlpm.text, E522,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2" s="14">
        <f t="shared" si="41"/>
        <v>45992</v>
      </c>
      <c r="L522" s="14">
        <f t="shared" si="42"/>
        <v>45992.624664351853</v>
      </c>
      <c r="N522" s="12"/>
    </row>
    <row r="523" spans="1:14" x14ac:dyDescent="0.25">
      <c r="A523" s="4" t="s">
        <v>552</v>
      </c>
      <c r="B523" s="16" t="str">
        <f t="shared" si="38"/>
        <v>BALAJI STONE CRUSHURE_</v>
      </c>
      <c r="C523" s="16" t="str">
        <f t="shared" si="39"/>
        <v>SHRI BALAJI 2022 (Shribalaji/Nagaur/Nagaur)</v>
      </c>
      <c r="D523" s="4" t="s">
        <v>1382</v>
      </c>
      <c r="E523" s="4" t="s">
        <v>3119</v>
      </c>
      <c r="F523" s="5">
        <v>45991.999664351853</v>
      </c>
      <c r="G523" s="16" t="str">
        <f t="shared" si="40"/>
        <v>MasonaryStone (Gitti)</v>
      </c>
      <c r="H523" s="4" t="s">
        <v>2372</v>
      </c>
      <c r="I523" s="18" t="str" cm="1">
        <f t="array" ref="I523">_xlfn.LET(_xlpm.text, D523,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23" s="18" t="str" cm="1">
        <f t="array" ref="J523">_xlfn.LET(_xlpm.text, E523,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3" s="14">
        <f t="shared" si="41"/>
        <v>45992</v>
      </c>
      <c r="L523" s="14">
        <f t="shared" si="42"/>
        <v>45992.624664351853</v>
      </c>
      <c r="N523" s="12"/>
    </row>
    <row r="524" spans="1:14" x14ac:dyDescent="0.25">
      <c r="A524" s="4" t="s">
        <v>553</v>
      </c>
      <c r="B524" s="16" t="str">
        <f t="shared" si="38"/>
        <v>MAA DURGA STONE CRUSHING COMPANY</v>
      </c>
      <c r="C524" s="16" t="str">
        <f t="shared" si="39"/>
        <v>CHADWAS(Chadwas/Bidasar/Sujangarh)</v>
      </c>
      <c r="D524" s="4" t="s">
        <v>3032</v>
      </c>
      <c r="E524" s="4" t="s">
        <v>3119</v>
      </c>
      <c r="F524" s="5">
        <v>45991.999664351853</v>
      </c>
      <c r="G524" s="16" t="str">
        <f t="shared" si="40"/>
        <v>MasonaryStone (Gitti)</v>
      </c>
      <c r="H524" s="4" t="s">
        <v>2373</v>
      </c>
      <c r="I524" s="18" t="str" cm="1">
        <f t="array" ref="I524">_xlfn.LET(_xlpm.text, D524,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24" s="18" t="str" cm="1">
        <f t="array" ref="J524">_xlfn.LET(_xlpm.text, E524,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4" s="14">
        <f t="shared" si="41"/>
        <v>45992</v>
      </c>
      <c r="L524" s="14">
        <f t="shared" si="42"/>
        <v>45992.624664351853</v>
      </c>
      <c r="N524" s="12"/>
    </row>
    <row r="525" spans="1:14" x14ac:dyDescent="0.25">
      <c r="A525" s="4" t="s">
        <v>554</v>
      </c>
      <c r="B525" s="16" t="str">
        <f t="shared" si="38"/>
        <v>MAA DURGA STONE CRUSHING COMPANY</v>
      </c>
      <c r="C525" s="16" t="str">
        <f t="shared" si="39"/>
        <v>CHADWAS(Chadwas/Bidasar/Sujangarh)</v>
      </c>
      <c r="D525" s="4" t="s">
        <v>3034</v>
      </c>
      <c r="E525" s="4" t="s">
        <v>3119</v>
      </c>
      <c r="F525" s="5">
        <v>45991.999664351853</v>
      </c>
      <c r="G525" s="16" t="str">
        <f t="shared" si="40"/>
        <v>MasonaryStone (Gitti)</v>
      </c>
      <c r="H525" s="4" t="s">
        <v>2374</v>
      </c>
      <c r="I525" s="18" t="str" cm="1">
        <f t="array" ref="I525">_xlfn.LET(_xlpm.text, D525,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25" s="18" t="str" cm="1">
        <f t="array" ref="J525">_xlfn.LET(_xlpm.text, E525,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5" s="14">
        <f t="shared" si="41"/>
        <v>45992</v>
      </c>
      <c r="L525" s="14">
        <f t="shared" si="42"/>
        <v>45992.624664351853</v>
      </c>
      <c r="N525" s="12"/>
    </row>
    <row r="526" spans="1:14" x14ac:dyDescent="0.25">
      <c r="A526" s="4" t="s">
        <v>555</v>
      </c>
      <c r="B526" s="16" t="str">
        <f t="shared" si="38"/>
        <v>MAA DURGA STONE CRUSHING COMPANY</v>
      </c>
      <c r="C526" s="16" t="str">
        <f t="shared" si="39"/>
        <v>CHADWAS(Chadwas/Bidasar/Sujangarh)</v>
      </c>
      <c r="D526" s="4" t="s">
        <v>3034</v>
      </c>
      <c r="E526" s="4" t="s">
        <v>3119</v>
      </c>
      <c r="F526" s="5">
        <v>45991.999664351853</v>
      </c>
      <c r="G526" s="16" t="str">
        <f t="shared" si="40"/>
        <v>MasonaryStone (Gitti)</v>
      </c>
      <c r="H526" s="4" t="s">
        <v>2375</v>
      </c>
      <c r="I526" s="18" t="str" cm="1">
        <f t="array" ref="I526">_xlfn.LET(_xlpm.text, D526,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26" s="18" t="str" cm="1">
        <f t="array" ref="J526">_xlfn.LET(_xlpm.text, E526,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6" s="14">
        <f t="shared" si="41"/>
        <v>45992</v>
      </c>
      <c r="L526" s="14">
        <f t="shared" si="42"/>
        <v>45992.624664351853</v>
      </c>
      <c r="N526" s="12"/>
    </row>
    <row r="527" spans="1:14" x14ac:dyDescent="0.25">
      <c r="A527" s="4" t="s">
        <v>556</v>
      </c>
      <c r="B527" s="16" t="str">
        <f t="shared" si="38"/>
        <v>MAA DURGA STONE CRUSHING COMPANY</v>
      </c>
      <c r="C527" s="16" t="str">
        <f t="shared" si="39"/>
        <v>CHADWAS(Chadwas/Bidasar/Sujangarh)</v>
      </c>
      <c r="D527" s="4" t="s">
        <v>3032</v>
      </c>
      <c r="E527" s="4" t="s">
        <v>3119</v>
      </c>
      <c r="F527" s="5">
        <v>45991.999664351853</v>
      </c>
      <c r="G527" s="16" t="str">
        <f t="shared" si="40"/>
        <v>MasonaryStone (Gitti)</v>
      </c>
      <c r="H527" s="4" t="s">
        <v>2376</v>
      </c>
      <c r="I527" s="18" t="str" cm="1">
        <f t="array" ref="I527">_xlfn.LET(_xlpm.text, D527,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27" s="18" t="str" cm="1">
        <f t="array" ref="J527">_xlfn.LET(_xlpm.text, E527,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7" s="14">
        <f t="shared" si="41"/>
        <v>45992</v>
      </c>
      <c r="L527" s="14">
        <f t="shared" si="42"/>
        <v>45992.624664351853</v>
      </c>
      <c r="N527" s="12"/>
    </row>
    <row r="528" spans="1:14" x14ac:dyDescent="0.25">
      <c r="A528" s="4" t="s">
        <v>557</v>
      </c>
      <c r="B528" s="16" t="str">
        <f t="shared" si="38"/>
        <v>ADWAITH AGGREGATE SOLUTIONS</v>
      </c>
      <c r="C528" s="16" t="str">
        <f t="shared" si="39"/>
        <v>KHASRA NO. 910/801 HANUMAN NAGAR (Hanuman Nagar/Nagaur/Nagaur)</v>
      </c>
      <c r="D528" s="4" t="s">
        <v>3033</v>
      </c>
      <c r="E528" s="4" t="s">
        <v>3119</v>
      </c>
      <c r="F528" s="5">
        <v>45991.999664351853</v>
      </c>
      <c r="G528" s="16" t="str">
        <f t="shared" si="40"/>
        <v>MasonaryStone (Gitti)</v>
      </c>
      <c r="H528" s="4" t="s">
        <v>2377</v>
      </c>
      <c r="I528" s="18" t="str" cm="1">
        <f t="array" ref="I528">_xlfn.LET(_xlpm.text, D528,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28" s="18" t="str" cm="1">
        <f t="array" ref="J528">_xlfn.LET(_xlpm.text, E528,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8" s="14">
        <f t="shared" si="41"/>
        <v>45992</v>
      </c>
      <c r="L528" s="14">
        <f t="shared" si="42"/>
        <v>45992.624664351853</v>
      </c>
      <c r="N528" s="12"/>
    </row>
    <row r="529" spans="1:14" x14ac:dyDescent="0.25">
      <c r="A529" s="4" t="s">
        <v>558</v>
      </c>
      <c r="B529" s="16" t="str">
        <f t="shared" si="38"/>
        <v>MAA DURGA STONE CRUSHING COMPANY</v>
      </c>
      <c r="C529" s="16" t="str">
        <f t="shared" si="39"/>
        <v>CHADWAS(Chadwas/Bidasar/Sujangarh)</v>
      </c>
      <c r="D529" s="4" t="s">
        <v>3032</v>
      </c>
      <c r="E529" s="4" t="s">
        <v>3119</v>
      </c>
      <c r="F529" s="5">
        <v>45992.999664351853</v>
      </c>
      <c r="G529" s="16" t="str">
        <f t="shared" si="40"/>
        <v>MasonaryStone (Gitti)</v>
      </c>
      <c r="H529" s="4" t="s">
        <v>2378</v>
      </c>
      <c r="I529" s="18" t="str" cm="1">
        <f t="array" ref="I529">_xlfn.LET(_xlpm.text, D529,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29" s="18" t="str" cm="1">
        <f t="array" ref="J529">_xlfn.LET(_xlpm.text, E529,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29" s="14">
        <f t="shared" si="41"/>
        <v>45993</v>
      </c>
      <c r="L529" s="14">
        <f t="shared" si="42"/>
        <v>45993.624664351853</v>
      </c>
      <c r="N529" s="12"/>
    </row>
    <row r="530" spans="1:14" x14ac:dyDescent="0.25">
      <c r="A530" s="4" t="s">
        <v>559</v>
      </c>
      <c r="B530" s="16" t="str">
        <f t="shared" si="38"/>
        <v>MAA DURGA STONE CRUSHING COMPANY</v>
      </c>
      <c r="C530" s="16" t="str">
        <f t="shared" si="39"/>
        <v>CHADWAS(Chadwas/Bidasar/Sujangarh)</v>
      </c>
      <c r="D530" s="4" t="s">
        <v>3034</v>
      </c>
      <c r="E530" s="4" t="s">
        <v>3119</v>
      </c>
      <c r="F530" s="5">
        <v>45992.999664351853</v>
      </c>
      <c r="G530" s="16" t="str">
        <f t="shared" si="40"/>
        <v>MasonaryStone (Gitti)</v>
      </c>
      <c r="H530" s="4" t="s">
        <v>2379</v>
      </c>
      <c r="I530" s="18" t="str" cm="1">
        <f t="array" ref="I530">_xlfn.LET(_xlpm.text, D530,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30" s="18" t="str" cm="1">
        <f t="array" ref="J530">_xlfn.LET(_xlpm.text, E530,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0" s="14">
        <f t="shared" si="41"/>
        <v>45993</v>
      </c>
      <c r="L530" s="14">
        <f t="shared" si="42"/>
        <v>45993.624664351853</v>
      </c>
      <c r="N530" s="12"/>
    </row>
    <row r="531" spans="1:14" x14ac:dyDescent="0.25">
      <c r="A531" s="4" t="s">
        <v>560</v>
      </c>
      <c r="B531" s="16" t="str">
        <f t="shared" si="38"/>
        <v>MAA DURGA STONE CRUSHING COMPANY</v>
      </c>
      <c r="C531" s="16" t="str">
        <f t="shared" si="39"/>
        <v>CHADWAS(Chadwas/Bidasar/Sujangarh)</v>
      </c>
      <c r="D531" s="4" t="s">
        <v>3034</v>
      </c>
      <c r="E531" s="4" t="s">
        <v>3119</v>
      </c>
      <c r="F531" s="5">
        <v>45992.999664351853</v>
      </c>
      <c r="G531" s="16" t="str">
        <f t="shared" si="40"/>
        <v>MasonaryStone (Gitti)</v>
      </c>
      <c r="H531" s="4" t="s">
        <v>2380</v>
      </c>
      <c r="I531" s="18" t="str" cm="1">
        <f t="array" ref="I531">_xlfn.LET(_xlpm.text, D531,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31" s="18" t="str" cm="1">
        <f t="array" ref="J531">_xlfn.LET(_xlpm.text, E531,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1" s="14">
        <f t="shared" si="41"/>
        <v>45993</v>
      </c>
      <c r="L531" s="14">
        <f t="shared" si="42"/>
        <v>45993.624664351853</v>
      </c>
      <c r="N531" s="12"/>
    </row>
    <row r="532" spans="1:14" x14ac:dyDescent="0.25">
      <c r="A532" s="4" t="s">
        <v>561</v>
      </c>
      <c r="B532" s="16" t="str">
        <f t="shared" si="38"/>
        <v>MAA DURGA STONE CRUSHING COMPANY</v>
      </c>
      <c r="C532" s="16" t="str">
        <f t="shared" si="39"/>
        <v>CHADWAS(Chadwas/Bidasar/Sujangarh)</v>
      </c>
      <c r="D532" s="4" t="s">
        <v>3032</v>
      </c>
      <c r="E532" s="4" t="s">
        <v>3119</v>
      </c>
      <c r="F532" s="5">
        <v>45992.999664351853</v>
      </c>
      <c r="G532" s="16" t="str">
        <f t="shared" si="40"/>
        <v>MasonaryStone (Gitti)</v>
      </c>
      <c r="H532" s="4" t="s">
        <v>2381</v>
      </c>
      <c r="I532" s="18" t="str" cm="1">
        <f t="array" ref="I532">_xlfn.LET(_xlpm.text, D532,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32" s="18" t="str" cm="1">
        <f t="array" ref="J532">_xlfn.LET(_xlpm.text, E532,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2" s="14">
        <f t="shared" si="41"/>
        <v>45993</v>
      </c>
      <c r="L532" s="14">
        <f t="shared" si="42"/>
        <v>45993.624664351853</v>
      </c>
      <c r="N532" s="12"/>
    </row>
    <row r="533" spans="1:14" x14ac:dyDescent="0.25">
      <c r="A533" s="4" t="s">
        <v>562</v>
      </c>
      <c r="B533" s="16" t="str">
        <f t="shared" si="38"/>
        <v>MAA DURGA STONE CRUSHING COMPANY</v>
      </c>
      <c r="C533" s="16" t="str">
        <f t="shared" si="39"/>
        <v>CHADWAS(Chadwas/Bidasar/Sujangarh)</v>
      </c>
      <c r="D533" s="4" t="s">
        <v>3032</v>
      </c>
      <c r="E533" s="4" t="s">
        <v>3119</v>
      </c>
      <c r="F533" s="5">
        <v>45993.999664351853</v>
      </c>
      <c r="G533" s="16" t="str">
        <f t="shared" si="40"/>
        <v>MasonaryStone (Gitti)</v>
      </c>
      <c r="H533" s="4" t="s">
        <v>2382</v>
      </c>
      <c r="I533" s="18" t="str" cm="1">
        <f t="array" ref="I533">_xlfn.LET(_xlpm.text, D533,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33" s="18" t="str" cm="1">
        <f t="array" ref="J533">_xlfn.LET(_xlpm.text, E533,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3" s="14">
        <f t="shared" si="41"/>
        <v>45994</v>
      </c>
      <c r="L533" s="14">
        <f t="shared" si="42"/>
        <v>45994.624664351853</v>
      </c>
      <c r="N533" s="12"/>
    </row>
    <row r="534" spans="1:14" x14ac:dyDescent="0.25">
      <c r="A534" s="4" t="s">
        <v>563</v>
      </c>
      <c r="B534" s="16" t="str">
        <f t="shared" si="38"/>
        <v>MAA DURGA STONE CRUSHING COMPANY</v>
      </c>
      <c r="C534" s="16" t="str">
        <f t="shared" si="39"/>
        <v>CHADWAS(Chadwas/Bidasar/Sujangarh)</v>
      </c>
      <c r="D534" s="4" t="s">
        <v>3032</v>
      </c>
      <c r="E534" s="4" t="s">
        <v>3119</v>
      </c>
      <c r="F534" s="5">
        <v>45993.999664351853</v>
      </c>
      <c r="G534" s="16" t="str">
        <f t="shared" si="40"/>
        <v>MasonaryStone (Gitti)</v>
      </c>
      <c r="H534" s="4" t="s">
        <v>2383</v>
      </c>
      <c r="I534" s="18" t="str" cm="1">
        <f t="array" ref="I534">_xlfn.LET(_xlpm.text, D534,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34" s="18" t="str" cm="1">
        <f t="array" ref="J534">_xlfn.LET(_xlpm.text, E534,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4" s="14">
        <f t="shared" si="41"/>
        <v>45994</v>
      </c>
      <c r="L534" s="14">
        <f t="shared" si="42"/>
        <v>45994.624664351853</v>
      </c>
      <c r="N534" s="12"/>
    </row>
    <row r="535" spans="1:14" x14ac:dyDescent="0.25">
      <c r="A535" s="4" t="s">
        <v>564</v>
      </c>
      <c r="B535" s="16" t="str">
        <f t="shared" si="38"/>
        <v>MAA DURGA STONE CRUSHING COMPANY</v>
      </c>
      <c r="C535" s="16" t="str">
        <f t="shared" si="39"/>
        <v>CHADWAS(Chadwas/Bidasar/Sujangarh)</v>
      </c>
      <c r="D535" s="4" t="s">
        <v>3034</v>
      </c>
      <c r="E535" s="4" t="s">
        <v>3119</v>
      </c>
      <c r="F535" s="5">
        <v>45993.999664351853</v>
      </c>
      <c r="G535" s="16" t="str">
        <f t="shared" si="40"/>
        <v>MasonaryStone (Gitti)</v>
      </c>
      <c r="H535" s="4" t="s">
        <v>2384</v>
      </c>
      <c r="I535" s="18" t="str" cm="1">
        <f t="array" ref="I535">_xlfn.LET(_xlpm.text, D535,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35" s="18" t="str" cm="1">
        <f t="array" ref="J535">_xlfn.LET(_xlpm.text, E535,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5" s="14">
        <f t="shared" si="41"/>
        <v>45994</v>
      </c>
      <c r="L535" s="14">
        <f t="shared" si="42"/>
        <v>45994.624664351853</v>
      </c>
      <c r="N535" s="12"/>
    </row>
    <row r="536" spans="1:14" x14ac:dyDescent="0.25">
      <c r="A536" s="4" t="s">
        <v>565</v>
      </c>
      <c r="B536" s="16" t="str">
        <f t="shared" si="38"/>
        <v>ADWAITH AGGREGATE SOLUTIONS</v>
      </c>
      <c r="C536" s="16" t="str">
        <f t="shared" si="39"/>
        <v>KHASRA NO. 910/801 HANUMAN NAGAR (Hanuman Nagar/Nagaur/Nagaur)</v>
      </c>
      <c r="D536" s="4" t="s">
        <v>3033</v>
      </c>
      <c r="E536" s="4" t="s">
        <v>3119</v>
      </c>
      <c r="F536" s="5">
        <v>45993.999664351853</v>
      </c>
      <c r="G536" s="16" t="str">
        <f t="shared" si="40"/>
        <v>MasonaryStone (Gitti)</v>
      </c>
      <c r="H536" s="4" t="s">
        <v>2385</v>
      </c>
      <c r="I536" s="18" t="str" cm="1">
        <f t="array" ref="I536">_xlfn.LET(_xlpm.text, D536,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36" s="18" t="str" cm="1">
        <f t="array" ref="J536">_xlfn.LET(_xlpm.text, E536,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6" s="14">
        <f t="shared" si="41"/>
        <v>45994</v>
      </c>
      <c r="L536" s="14">
        <f t="shared" si="42"/>
        <v>45994.624664351853</v>
      </c>
      <c r="N536" s="12"/>
    </row>
    <row r="537" spans="1:14" x14ac:dyDescent="0.25">
      <c r="A537" s="4" t="s">
        <v>566</v>
      </c>
      <c r="B537" s="16" t="str">
        <f t="shared" si="38"/>
        <v>ADWAITH AGGREGATE SOLUTIONS</v>
      </c>
      <c r="C537" s="16" t="str">
        <f t="shared" si="39"/>
        <v>KHASRA NO. 910/801 HANUMAN NAGAR (Hanuman Nagar/Nagaur/Nagaur)</v>
      </c>
      <c r="D537" s="4" t="s">
        <v>3033</v>
      </c>
      <c r="E537" s="4" t="s">
        <v>3119</v>
      </c>
      <c r="F537" s="5">
        <v>45993.999664351853</v>
      </c>
      <c r="G537" s="16" t="str">
        <f t="shared" si="40"/>
        <v>MasonaryStone (Gitti)</v>
      </c>
      <c r="H537" s="4" t="s">
        <v>2386</v>
      </c>
      <c r="I537" s="18" t="str" cm="1">
        <f t="array" ref="I537">_xlfn.LET(_xlpm.text, D537,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37" s="18" t="str" cm="1">
        <f t="array" ref="J537">_xlfn.LET(_xlpm.text, E537,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7" s="14">
        <f t="shared" si="41"/>
        <v>45994</v>
      </c>
      <c r="L537" s="14">
        <f t="shared" si="42"/>
        <v>45994.624664351853</v>
      </c>
      <c r="N537" s="12"/>
    </row>
    <row r="538" spans="1:14" x14ac:dyDescent="0.25">
      <c r="A538" s="4" t="s">
        <v>567</v>
      </c>
      <c r="B538" s="16" t="str">
        <f t="shared" si="38"/>
        <v>MAA DURGA STONE CRUSHING COMPANY</v>
      </c>
      <c r="C538" s="16" t="str">
        <f t="shared" si="39"/>
        <v>CHADWAS(Chadwas/Bidasar/Sujangarh)</v>
      </c>
      <c r="D538" s="4" t="s">
        <v>3035</v>
      </c>
      <c r="E538" s="4" t="s">
        <v>3119</v>
      </c>
      <c r="F538" s="5">
        <v>45993.999664351853</v>
      </c>
      <c r="G538" s="16" t="str">
        <f t="shared" si="40"/>
        <v>MasonaryStone (Gitti)</v>
      </c>
      <c r="H538" s="4" t="s">
        <v>2387</v>
      </c>
      <c r="I538" s="18" t="str" cm="1">
        <f t="array" ref="I538">_xlfn.LET(_xlpm.text, D538,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38" s="18" t="str" cm="1">
        <f t="array" ref="J538">_xlfn.LET(_xlpm.text, E538,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8" s="14">
        <f t="shared" si="41"/>
        <v>45994</v>
      </c>
      <c r="L538" s="14">
        <f t="shared" si="42"/>
        <v>45994.624664351853</v>
      </c>
      <c r="N538" s="12"/>
    </row>
    <row r="539" spans="1:14" x14ac:dyDescent="0.25">
      <c r="A539" s="4" t="s">
        <v>568</v>
      </c>
      <c r="B539" s="16" t="str">
        <f t="shared" si="38"/>
        <v>MAA DURGA STONE CRUSHING COMPANY</v>
      </c>
      <c r="C539" s="16" t="str">
        <f t="shared" si="39"/>
        <v>CHADWAS(Chadwas/Bidasar/Sujangarh)</v>
      </c>
      <c r="D539" s="4" t="s">
        <v>3032</v>
      </c>
      <c r="E539" s="4" t="s">
        <v>3119</v>
      </c>
      <c r="F539" s="5">
        <v>45994.999664351853</v>
      </c>
      <c r="G539" s="16" t="str">
        <f t="shared" si="40"/>
        <v>MasonaryStone (Gitti)</v>
      </c>
      <c r="H539" s="4" t="s">
        <v>2388</v>
      </c>
      <c r="I539" s="18" t="str" cm="1">
        <f t="array" ref="I539">_xlfn.LET(_xlpm.text, D539,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39" s="18" t="str" cm="1">
        <f t="array" ref="J539">_xlfn.LET(_xlpm.text, E539,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39" s="14">
        <f t="shared" si="41"/>
        <v>45995</v>
      </c>
      <c r="L539" s="14">
        <f t="shared" si="42"/>
        <v>45995.624664351853</v>
      </c>
      <c r="N539" s="12"/>
    </row>
    <row r="540" spans="1:14" x14ac:dyDescent="0.25">
      <c r="A540" s="4" t="s">
        <v>569</v>
      </c>
      <c r="B540" s="16" t="str">
        <f t="shared" si="38"/>
        <v>MAA DURGA STONE CRUSHING COMPANY</v>
      </c>
      <c r="C540" s="16" t="str">
        <f t="shared" si="39"/>
        <v>CHADWAS(Chadwas/Bidasar/Sujangarh)</v>
      </c>
      <c r="D540" s="4" t="s">
        <v>3035</v>
      </c>
      <c r="E540" s="4" t="s">
        <v>3119</v>
      </c>
      <c r="F540" s="5">
        <v>45994.999664351853</v>
      </c>
      <c r="G540" s="16" t="str">
        <f t="shared" si="40"/>
        <v>MasonaryStone (Gitti)</v>
      </c>
      <c r="H540" s="4" t="s">
        <v>2389</v>
      </c>
      <c r="I540" s="18" t="str" cm="1">
        <f t="array" ref="I540">_xlfn.LET(_xlpm.text, D540,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40" s="18" t="str" cm="1">
        <f t="array" ref="J540">_xlfn.LET(_xlpm.text, E540,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0" s="14">
        <f t="shared" si="41"/>
        <v>45995</v>
      </c>
      <c r="L540" s="14">
        <f t="shared" si="42"/>
        <v>45995.624664351853</v>
      </c>
      <c r="N540" s="12"/>
    </row>
    <row r="541" spans="1:14" x14ac:dyDescent="0.25">
      <c r="A541" s="4" t="s">
        <v>570</v>
      </c>
      <c r="B541" s="16" t="str">
        <f t="shared" si="38"/>
        <v>M/s Sidhi Vinayak Aggregates Private Limated</v>
      </c>
      <c r="C541" s="16" t="str">
        <f t="shared" si="39"/>
        <v>Barsingo Ka Bas Lohawat()</v>
      </c>
      <c r="D541" s="4" t="s">
        <v>1382</v>
      </c>
      <c r="E541" s="4" t="s">
        <v>3119</v>
      </c>
      <c r="F541" s="5">
        <v>45995.999664351853</v>
      </c>
      <c r="G541" s="16" t="str">
        <f t="shared" si="40"/>
        <v>MasonaryStone (Gitti)</v>
      </c>
      <c r="H541" s="4" t="s">
        <v>2390</v>
      </c>
      <c r="I541" s="18" t="str" cm="1">
        <f t="array" ref="I541">_xlfn.LET(_xlpm.text, D541,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41" s="18" t="str" cm="1">
        <f t="array" ref="J541">_xlfn.LET(_xlpm.text, E541,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1" s="14">
        <f t="shared" si="41"/>
        <v>45996</v>
      </c>
      <c r="L541" s="14">
        <f t="shared" si="42"/>
        <v>45996.624664351853</v>
      </c>
      <c r="N541" s="12"/>
    </row>
    <row r="542" spans="1:14" x14ac:dyDescent="0.25">
      <c r="A542" s="4" t="s">
        <v>571</v>
      </c>
      <c r="B542" s="16" t="str">
        <f t="shared" si="38"/>
        <v>M/s Sidhi Vinayak Aggregates Private Limated</v>
      </c>
      <c r="C542" s="16" t="str">
        <f t="shared" si="39"/>
        <v>Barsingo Ka Bas Lohawat()</v>
      </c>
      <c r="D542" s="4" t="s">
        <v>1382</v>
      </c>
      <c r="E542" s="4" t="s">
        <v>3119</v>
      </c>
      <c r="F542" s="5">
        <v>45995.999664351853</v>
      </c>
      <c r="G542" s="16" t="str">
        <f t="shared" si="40"/>
        <v>MasonaryStone (Gitti)</v>
      </c>
      <c r="H542" s="4" t="s">
        <v>2391</v>
      </c>
      <c r="I542" s="18" t="str" cm="1">
        <f t="array" ref="I542">_xlfn.LET(_xlpm.text, D542,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42" s="18" t="str" cm="1">
        <f t="array" ref="J542">_xlfn.LET(_xlpm.text, E542,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2" s="14">
        <f t="shared" si="41"/>
        <v>45996</v>
      </c>
      <c r="L542" s="14">
        <f t="shared" si="42"/>
        <v>45996.624664351853</v>
      </c>
      <c r="N542" s="12"/>
    </row>
    <row r="543" spans="1:14" x14ac:dyDescent="0.25">
      <c r="A543" s="4" t="s">
        <v>572</v>
      </c>
      <c r="B543" s="16" t="str">
        <f t="shared" si="38"/>
        <v>M/s Sidhi Vinayak Aggregates Private Limated</v>
      </c>
      <c r="C543" s="16" t="str">
        <f t="shared" si="39"/>
        <v>Barsingo Ka Bas Lohawat()</v>
      </c>
      <c r="D543" s="4" t="s">
        <v>1382</v>
      </c>
      <c r="E543" s="4" t="s">
        <v>3119</v>
      </c>
      <c r="F543" s="5">
        <v>45995.999664351853</v>
      </c>
      <c r="G543" s="16" t="str">
        <f t="shared" si="40"/>
        <v>MasonaryStone (Gitti)</v>
      </c>
      <c r="H543" s="4" t="s">
        <v>2392</v>
      </c>
      <c r="I543" s="18" t="str" cm="1">
        <f t="array" ref="I543">_xlfn.LET(_xlpm.text, D543,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43" s="18" t="str" cm="1">
        <f t="array" ref="J543">_xlfn.LET(_xlpm.text, E543,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3" s="14">
        <f t="shared" si="41"/>
        <v>45996</v>
      </c>
      <c r="L543" s="14">
        <f t="shared" si="42"/>
        <v>45996.624664351853</v>
      </c>
      <c r="N543" s="12"/>
    </row>
    <row r="544" spans="1:14" x14ac:dyDescent="0.25">
      <c r="A544" s="4" t="s">
        <v>573</v>
      </c>
      <c r="B544" s="16" t="str">
        <f t="shared" si="38"/>
        <v>MAA DURGA STONE CRUSHING COMPANY</v>
      </c>
      <c r="C544" s="16" t="str">
        <f t="shared" si="39"/>
        <v>CHADWAS(Chadwas/Bidasar/Sujangarh)</v>
      </c>
      <c r="D544" s="4" t="s">
        <v>3034</v>
      </c>
      <c r="E544" s="4" t="s">
        <v>3119</v>
      </c>
      <c r="F544" s="5">
        <v>45995.999664351853</v>
      </c>
      <c r="G544" s="16" t="str">
        <f t="shared" si="40"/>
        <v>MasonaryStone (Gitti)</v>
      </c>
      <c r="H544" s="4" t="s">
        <v>2393</v>
      </c>
      <c r="I544" s="18" t="str" cm="1">
        <f t="array" ref="I544">_xlfn.LET(_xlpm.text, D544,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44" s="18" t="str" cm="1">
        <f t="array" ref="J544">_xlfn.LET(_xlpm.text, E544,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4" s="14">
        <f t="shared" si="41"/>
        <v>45996</v>
      </c>
      <c r="L544" s="14">
        <f t="shared" si="42"/>
        <v>45996.624664351853</v>
      </c>
      <c r="N544" s="12"/>
    </row>
    <row r="545" spans="1:14" x14ac:dyDescent="0.25">
      <c r="A545" s="4" t="s">
        <v>574</v>
      </c>
      <c r="B545" s="16" t="str">
        <f t="shared" si="38"/>
        <v>ADWAITH AGGREGATE SOLUTIONS</v>
      </c>
      <c r="C545" s="16" t="str">
        <f t="shared" si="39"/>
        <v>KHASRA NO. 910/801 HANUMAN NAGAR (Hanuman Nagar/Nagaur/Nagaur)</v>
      </c>
      <c r="D545" s="4" t="s">
        <v>3033</v>
      </c>
      <c r="E545" s="4" t="s">
        <v>3119</v>
      </c>
      <c r="F545" s="5">
        <v>45995.999664351853</v>
      </c>
      <c r="G545" s="16" t="str">
        <f t="shared" si="40"/>
        <v>MasonaryStone (Gitti)</v>
      </c>
      <c r="H545" s="4" t="s">
        <v>2313</v>
      </c>
      <c r="I545" s="18" t="str" cm="1">
        <f t="array" ref="I545">_xlfn.LET(_xlpm.text, D545,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45" s="18" t="str" cm="1">
        <f t="array" ref="J545">_xlfn.LET(_xlpm.text, E545,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5" s="14">
        <f t="shared" si="41"/>
        <v>45996</v>
      </c>
      <c r="L545" s="14">
        <f t="shared" si="42"/>
        <v>45996.624664351853</v>
      </c>
      <c r="N545" s="12"/>
    </row>
    <row r="546" spans="1:14" x14ac:dyDescent="0.25">
      <c r="A546" s="4" t="s">
        <v>575</v>
      </c>
      <c r="B546" s="16" t="str">
        <f t="shared" si="38"/>
        <v>ADWAITH AGGREGATE SOLUTIONS</v>
      </c>
      <c r="C546" s="16" t="str">
        <f t="shared" si="39"/>
        <v>KHASRA NO. 910/801 HANUMAN NAGAR (Hanuman Nagar/Nagaur/Nagaur)</v>
      </c>
      <c r="D546" s="4" t="s">
        <v>3033</v>
      </c>
      <c r="E546" s="4" t="s">
        <v>3119</v>
      </c>
      <c r="F546" s="5">
        <v>45995.999664351853</v>
      </c>
      <c r="G546" s="16" t="str">
        <f t="shared" si="40"/>
        <v>MasonaryStone (Gitti)</v>
      </c>
      <c r="H546" s="4" t="s">
        <v>2394</v>
      </c>
      <c r="I546" s="18" t="str" cm="1">
        <f t="array" ref="I546">_xlfn.LET(_xlpm.text, D546,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46" s="18" t="str" cm="1">
        <f t="array" ref="J546">_xlfn.LET(_xlpm.text, E546,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6" s="14">
        <f t="shared" si="41"/>
        <v>45996</v>
      </c>
      <c r="L546" s="14">
        <f t="shared" si="42"/>
        <v>45996.624664351853</v>
      </c>
      <c r="N546" s="12"/>
    </row>
    <row r="547" spans="1:14" x14ac:dyDescent="0.25">
      <c r="A547" s="4" t="s">
        <v>576</v>
      </c>
      <c r="B547" s="16" t="str">
        <f t="shared" si="38"/>
        <v>BALAJI STONE CRUSHURE_</v>
      </c>
      <c r="C547" s="16" t="str">
        <f t="shared" si="39"/>
        <v>SHRI BALAJI 2022 (Shribalaji/Nagaur/Nagaur)</v>
      </c>
      <c r="D547" s="4" t="s">
        <v>1382</v>
      </c>
      <c r="E547" s="4" t="s">
        <v>3119</v>
      </c>
      <c r="F547" s="5">
        <v>45996.999664351853</v>
      </c>
      <c r="G547" s="16" t="str">
        <f t="shared" si="40"/>
        <v>MasonaryStone (Gitti)</v>
      </c>
      <c r="H547" s="4" t="s">
        <v>2395</v>
      </c>
      <c r="I547" s="18" t="str" cm="1">
        <f t="array" ref="I547">_xlfn.LET(_xlpm.text, D547,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47" s="18" t="str" cm="1">
        <f t="array" ref="J547">_xlfn.LET(_xlpm.text, E547,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7" s="14">
        <f t="shared" si="41"/>
        <v>45997</v>
      </c>
      <c r="L547" s="14">
        <f t="shared" si="42"/>
        <v>45997.624664351853</v>
      </c>
      <c r="N547" s="12"/>
    </row>
    <row r="548" spans="1:14" x14ac:dyDescent="0.25">
      <c r="A548" s="4" t="s">
        <v>577</v>
      </c>
      <c r="B548" s="16" t="str">
        <f t="shared" si="38"/>
        <v>BALAJI STONE CRUSHURE_</v>
      </c>
      <c r="C548" s="16" t="str">
        <f t="shared" si="39"/>
        <v>SHRI BALAJI 2022 (Shribalaji/Nagaur/Nagaur)</v>
      </c>
      <c r="D548" s="4" t="s">
        <v>1382</v>
      </c>
      <c r="E548" s="4" t="s">
        <v>3119</v>
      </c>
      <c r="F548" s="5">
        <v>45996.999664351853</v>
      </c>
      <c r="G548" s="16" t="str">
        <f t="shared" si="40"/>
        <v>MasonaryStone (Gitti)</v>
      </c>
      <c r="H548" s="4" t="s">
        <v>2396</v>
      </c>
      <c r="I548" s="18" t="str" cm="1">
        <f t="array" ref="I548">_xlfn.LET(_xlpm.text, D548,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48" s="18" t="str" cm="1">
        <f t="array" ref="J548">_xlfn.LET(_xlpm.text, E548,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8" s="14">
        <f t="shared" si="41"/>
        <v>45997</v>
      </c>
      <c r="L548" s="14">
        <f t="shared" si="42"/>
        <v>45997.624664351853</v>
      </c>
      <c r="N548" s="12"/>
    </row>
    <row r="549" spans="1:14" x14ac:dyDescent="0.25">
      <c r="A549" s="4" t="s">
        <v>578</v>
      </c>
      <c r="B549" s="16" t="str">
        <f t="shared" si="38"/>
        <v>BALAJI STONE CRUSHURE_</v>
      </c>
      <c r="C549" s="16" t="str">
        <f t="shared" si="39"/>
        <v>SHRI BALAJI 2022 (Shribalaji/Nagaur/Nagaur)</v>
      </c>
      <c r="D549" s="4" t="s">
        <v>1382</v>
      </c>
      <c r="E549" s="4" t="s">
        <v>3119</v>
      </c>
      <c r="F549" s="5">
        <v>45996.999664351853</v>
      </c>
      <c r="G549" s="16" t="str">
        <f t="shared" si="40"/>
        <v>MasonaryStone (Gitti)</v>
      </c>
      <c r="H549" s="4" t="s">
        <v>2397</v>
      </c>
      <c r="I549" s="18" t="str" cm="1">
        <f t="array" ref="I549">_xlfn.LET(_xlpm.text, D549,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49" s="18" t="str" cm="1">
        <f t="array" ref="J549">_xlfn.LET(_xlpm.text, E549,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49" s="14">
        <f t="shared" si="41"/>
        <v>45997</v>
      </c>
      <c r="L549" s="14">
        <f t="shared" si="42"/>
        <v>45997.624664351853</v>
      </c>
      <c r="N549" s="12"/>
    </row>
    <row r="550" spans="1:14" x14ac:dyDescent="0.25">
      <c r="A550" s="4" t="s">
        <v>579</v>
      </c>
      <c r="B550" s="16" t="str">
        <f t="shared" si="38"/>
        <v>BALAJI STONE CRUSHURE_</v>
      </c>
      <c r="C550" s="16" t="str">
        <f t="shared" si="39"/>
        <v>SHRI BALAJI 2022 (Shribalaji/Nagaur/Nagaur)</v>
      </c>
      <c r="D550" s="4" t="s">
        <v>1382</v>
      </c>
      <c r="E550" s="4" t="s">
        <v>3119</v>
      </c>
      <c r="F550" s="5">
        <v>45966.999664351853</v>
      </c>
      <c r="G550" s="16" t="str">
        <f t="shared" si="40"/>
        <v>MasonaryStone (Gitti)</v>
      </c>
      <c r="H550" s="4" t="s">
        <v>2398</v>
      </c>
      <c r="I550" s="18" t="str" cm="1">
        <f t="array" ref="I550">_xlfn.LET(_xlpm.text, D550,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50" s="18" t="str" cm="1">
        <f t="array" ref="J550">_xlfn.LET(_xlpm.text, E550,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0" s="14">
        <f t="shared" si="41"/>
        <v>45967</v>
      </c>
      <c r="L550" s="14">
        <f t="shared" si="42"/>
        <v>45967.624664351853</v>
      </c>
      <c r="N550" s="12"/>
    </row>
    <row r="551" spans="1:14" x14ac:dyDescent="0.25">
      <c r="A551" s="4" t="s">
        <v>580</v>
      </c>
      <c r="B551" s="16" t="str">
        <f t="shared" si="38"/>
        <v>BALAJI STONE CRUSHURE_</v>
      </c>
      <c r="C551" s="16" t="str">
        <f t="shared" si="39"/>
        <v>SHRI BALAJI 2022 (Shribalaji/Nagaur/Nagaur)</v>
      </c>
      <c r="D551" s="4" t="s">
        <v>1382</v>
      </c>
      <c r="E551" s="4" t="s">
        <v>3119</v>
      </c>
      <c r="F551" s="5">
        <v>45996.999664351853</v>
      </c>
      <c r="G551" s="16" t="str">
        <f t="shared" si="40"/>
        <v>MasonaryStone (Gitti)</v>
      </c>
      <c r="H551" s="4" t="s">
        <v>2399</v>
      </c>
      <c r="I551" s="18" t="str" cm="1">
        <f t="array" ref="I551">_xlfn.LET(_xlpm.text, D551,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51" s="18" t="str" cm="1">
        <f t="array" ref="J551">_xlfn.LET(_xlpm.text, E551,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1" s="14">
        <f t="shared" si="41"/>
        <v>45997</v>
      </c>
      <c r="L551" s="14">
        <f t="shared" si="42"/>
        <v>45997.624664351853</v>
      </c>
      <c r="N551" s="12"/>
    </row>
    <row r="552" spans="1:14" x14ac:dyDescent="0.25">
      <c r="A552" s="4" t="s">
        <v>581</v>
      </c>
      <c r="B552" s="16" t="str">
        <f t="shared" si="38"/>
        <v>MAA DURGA STONE CRUSHING COMPANY</v>
      </c>
      <c r="C552" s="16" t="str">
        <f t="shared" si="39"/>
        <v>CHADWAS(Chadwas/Bidasar/Sujangarh)</v>
      </c>
      <c r="D552" s="4" t="s">
        <v>3032</v>
      </c>
      <c r="E552" s="4" t="s">
        <v>3119</v>
      </c>
      <c r="F552" s="5">
        <v>45996.999664351853</v>
      </c>
      <c r="G552" s="16" t="str">
        <f t="shared" si="40"/>
        <v>MasonaryStone (Gitti)</v>
      </c>
      <c r="H552" s="4" t="s">
        <v>2400</v>
      </c>
      <c r="I552" s="18" t="str" cm="1">
        <f t="array" ref="I552">_xlfn.LET(_xlpm.text, D552,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52" s="18" t="str" cm="1">
        <f t="array" ref="J552">_xlfn.LET(_xlpm.text, E552,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2" s="14">
        <f t="shared" si="41"/>
        <v>45997</v>
      </c>
      <c r="L552" s="14">
        <f t="shared" si="42"/>
        <v>45997.624664351853</v>
      </c>
      <c r="N552" s="12"/>
    </row>
    <row r="553" spans="1:14" x14ac:dyDescent="0.25">
      <c r="A553" s="4" t="s">
        <v>582</v>
      </c>
      <c r="B553" s="16" t="str">
        <f t="shared" si="38"/>
        <v>MAA DURGA STONE CRUSHING COMPANY</v>
      </c>
      <c r="C553" s="16" t="str">
        <f t="shared" si="39"/>
        <v>CHADWAS(Chadwas/Bidasar/Sujangarh)</v>
      </c>
      <c r="D553" s="4" t="s">
        <v>3034</v>
      </c>
      <c r="E553" s="4" t="s">
        <v>3119</v>
      </c>
      <c r="F553" s="5">
        <v>45996.999664351853</v>
      </c>
      <c r="G553" s="16" t="str">
        <f t="shared" si="40"/>
        <v>MasonaryStone (Gitti)</v>
      </c>
      <c r="H553" s="4" t="s">
        <v>2401</v>
      </c>
      <c r="I553" s="18" t="str" cm="1">
        <f t="array" ref="I553">_xlfn.LET(_xlpm.text, D553,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53" s="18" t="str" cm="1">
        <f t="array" ref="J553">_xlfn.LET(_xlpm.text, E553,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3" s="14">
        <f t="shared" si="41"/>
        <v>45997</v>
      </c>
      <c r="L553" s="14">
        <f t="shared" si="42"/>
        <v>45997.624664351853</v>
      </c>
      <c r="N553" s="12"/>
    </row>
    <row r="554" spans="1:14" x14ac:dyDescent="0.25">
      <c r="A554" s="4" t="s">
        <v>583</v>
      </c>
      <c r="B554" s="16" t="str">
        <f t="shared" si="38"/>
        <v>ADWAITH AGGREGATE SOLUTIONS</v>
      </c>
      <c r="C554" s="16" t="str">
        <f t="shared" si="39"/>
        <v>KHASRA NO. 910/801 HANUMAN NAGAR (Hanuman Nagar/Nagaur/Nagaur)</v>
      </c>
      <c r="D554" s="4" t="s">
        <v>3033</v>
      </c>
      <c r="E554" s="4" t="s">
        <v>3119</v>
      </c>
      <c r="F554" s="5">
        <v>45996.999664351853</v>
      </c>
      <c r="G554" s="16" t="str">
        <f t="shared" si="40"/>
        <v>MasonaryStone (Gitti)</v>
      </c>
      <c r="H554" s="4" t="s">
        <v>2282</v>
      </c>
      <c r="I554" s="18" t="str" cm="1">
        <f t="array" ref="I554">_xlfn.LET(_xlpm.text, D554,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54" s="18" t="str" cm="1">
        <f t="array" ref="J554">_xlfn.LET(_xlpm.text, E554,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4" s="14">
        <f t="shared" si="41"/>
        <v>45997</v>
      </c>
      <c r="L554" s="14">
        <f t="shared" si="42"/>
        <v>45997.624664351853</v>
      </c>
      <c r="N554" s="12"/>
    </row>
    <row r="555" spans="1:14" x14ac:dyDescent="0.25">
      <c r="A555" s="4" t="s">
        <v>584</v>
      </c>
      <c r="B555" s="16" t="str">
        <f t="shared" si="38"/>
        <v>ADWAITH AGGREGATE SOLUTIONS</v>
      </c>
      <c r="C555" s="16" t="str">
        <f t="shared" si="39"/>
        <v>KHASRA NO. 910/801 HANUMAN NAGAR (Hanuman Nagar/Nagaur/Nagaur)</v>
      </c>
      <c r="D555" s="4" t="s">
        <v>3033</v>
      </c>
      <c r="E555" s="4" t="s">
        <v>3119</v>
      </c>
      <c r="F555" s="5">
        <v>45996.999664351853</v>
      </c>
      <c r="G555" s="16" t="str">
        <f t="shared" si="40"/>
        <v>MasonaryStone (Gitti)</v>
      </c>
      <c r="H555" s="4" t="s">
        <v>2402</v>
      </c>
      <c r="I555" s="18" t="str" cm="1">
        <f t="array" ref="I555">_xlfn.LET(_xlpm.text, D555,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55" s="18" t="str" cm="1">
        <f t="array" ref="J555">_xlfn.LET(_xlpm.text, E555,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5" s="14">
        <f t="shared" si="41"/>
        <v>45997</v>
      </c>
      <c r="L555" s="14">
        <f t="shared" si="42"/>
        <v>45997.624664351853</v>
      </c>
      <c r="N555" s="12"/>
    </row>
    <row r="556" spans="1:14" x14ac:dyDescent="0.25">
      <c r="A556" s="4" t="s">
        <v>585</v>
      </c>
      <c r="B556" s="16" t="str">
        <f t="shared" si="38"/>
        <v>MAA DURGA STONE CRUSHING COMPANY</v>
      </c>
      <c r="C556" s="16" t="str">
        <f t="shared" si="39"/>
        <v>CHADWAS(Chadwas/Bidasar/Sujangarh)</v>
      </c>
      <c r="D556" s="4" t="s">
        <v>3031</v>
      </c>
      <c r="E556" s="4" t="s">
        <v>3119</v>
      </c>
      <c r="F556" s="5">
        <v>45996.999664351853</v>
      </c>
      <c r="G556" s="16" t="str">
        <f t="shared" si="40"/>
        <v>MasonaryStone (Gitti)</v>
      </c>
      <c r="H556" s="4" t="s">
        <v>2403</v>
      </c>
      <c r="I556" s="18" t="str" cm="1">
        <f t="array" ref="I556">_xlfn.LET(_xlpm.text, D556,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56" s="18" t="str" cm="1">
        <f t="array" ref="J556">_xlfn.LET(_xlpm.text, E556,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6" s="14">
        <f t="shared" si="41"/>
        <v>45997</v>
      </c>
      <c r="L556" s="14">
        <f t="shared" si="42"/>
        <v>45997.624664351853</v>
      </c>
      <c r="N556" s="12"/>
    </row>
    <row r="557" spans="1:14" x14ac:dyDescent="0.25">
      <c r="A557" s="4" t="s">
        <v>586</v>
      </c>
      <c r="B557" s="16" t="str">
        <f t="shared" si="38"/>
        <v>MAA DURGA STONE CRUSHING COMPANY</v>
      </c>
      <c r="C557" s="16" t="str">
        <f t="shared" si="39"/>
        <v>CHADWAS(Chadwas/Bidasar/Sujangarh)</v>
      </c>
      <c r="D557" s="4" t="s">
        <v>3031</v>
      </c>
      <c r="E557" s="4" t="s">
        <v>3119</v>
      </c>
      <c r="F557" s="5">
        <v>45996.999664351853</v>
      </c>
      <c r="G557" s="16" t="str">
        <f t="shared" si="40"/>
        <v>MasonaryStone (Gitti)</v>
      </c>
      <c r="H557" s="4" t="s">
        <v>2404</v>
      </c>
      <c r="I557" s="18" t="str" cm="1">
        <f t="array" ref="I557">_xlfn.LET(_xlpm.text, D557,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57" s="18" t="str" cm="1">
        <f t="array" ref="J557">_xlfn.LET(_xlpm.text, E557,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7" s="14">
        <f t="shared" si="41"/>
        <v>45997</v>
      </c>
      <c r="L557" s="14">
        <f t="shared" si="42"/>
        <v>45997.624664351853</v>
      </c>
      <c r="N557" s="12"/>
    </row>
    <row r="558" spans="1:14" x14ac:dyDescent="0.25">
      <c r="A558" s="4" t="s">
        <v>587</v>
      </c>
      <c r="B558" s="16" t="str">
        <f t="shared" si="38"/>
        <v>M/s Sidhi Vinayak Aggregates Private Limated</v>
      </c>
      <c r="C558" s="16" t="str">
        <f t="shared" si="39"/>
        <v>Barsingo Ka Bas Lohawat()</v>
      </c>
      <c r="D558" s="4" t="s">
        <v>1382</v>
      </c>
      <c r="E558" s="4" t="s">
        <v>3119</v>
      </c>
      <c r="F558" s="5">
        <v>45997.999664351853</v>
      </c>
      <c r="G558" s="16" t="str">
        <f t="shared" si="40"/>
        <v>MasonaryStone (Gitti)</v>
      </c>
      <c r="H558" s="4" t="s">
        <v>2405</v>
      </c>
      <c r="I558" s="18" t="str" cm="1">
        <f t="array" ref="I558">_xlfn.LET(_xlpm.text, D558,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58" s="18" t="str" cm="1">
        <f t="array" ref="J558">_xlfn.LET(_xlpm.text, E558,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8" s="14">
        <f t="shared" si="41"/>
        <v>45998</v>
      </c>
      <c r="L558" s="14">
        <f t="shared" si="42"/>
        <v>45998.624664351853</v>
      </c>
      <c r="N558" s="12"/>
    </row>
    <row r="559" spans="1:14" x14ac:dyDescent="0.25">
      <c r="A559" s="4" t="s">
        <v>588</v>
      </c>
      <c r="B559" s="16" t="str">
        <f t="shared" si="38"/>
        <v>MAA DURGA STONE CRUSHING COMPANY</v>
      </c>
      <c r="C559" s="16" t="str">
        <f t="shared" si="39"/>
        <v>CHADWAS(Chadwas/Bidasar/Sujangarh)</v>
      </c>
      <c r="D559" s="4" t="s">
        <v>3032</v>
      </c>
      <c r="E559" s="4" t="s">
        <v>3119</v>
      </c>
      <c r="F559" s="5">
        <v>45997.999664351853</v>
      </c>
      <c r="G559" s="16" t="str">
        <f t="shared" si="40"/>
        <v>MasonaryStone (Gitti)</v>
      </c>
      <c r="H559" s="4" t="s">
        <v>2406</v>
      </c>
      <c r="I559" s="18" t="str" cm="1">
        <f t="array" ref="I559">_xlfn.LET(_xlpm.text, D559,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59" s="18" t="str" cm="1">
        <f t="array" ref="J559">_xlfn.LET(_xlpm.text, E559,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59" s="14">
        <f t="shared" si="41"/>
        <v>45998</v>
      </c>
      <c r="L559" s="14">
        <f t="shared" si="42"/>
        <v>45998.624664351853</v>
      </c>
      <c r="N559" s="12"/>
    </row>
    <row r="560" spans="1:14" x14ac:dyDescent="0.25">
      <c r="A560" s="4" t="s">
        <v>589</v>
      </c>
      <c r="B560" s="16" t="str">
        <f t="shared" si="38"/>
        <v>MAA DURGA STONE CRUSHING COMPANY</v>
      </c>
      <c r="C560" s="16" t="str">
        <f t="shared" si="39"/>
        <v>CHADWAS(Chadwas/Bidasar/Sujangarh)</v>
      </c>
      <c r="D560" s="4" t="s">
        <v>3032</v>
      </c>
      <c r="E560" s="4" t="s">
        <v>3119</v>
      </c>
      <c r="F560" s="5">
        <v>45997.999664351853</v>
      </c>
      <c r="G560" s="16" t="str">
        <f t="shared" si="40"/>
        <v>MasonaryStone (Gitti)</v>
      </c>
      <c r="H560" s="4" t="s">
        <v>2262</v>
      </c>
      <c r="I560" s="18" t="str" cm="1">
        <f t="array" ref="I560">_xlfn.LET(_xlpm.text, D560,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60" s="18" t="str" cm="1">
        <f t="array" ref="J560">_xlfn.LET(_xlpm.text, E560,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0" s="14">
        <f t="shared" si="41"/>
        <v>45998</v>
      </c>
      <c r="L560" s="14">
        <f t="shared" si="42"/>
        <v>45998.624664351853</v>
      </c>
      <c r="N560" s="12"/>
    </row>
    <row r="561" spans="1:14" x14ac:dyDescent="0.25">
      <c r="A561" s="4" t="s">
        <v>590</v>
      </c>
      <c r="B561" s="16" t="str">
        <f t="shared" si="38"/>
        <v>MAA DURGA STONE CRUSHING COMPANY</v>
      </c>
      <c r="C561" s="16" t="str">
        <f t="shared" si="39"/>
        <v>CHADWAS(Chadwas/Bidasar/Sujangarh)</v>
      </c>
      <c r="D561" s="4" t="s">
        <v>3032</v>
      </c>
      <c r="E561" s="4" t="s">
        <v>3119</v>
      </c>
      <c r="F561" s="5">
        <v>45997.999664351853</v>
      </c>
      <c r="G561" s="16" t="str">
        <f t="shared" si="40"/>
        <v>MasonaryStone (Gitti)</v>
      </c>
      <c r="H561" s="4" t="s">
        <v>2407</v>
      </c>
      <c r="I561" s="18" t="str" cm="1">
        <f t="array" ref="I561">_xlfn.LET(_xlpm.text, D561,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61" s="18" t="str" cm="1">
        <f t="array" ref="J561">_xlfn.LET(_xlpm.text, E561,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1" s="14">
        <f t="shared" si="41"/>
        <v>45998</v>
      </c>
      <c r="L561" s="14">
        <f t="shared" si="42"/>
        <v>45998.624664351853</v>
      </c>
      <c r="N561" s="12"/>
    </row>
    <row r="562" spans="1:14" x14ac:dyDescent="0.25">
      <c r="A562" s="4" t="s">
        <v>591</v>
      </c>
      <c r="B562" s="16" t="str">
        <f t="shared" si="38"/>
        <v>ADWAITH AGGREGATE SOLUTIONS</v>
      </c>
      <c r="C562" s="16" t="str">
        <f t="shared" si="39"/>
        <v>KHASRA NO. 910/801 HANUMAN NAGAR (Hanuman Nagar/Nagaur/Nagaur)</v>
      </c>
      <c r="D562" s="4" t="s">
        <v>3033</v>
      </c>
      <c r="E562" s="4" t="s">
        <v>3119</v>
      </c>
      <c r="F562" s="5">
        <v>45997.999664351853</v>
      </c>
      <c r="G562" s="16" t="str">
        <f t="shared" si="40"/>
        <v>MasonaryStone (Gitti)</v>
      </c>
      <c r="H562" s="4" t="s">
        <v>2408</v>
      </c>
      <c r="I562" s="18" t="str" cm="1">
        <f t="array" ref="I562">_xlfn.LET(_xlpm.text, D562,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62" s="18" t="str" cm="1">
        <f t="array" ref="J562">_xlfn.LET(_xlpm.text, E562,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2" s="14">
        <f t="shared" si="41"/>
        <v>45998</v>
      </c>
      <c r="L562" s="14">
        <f t="shared" si="42"/>
        <v>45998.624664351853</v>
      </c>
      <c r="N562" s="12"/>
    </row>
    <row r="563" spans="1:14" x14ac:dyDescent="0.25">
      <c r="A563" s="4" t="s">
        <v>592</v>
      </c>
      <c r="B563" s="16" t="str">
        <f t="shared" si="38"/>
        <v>M/s Sidhi Vinayak Aggregates Private Limated</v>
      </c>
      <c r="C563" s="16" t="str">
        <f t="shared" si="39"/>
        <v>Barsingo Ka Bas Lohawat()</v>
      </c>
      <c r="D563" s="4" t="s">
        <v>1382</v>
      </c>
      <c r="E563" s="4" t="s">
        <v>3119</v>
      </c>
      <c r="F563" s="5">
        <v>45998.999664351853</v>
      </c>
      <c r="G563" s="16" t="str">
        <f t="shared" si="40"/>
        <v>MasonaryStone (Gitti)</v>
      </c>
      <c r="H563" s="4" t="s">
        <v>2409</v>
      </c>
      <c r="I563" s="18" t="str" cm="1">
        <f t="array" ref="I563">_xlfn.LET(_xlpm.text, D563,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63" s="18" t="str" cm="1">
        <f t="array" ref="J563">_xlfn.LET(_xlpm.text, E563,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3" s="14">
        <f t="shared" si="41"/>
        <v>45999</v>
      </c>
      <c r="L563" s="14">
        <f t="shared" si="42"/>
        <v>45999.624664351853</v>
      </c>
      <c r="N563" s="12"/>
    </row>
    <row r="564" spans="1:14" x14ac:dyDescent="0.25">
      <c r="A564" s="4" t="s">
        <v>593</v>
      </c>
      <c r="B564" s="16" t="str">
        <f t="shared" si="38"/>
        <v>M/s Sidhi Vinayak Aggregates Private Limated</v>
      </c>
      <c r="C564" s="16" t="str">
        <f t="shared" si="39"/>
        <v>Barsingo Ka Bas Lohawat()</v>
      </c>
      <c r="D564" s="4" t="s">
        <v>1382</v>
      </c>
      <c r="E564" s="4" t="s">
        <v>3119</v>
      </c>
      <c r="F564" s="5">
        <v>45998.999664351853</v>
      </c>
      <c r="G564" s="16" t="str">
        <f t="shared" si="40"/>
        <v>MasonaryStone (Gitti)</v>
      </c>
      <c r="H564" s="4" t="s">
        <v>2410</v>
      </c>
      <c r="I564" s="18" t="str" cm="1">
        <f t="array" ref="I564">_xlfn.LET(_xlpm.text, D564,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64" s="18" t="str" cm="1">
        <f t="array" ref="J564">_xlfn.LET(_xlpm.text, E564,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4" s="14">
        <f t="shared" si="41"/>
        <v>45999</v>
      </c>
      <c r="L564" s="14">
        <f t="shared" si="42"/>
        <v>45999.624664351853</v>
      </c>
      <c r="N564" s="12"/>
    </row>
    <row r="565" spans="1:14" x14ac:dyDescent="0.25">
      <c r="A565" s="4" t="s">
        <v>594</v>
      </c>
      <c r="B565" s="16" t="str">
        <f t="shared" si="38"/>
        <v>MAA DURGA STONE CRUSHING COMPANY</v>
      </c>
      <c r="C565" s="16" t="str">
        <f t="shared" si="39"/>
        <v>CHADWAS(Chadwas/Bidasar/Sujangarh)</v>
      </c>
      <c r="D565" s="4" t="s">
        <v>3032</v>
      </c>
      <c r="E565" s="4" t="s">
        <v>3119</v>
      </c>
      <c r="F565" s="5">
        <v>45998.999664351853</v>
      </c>
      <c r="G565" s="16" t="str">
        <f t="shared" si="40"/>
        <v>MasonaryStone (Gitti)</v>
      </c>
      <c r="H565" s="4" t="s">
        <v>2343</v>
      </c>
      <c r="I565" s="18" t="str" cm="1">
        <f t="array" ref="I565">_xlfn.LET(_xlpm.text, D565,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65" s="18" t="str" cm="1">
        <f t="array" ref="J565">_xlfn.LET(_xlpm.text, E565,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5" s="14">
        <f t="shared" si="41"/>
        <v>45999</v>
      </c>
      <c r="L565" s="14">
        <f t="shared" si="42"/>
        <v>45999.624664351853</v>
      </c>
      <c r="N565" s="12"/>
    </row>
    <row r="566" spans="1:14" x14ac:dyDescent="0.25">
      <c r="A566" s="4" t="s">
        <v>595</v>
      </c>
      <c r="B566" s="16" t="str">
        <f t="shared" si="38"/>
        <v>ADWAITH AGGREGATE SOLUTIONS</v>
      </c>
      <c r="C566" s="16" t="str">
        <f t="shared" si="39"/>
        <v>KHASRA NO. 910/801 HANUMAN NAGAR (Hanuman Nagar/Nagaur/Nagaur)</v>
      </c>
      <c r="D566" s="4" t="s">
        <v>3033</v>
      </c>
      <c r="E566" s="4" t="s">
        <v>3119</v>
      </c>
      <c r="F566" s="5">
        <v>45998.999664351853</v>
      </c>
      <c r="G566" s="16" t="str">
        <f t="shared" si="40"/>
        <v>MasonaryStone (Gitti)</v>
      </c>
      <c r="H566" s="4" t="s">
        <v>2411</v>
      </c>
      <c r="I566" s="18" t="str" cm="1">
        <f t="array" ref="I566">_xlfn.LET(_xlpm.text, D566,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66" s="18" t="str" cm="1">
        <f t="array" ref="J566">_xlfn.LET(_xlpm.text, E566,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6" s="14">
        <f t="shared" si="41"/>
        <v>45999</v>
      </c>
      <c r="L566" s="14">
        <f t="shared" si="42"/>
        <v>45999.624664351853</v>
      </c>
      <c r="N566" s="12"/>
    </row>
    <row r="567" spans="1:14" x14ac:dyDescent="0.25">
      <c r="A567" s="4" t="s">
        <v>596</v>
      </c>
      <c r="B567" s="16" t="str">
        <f t="shared" si="38"/>
        <v>ADWAITH AGGREGATE SOLUTIONS</v>
      </c>
      <c r="C567" s="16" t="str">
        <f t="shared" si="39"/>
        <v>KHASRA NO. 910/801 HANUMAN NAGAR (Hanuman Nagar/Nagaur/Nagaur)</v>
      </c>
      <c r="D567" s="4" t="s">
        <v>3033</v>
      </c>
      <c r="E567" s="4" t="s">
        <v>3119</v>
      </c>
      <c r="F567" s="5">
        <v>45998.999664351853</v>
      </c>
      <c r="G567" s="16" t="str">
        <f t="shared" si="40"/>
        <v>MasonaryStone (Gitti)</v>
      </c>
      <c r="H567" s="4" t="s">
        <v>2412</v>
      </c>
      <c r="I567" s="18" t="str" cm="1">
        <f t="array" ref="I567">_xlfn.LET(_xlpm.text, D567,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67" s="18" t="str" cm="1">
        <f t="array" ref="J567">_xlfn.LET(_xlpm.text, E567,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7" s="14">
        <f t="shared" si="41"/>
        <v>45999</v>
      </c>
      <c r="L567" s="14">
        <f t="shared" si="42"/>
        <v>45999.624664351853</v>
      </c>
      <c r="N567" s="12"/>
    </row>
    <row r="568" spans="1:14" x14ac:dyDescent="0.25">
      <c r="A568" s="4" t="s">
        <v>597</v>
      </c>
      <c r="B568" s="16" t="str">
        <f t="shared" si="38"/>
        <v>MAA DURGA STONE CRUSHING COMPANY</v>
      </c>
      <c r="C568" s="16" t="str">
        <f t="shared" si="39"/>
        <v>CHADWAS(Chadwas/Bidasar/Sujangarh)</v>
      </c>
      <c r="D568" s="4" t="s">
        <v>3031</v>
      </c>
      <c r="E568" s="4" t="s">
        <v>3119</v>
      </c>
      <c r="F568" s="5">
        <v>45998.999664351853</v>
      </c>
      <c r="G568" s="16" t="str">
        <f t="shared" si="40"/>
        <v>MasonaryStone (Gitti)</v>
      </c>
      <c r="H568" s="4" t="s">
        <v>2413</v>
      </c>
      <c r="I568" s="18" t="str" cm="1">
        <f t="array" ref="I568">_xlfn.LET(_xlpm.text, D568,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68" s="18" t="str" cm="1">
        <f t="array" ref="J568">_xlfn.LET(_xlpm.text, E568,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8" s="14">
        <f t="shared" si="41"/>
        <v>45999</v>
      </c>
      <c r="L568" s="14">
        <f t="shared" si="42"/>
        <v>45999.624664351853</v>
      </c>
      <c r="N568" s="12"/>
    </row>
    <row r="569" spans="1:14" x14ac:dyDescent="0.25">
      <c r="A569" s="4" t="s">
        <v>598</v>
      </c>
      <c r="B569" s="16" t="str">
        <f t="shared" si="38"/>
        <v>MAA DURGA STONE CRUSHING COMPANY</v>
      </c>
      <c r="C569" s="16" t="str">
        <f t="shared" si="39"/>
        <v>CHADWAS(Chadwas/Bidasar/Sujangarh)</v>
      </c>
      <c r="D569" s="4" t="s">
        <v>3032</v>
      </c>
      <c r="E569" s="4" t="s">
        <v>3119</v>
      </c>
      <c r="F569" s="5">
        <v>45999.999664351853</v>
      </c>
      <c r="G569" s="16" t="str">
        <f t="shared" si="40"/>
        <v>MasonaryStone (Gitti)</v>
      </c>
      <c r="H569" s="4" t="s">
        <v>2414</v>
      </c>
      <c r="I569" s="18" t="str" cm="1">
        <f t="array" ref="I569">_xlfn.LET(_xlpm.text, D569,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69" s="18" t="str" cm="1">
        <f t="array" ref="J569">_xlfn.LET(_xlpm.text, E569,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69" s="14">
        <f t="shared" si="41"/>
        <v>46000</v>
      </c>
      <c r="L569" s="14">
        <f t="shared" si="42"/>
        <v>46000.624664351853</v>
      </c>
      <c r="N569" s="12"/>
    </row>
    <row r="570" spans="1:14" x14ac:dyDescent="0.25">
      <c r="A570" s="4" t="s">
        <v>599</v>
      </c>
      <c r="B570" s="16" t="str">
        <f t="shared" si="38"/>
        <v>MAA DURGA STONE CRUSHING COMPANY</v>
      </c>
      <c r="C570" s="16" t="str">
        <f t="shared" si="39"/>
        <v>CHADWAS(Chadwas/Bidasar/Sujangarh)</v>
      </c>
      <c r="D570" s="4" t="s">
        <v>3035</v>
      </c>
      <c r="E570" s="4" t="s">
        <v>3119</v>
      </c>
      <c r="F570" s="5">
        <v>45999.999664351853</v>
      </c>
      <c r="G570" s="16" t="str">
        <f t="shared" si="40"/>
        <v>MasonaryStone (Gitti)</v>
      </c>
      <c r="H570" s="4" t="s">
        <v>2415</v>
      </c>
      <c r="I570" s="18" t="str" cm="1">
        <f t="array" ref="I570">_xlfn.LET(_xlpm.text, D570,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70" s="18" t="str" cm="1">
        <f t="array" ref="J570">_xlfn.LET(_xlpm.text, E570,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0" s="14">
        <f t="shared" si="41"/>
        <v>46000</v>
      </c>
      <c r="L570" s="14">
        <f t="shared" si="42"/>
        <v>46000.624664351853</v>
      </c>
      <c r="N570" s="12"/>
    </row>
    <row r="571" spans="1:14" x14ac:dyDescent="0.25">
      <c r="A571" s="4" t="s">
        <v>600</v>
      </c>
      <c r="B571" s="16" t="str">
        <f t="shared" si="38"/>
        <v>MAA DURGA STONE CRUSHING COMPANY</v>
      </c>
      <c r="C571" s="16" t="str">
        <f t="shared" si="39"/>
        <v>CHADWAS(Chadwas/Bidasar/Sujangarh)</v>
      </c>
      <c r="D571" s="4" t="s">
        <v>3031</v>
      </c>
      <c r="E571" s="4" t="s">
        <v>3119</v>
      </c>
      <c r="F571" s="5">
        <v>45999.999664351853</v>
      </c>
      <c r="G571" s="16" t="str">
        <f t="shared" si="40"/>
        <v>MasonaryStone (Gitti)</v>
      </c>
      <c r="H571" s="4" t="s">
        <v>2416</v>
      </c>
      <c r="I571" s="18" t="str" cm="1">
        <f t="array" ref="I571">_xlfn.LET(_xlpm.text, D571,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71" s="18" t="str" cm="1">
        <f t="array" ref="J571">_xlfn.LET(_xlpm.text, E571,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1" s="14">
        <f t="shared" si="41"/>
        <v>46000</v>
      </c>
      <c r="L571" s="14">
        <f t="shared" si="42"/>
        <v>46000.624664351853</v>
      </c>
      <c r="N571" s="12"/>
    </row>
    <row r="572" spans="1:14" x14ac:dyDescent="0.25">
      <c r="A572" s="4" t="s">
        <v>601</v>
      </c>
      <c r="B572" s="16" t="str">
        <f t="shared" si="38"/>
        <v>MAA DURGA STONE CRUSHING COMPANY</v>
      </c>
      <c r="C572" s="16" t="str">
        <f t="shared" si="39"/>
        <v>CHADWAS(Chadwas/Bidasar/Sujangarh)</v>
      </c>
      <c r="D572" s="4" t="s">
        <v>3032</v>
      </c>
      <c r="E572" s="4" t="s">
        <v>3119</v>
      </c>
      <c r="F572" s="5">
        <v>46000.999664351853</v>
      </c>
      <c r="G572" s="16" t="str">
        <f t="shared" si="40"/>
        <v>MasonaryStone (Gitti)</v>
      </c>
      <c r="H572" s="4" t="s">
        <v>2417</v>
      </c>
      <c r="I572" s="18" t="str" cm="1">
        <f t="array" ref="I572">_xlfn.LET(_xlpm.text, D572,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72" s="18" t="str" cm="1">
        <f t="array" ref="J572">_xlfn.LET(_xlpm.text, E572,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2" s="14">
        <f t="shared" si="41"/>
        <v>46001</v>
      </c>
      <c r="L572" s="14">
        <f t="shared" si="42"/>
        <v>46001.624664351853</v>
      </c>
      <c r="N572" s="12"/>
    </row>
    <row r="573" spans="1:14" x14ac:dyDescent="0.25">
      <c r="A573" s="4" t="s">
        <v>602</v>
      </c>
      <c r="B573" s="16" t="str">
        <f t="shared" si="38"/>
        <v>MAA DURGA STONE CRUSHING COMPANY</v>
      </c>
      <c r="C573" s="16" t="str">
        <f t="shared" si="39"/>
        <v>CHADWAS(Chadwas/Bidasar/Sujangarh)</v>
      </c>
      <c r="D573" s="4" t="s">
        <v>3032</v>
      </c>
      <c r="E573" s="4" t="s">
        <v>3119</v>
      </c>
      <c r="F573" s="5">
        <v>46000.999664351853</v>
      </c>
      <c r="G573" s="16" t="str">
        <f t="shared" si="40"/>
        <v>MasonaryStone (Gitti)</v>
      </c>
      <c r="H573" s="4" t="s">
        <v>2418</v>
      </c>
      <c r="I573" s="18" t="str" cm="1">
        <f t="array" ref="I573">_xlfn.LET(_xlpm.text, D573,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73" s="18" t="str" cm="1">
        <f t="array" ref="J573">_xlfn.LET(_xlpm.text, E573,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3" s="14">
        <f t="shared" si="41"/>
        <v>46001</v>
      </c>
      <c r="L573" s="14">
        <f t="shared" si="42"/>
        <v>46001.624664351853</v>
      </c>
      <c r="N573" s="12"/>
    </row>
    <row r="574" spans="1:14" x14ac:dyDescent="0.25">
      <c r="A574" s="4" t="s">
        <v>603</v>
      </c>
      <c r="B574" s="16" t="str">
        <f t="shared" si="38"/>
        <v>ADWAITH AGGREGATE SOLUTIONS</v>
      </c>
      <c r="C574" s="16" t="str">
        <f t="shared" si="39"/>
        <v>KHASRA NO. 910/801 HANUMAN NAGAR (Hanuman Nagar/Nagaur/Nagaur)</v>
      </c>
      <c r="D574" s="4" t="s">
        <v>3033</v>
      </c>
      <c r="E574" s="4" t="s">
        <v>3119</v>
      </c>
      <c r="F574" s="5">
        <v>46000.999664351853</v>
      </c>
      <c r="G574" s="16" t="str">
        <f t="shared" si="40"/>
        <v>MasonaryStone (Gitti)</v>
      </c>
      <c r="H574" s="4" t="s">
        <v>2417</v>
      </c>
      <c r="I574" s="18" t="str" cm="1">
        <f t="array" ref="I574">_xlfn.LET(_xlpm.text, D574,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74" s="18" t="str" cm="1">
        <f t="array" ref="J574">_xlfn.LET(_xlpm.text, E574,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4" s="14">
        <f t="shared" si="41"/>
        <v>46001</v>
      </c>
      <c r="L574" s="14">
        <f t="shared" si="42"/>
        <v>46001.624664351853</v>
      </c>
      <c r="N574" s="12"/>
    </row>
    <row r="575" spans="1:14" x14ac:dyDescent="0.25">
      <c r="A575" s="4" t="s">
        <v>604</v>
      </c>
      <c r="B575" s="16" t="str">
        <f t="shared" si="38"/>
        <v>M/s Sidhi Vinayak Aggregates Private Limated</v>
      </c>
      <c r="C575" s="16" t="str">
        <f t="shared" si="39"/>
        <v>Barsingo Ka Bas Lohawat()</v>
      </c>
      <c r="D575" s="4" t="s">
        <v>1382</v>
      </c>
      <c r="E575" s="4" t="s">
        <v>3119</v>
      </c>
      <c r="F575" s="5">
        <v>46000.999664351853</v>
      </c>
      <c r="G575" s="16" t="str">
        <f t="shared" si="40"/>
        <v>MasonaryStone (Gitti)</v>
      </c>
      <c r="H575" s="4" t="s">
        <v>2419</v>
      </c>
      <c r="I575" s="18" t="str" cm="1">
        <f t="array" ref="I575">_xlfn.LET(_xlpm.text, D575,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75" s="18" t="str" cm="1">
        <f t="array" ref="J575">_xlfn.LET(_xlpm.text, E575,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5" s="14">
        <f t="shared" si="41"/>
        <v>46001</v>
      </c>
      <c r="L575" s="14">
        <f t="shared" si="42"/>
        <v>46001.624664351853</v>
      </c>
      <c r="N575" s="12"/>
    </row>
    <row r="576" spans="1:14" x14ac:dyDescent="0.25">
      <c r="A576" s="4" t="s">
        <v>605</v>
      </c>
      <c r="B576" s="16" t="str">
        <f t="shared" si="38"/>
        <v>MAA DURGA STONE CRUSHING COMPANY</v>
      </c>
      <c r="C576" s="16" t="str">
        <f t="shared" si="39"/>
        <v>CHADWAS(Chadwas/Bidasar/Sujangarh)</v>
      </c>
      <c r="D576" s="4" t="s">
        <v>3032</v>
      </c>
      <c r="E576" s="4" t="s">
        <v>3119</v>
      </c>
      <c r="F576" s="5">
        <v>46001.999664351853</v>
      </c>
      <c r="G576" s="16" t="str">
        <f t="shared" si="40"/>
        <v>MasonaryStone (Gitti)</v>
      </c>
      <c r="H576" s="4" t="s">
        <v>2420</v>
      </c>
      <c r="I576" s="18" t="str" cm="1">
        <f t="array" ref="I576">_xlfn.LET(_xlpm.text, D576,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76" s="18" t="str" cm="1">
        <f t="array" ref="J576">_xlfn.LET(_xlpm.text, E576,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6" s="14">
        <f t="shared" si="41"/>
        <v>46002</v>
      </c>
      <c r="L576" s="14">
        <f t="shared" si="42"/>
        <v>46002.624664351853</v>
      </c>
      <c r="N576" s="12"/>
    </row>
    <row r="577" spans="1:14" x14ac:dyDescent="0.25">
      <c r="A577" s="4" t="s">
        <v>606</v>
      </c>
      <c r="B577" s="16" t="str">
        <f t="shared" si="38"/>
        <v>MAA DURGA STONE CRUSHING COMPANY</v>
      </c>
      <c r="C577" s="16" t="str">
        <f t="shared" si="39"/>
        <v>CHADWAS(Chadwas/Bidasar/Sujangarh)</v>
      </c>
      <c r="D577" s="4" t="s">
        <v>3034</v>
      </c>
      <c r="E577" s="4" t="s">
        <v>3119</v>
      </c>
      <c r="F577" s="5">
        <v>46001.999664351853</v>
      </c>
      <c r="G577" s="16" t="str">
        <f t="shared" si="40"/>
        <v>MasonaryStone (Gitti)</v>
      </c>
      <c r="H577" s="4" t="s">
        <v>2421</v>
      </c>
      <c r="I577" s="18" t="str" cm="1">
        <f t="array" ref="I577">_xlfn.LET(_xlpm.text, D577,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77" s="18" t="str" cm="1">
        <f t="array" ref="J577">_xlfn.LET(_xlpm.text, E577,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7" s="14">
        <f t="shared" si="41"/>
        <v>46002</v>
      </c>
      <c r="L577" s="14">
        <f t="shared" si="42"/>
        <v>46002.624664351853</v>
      </c>
      <c r="N577" s="12"/>
    </row>
    <row r="578" spans="1:14" x14ac:dyDescent="0.25">
      <c r="A578" s="4" t="s">
        <v>607</v>
      </c>
      <c r="B578" s="16" t="str">
        <f t="shared" ref="B578:B641" si="43">VLOOKUP(LEFT($A578,4)&amp;"*",$O$3:$R$17, 2, FALSE)</f>
        <v>MAA DURGA STONE CRUSHING COMPANY</v>
      </c>
      <c r="C578" s="16" t="str">
        <f t="shared" ref="C578:C641" si="44">VLOOKUP(LEFT($A578,4)&amp;"*",$O$3:$R$17, 3, FALSE)</f>
        <v>CHADWAS(Chadwas/Bidasar/Sujangarh)</v>
      </c>
      <c r="D578" s="4" t="s">
        <v>3032</v>
      </c>
      <c r="E578" s="4" t="s">
        <v>3119</v>
      </c>
      <c r="F578" s="5">
        <v>46001.999664351853</v>
      </c>
      <c r="G578" s="16" t="str">
        <f t="shared" ref="G578:G641" si="45">VLOOKUP(LEFT($A578,4)&amp;"*",$O$3:$R$17, 4, FALSE)</f>
        <v>MasonaryStone (Gitti)</v>
      </c>
      <c r="H578" s="4" t="s">
        <v>2422</v>
      </c>
      <c r="I578" s="18" t="str" cm="1">
        <f t="array" ref="I578">_xlfn.LET(_xlpm.text, D578,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78" s="18" t="str" cm="1">
        <f t="array" ref="J578">_xlfn.LET(_xlpm.text, E578,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8" s="14">
        <f t="shared" si="41"/>
        <v>46002</v>
      </c>
      <c r="L578" s="14">
        <f t="shared" si="42"/>
        <v>46002.624664351853</v>
      </c>
      <c r="N578" s="12"/>
    </row>
    <row r="579" spans="1:14" x14ac:dyDescent="0.25">
      <c r="A579" s="4" t="s">
        <v>608</v>
      </c>
      <c r="B579" s="16" t="str">
        <f t="shared" si="43"/>
        <v>ADWAITH AGGREGATE SOLUTIONS</v>
      </c>
      <c r="C579" s="16" t="str">
        <f t="shared" si="44"/>
        <v>KHASRA NO. 910/801 HANUMAN NAGAR (Hanuman Nagar/Nagaur/Nagaur)</v>
      </c>
      <c r="D579" s="4" t="s">
        <v>3033</v>
      </c>
      <c r="E579" s="4" t="s">
        <v>3119</v>
      </c>
      <c r="F579" s="5">
        <v>46001.999664351853</v>
      </c>
      <c r="G579" s="16" t="str">
        <f t="shared" si="45"/>
        <v>MasonaryStone (Gitti)</v>
      </c>
      <c r="H579" s="4" t="s">
        <v>2423</v>
      </c>
      <c r="I579" s="18" t="str" cm="1">
        <f t="array" ref="I579">_xlfn.LET(_xlpm.text, D579,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79" s="18" t="str" cm="1">
        <f t="array" ref="J579">_xlfn.LET(_xlpm.text, E579,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79" s="14">
        <f t="shared" ref="K579:K642" si="46">F579+(29/86400)</f>
        <v>46002</v>
      </c>
      <c r="L579" s="14">
        <f t="shared" ref="L579:L642" si="47">F579+(15/24)</f>
        <v>46002.624664351853</v>
      </c>
      <c r="N579" s="12"/>
    </row>
    <row r="580" spans="1:14" x14ac:dyDescent="0.25">
      <c r="A580" s="4" t="s">
        <v>609</v>
      </c>
      <c r="B580" s="16" t="str">
        <f t="shared" si="43"/>
        <v>M/s Sidhi Vinayak Aggregates Private Limated</v>
      </c>
      <c r="C580" s="16" t="str">
        <f t="shared" si="44"/>
        <v>Barsingo Ka Bas Lohawat()</v>
      </c>
      <c r="D580" s="4" t="s">
        <v>1382</v>
      </c>
      <c r="E580" s="4" t="s">
        <v>3119</v>
      </c>
      <c r="F580" s="5">
        <v>46001.999664351853</v>
      </c>
      <c r="G580" s="16" t="str">
        <f t="shared" si="45"/>
        <v>MasonaryStone (Gitti)</v>
      </c>
      <c r="H580" s="4" t="s">
        <v>2424</v>
      </c>
      <c r="I580" s="18" t="str" cm="1">
        <f t="array" ref="I580">_xlfn.LET(_xlpm.text, D580,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80" s="18" t="str" cm="1">
        <f t="array" ref="J580">_xlfn.LET(_xlpm.text, E580,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0" s="14">
        <f t="shared" si="46"/>
        <v>46002</v>
      </c>
      <c r="L580" s="14">
        <f t="shared" si="47"/>
        <v>46002.624664351853</v>
      </c>
      <c r="N580" s="12"/>
    </row>
    <row r="581" spans="1:14" x14ac:dyDescent="0.25">
      <c r="A581" s="4" t="s">
        <v>610</v>
      </c>
      <c r="B581" s="16" t="str">
        <f t="shared" si="43"/>
        <v>ADWAITH AGGREGATE SOLUTIONS</v>
      </c>
      <c r="C581" s="16" t="str">
        <f t="shared" si="44"/>
        <v>KHASRA NO. 910/801 HANUMAN NAGAR (Hanuman Nagar/Nagaur/Nagaur)</v>
      </c>
      <c r="D581" s="4" t="s">
        <v>1382</v>
      </c>
      <c r="E581" s="4" t="s">
        <v>3119</v>
      </c>
      <c r="F581" s="5">
        <v>46001.999664351853</v>
      </c>
      <c r="G581" s="16" t="str">
        <f t="shared" si="45"/>
        <v>MasonaryStone (Gitti)</v>
      </c>
      <c r="H581" s="4" t="s">
        <v>2386</v>
      </c>
      <c r="I581" s="18" t="str" cm="1">
        <f t="array" ref="I581">_xlfn.LET(_xlpm.text, D581,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81" s="18" t="str" cm="1">
        <f t="array" ref="J581">_xlfn.LET(_xlpm.text, E581,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1" s="14">
        <f t="shared" si="46"/>
        <v>46002</v>
      </c>
      <c r="L581" s="14">
        <f t="shared" si="47"/>
        <v>46002.624664351853</v>
      </c>
      <c r="N581" s="12"/>
    </row>
    <row r="582" spans="1:14" x14ac:dyDescent="0.25">
      <c r="A582" s="4" t="s">
        <v>611</v>
      </c>
      <c r="B582" s="16" t="str">
        <f t="shared" si="43"/>
        <v>M/s Sidhi Vinayak Aggregates Private Limated</v>
      </c>
      <c r="C582" s="16" t="str">
        <f t="shared" si="44"/>
        <v>Barsingo Ka Bas Lohawat()</v>
      </c>
      <c r="D582" s="4" t="s">
        <v>1382</v>
      </c>
      <c r="E582" s="4" t="s">
        <v>3119</v>
      </c>
      <c r="F582" s="5">
        <v>46001.999664351853</v>
      </c>
      <c r="G582" s="16" t="str">
        <f t="shared" si="45"/>
        <v>MasonaryStone (Gitti)</v>
      </c>
      <c r="H582" s="4" t="s">
        <v>2425</v>
      </c>
      <c r="I582" s="18" t="str" cm="1">
        <f t="array" ref="I582">_xlfn.LET(_xlpm.text, D582,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82" s="18" t="str" cm="1">
        <f t="array" ref="J582">_xlfn.LET(_xlpm.text, E582,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2" s="14">
        <f t="shared" si="46"/>
        <v>46002</v>
      </c>
      <c r="L582" s="14">
        <f t="shared" si="47"/>
        <v>46002.624664351853</v>
      </c>
      <c r="N582" s="12"/>
    </row>
    <row r="583" spans="1:14" x14ac:dyDescent="0.25">
      <c r="A583" s="4" t="s">
        <v>612</v>
      </c>
      <c r="B583" s="16" t="str">
        <f t="shared" si="43"/>
        <v>M/s Sidhi Vinayak Aggregates Private Limated</v>
      </c>
      <c r="C583" s="16" t="str">
        <f t="shared" si="44"/>
        <v>Barsingo Ka Bas Lohawat()</v>
      </c>
      <c r="D583" s="4" t="s">
        <v>3031</v>
      </c>
      <c r="E583" s="4" t="s">
        <v>3119</v>
      </c>
      <c r="F583" s="5">
        <v>46001.999664351853</v>
      </c>
      <c r="G583" s="16" t="str">
        <f t="shared" si="45"/>
        <v>MasonaryStone (Gitti)</v>
      </c>
      <c r="H583" s="4" t="s">
        <v>2426</v>
      </c>
      <c r="I583" s="18" t="str" cm="1">
        <f t="array" ref="I583">_xlfn.LET(_xlpm.text, D583,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83" s="18" t="str" cm="1">
        <f t="array" ref="J583">_xlfn.LET(_xlpm.text, E583,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3" s="14">
        <f t="shared" si="46"/>
        <v>46002</v>
      </c>
      <c r="L583" s="14">
        <f t="shared" si="47"/>
        <v>46002.624664351853</v>
      </c>
      <c r="N583" s="12"/>
    </row>
    <row r="584" spans="1:14" x14ac:dyDescent="0.25">
      <c r="A584" s="4" t="s">
        <v>613</v>
      </c>
      <c r="B584" s="16" t="str">
        <f t="shared" si="43"/>
        <v>MAA DURGA STONE CRUSHING COMPANY</v>
      </c>
      <c r="C584" s="16" t="str">
        <f t="shared" si="44"/>
        <v>CHADWAS(Chadwas/Bidasar/Sujangarh)</v>
      </c>
      <c r="D584" s="4" t="s">
        <v>3034</v>
      </c>
      <c r="E584" s="4" t="s">
        <v>3119</v>
      </c>
      <c r="F584" s="5">
        <v>46002.999664351853</v>
      </c>
      <c r="G584" s="16" t="str">
        <f t="shared" si="45"/>
        <v>MasonaryStone (Gitti)</v>
      </c>
      <c r="H584" s="4" t="s">
        <v>2427</v>
      </c>
      <c r="I584" s="18" t="str" cm="1">
        <f t="array" ref="I584">_xlfn.LET(_xlpm.text, D584,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84" s="18" t="str" cm="1">
        <f t="array" ref="J584">_xlfn.LET(_xlpm.text, E584,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4" s="14">
        <f t="shared" si="46"/>
        <v>46003</v>
      </c>
      <c r="L584" s="14">
        <f t="shared" si="47"/>
        <v>46003.624664351853</v>
      </c>
      <c r="N584" s="12"/>
    </row>
    <row r="585" spans="1:14" x14ac:dyDescent="0.25">
      <c r="A585" s="4" t="s">
        <v>614</v>
      </c>
      <c r="B585" s="16" t="str">
        <f t="shared" si="43"/>
        <v>MAA DURGA STONE CRUSHING COMPANY</v>
      </c>
      <c r="C585" s="16" t="str">
        <f t="shared" si="44"/>
        <v>CHADWAS(Chadwas/Bidasar/Sujangarh)</v>
      </c>
      <c r="D585" s="4" t="s">
        <v>3034</v>
      </c>
      <c r="E585" s="4" t="s">
        <v>3119</v>
      </c>
      <c r="F585" s="5">
        <v>46002.999664351853</v>
      </c>
      <c r="G585" s="16" t="str">
        <f t="shared" si="45"/>
        <v>MasonaryStone (Gitti)</v>
      </c>
      <c r="H585" s="4" t="s">
        <v>2428</v>
      </c>
      <c r="I585" s="18" t="str" cm="1">
        <f t="array" ref="I585">_xlfn.LET(_xlpm.text, D585,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85" s="18" t="str" cm="1">
        <f t="array" ref="J585">_xlfn.LET(_xlpm.text, E585,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5" s="14">
        <f t="shared" si="46"/>
        <v>46003</v>
      </c>
      <c r="L585" s="14">
        <f t="shared" si="47"/>
        <v>46003.624664351853</v>
      </c>
      <c r="N585" s="12"/>
    </row>
    <row r="586" spans="1:14" x14ac:dyDescent="0.25">
      <c r="A586" s="4" t="s">
        <v>615</v>
      </c>
      <c r="B586" s="16" t="str">
        <f t="shared" si="43"/>
        <v>MAA DURGA STONE CRUSHING COMPANY</v>
      </c>
      <c r="C586" s="16" t="str">
        <f t="shared" si="44"/>
        <v>CHADWAS(Chadwas/Bidasar/Sujangarh)</v>
      </c>
      <c r="D586" s="4" t="s">
        <v>3034</v>
      </c>
      <c r="E586" s="4" t="s">
        <v>3119</v>
      </c>
      <c r="F586" s="5">
        <v>46002.999664351853</v>
      </c>
      <c r="G586" s="16" t="str">
        <f t="shared" si="45"/>
        <v>MasonaryStone (Gitti)</v>
      </c>
      <c r="H586" s="4" t="s">
        <v>2429</v>
      </c>
      <c r="I586" s="18" t="str" cm="1">
        <f t="array" ref="I586">_xlfn.LET(_xlpm.text, D586,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86" s="18" t="str" cm="1">
        <f t="array" ref="J586">_xlfn.LET(_xlpm.text, E586,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6" s="14">
        <f t="shared" si="46"/>
        <v>46003</v>
      </c>
      <c r="L586" s="14">
        <f t="shared" si="47"/>
        <v>46003.624664351853</v>
      </c>
      <c r="N586" s="12"/>
    </row>
    <row r="587" spans="1:14" x14ac:dyDescent="0.25">
      <c r="A587" s="4" t="s">
        <v>616</v>
      </c>
      <c r="B587" s="16" t="str">
        <f t="shared" si="43"/>
        <v>MAA DURGA STONE CRUSHING COMPANY</v>
      </c>
      <c r="C587" s="16" t="str">
        <f t="shared" si="44"/>
        <v>CHADWAS(Chadwas/Bidasar/Sujangarh)</v>
      </c>
      <c r="D587" s="4" t="s">
        <v>3034</v>
      </c>
      <c r="E587" s="4" t="s">
        <v>3119</v>
      </c>
      <c r="F587" s="5">
        <v>46002.999664351853</v>
      </c>
      <c r="G587" s="16" t="str">
        <f t="shared" si="45"/>
        <v>MasonaryStone (Gitti)</v>
      </c>
      <c r="H587" s="4" t="s">
        <v>2430</v>
      </c>
      <c r="I587" s="18" t="str" cm="1">
        <f t="array" ref="I587">_xlfn.LET(_xlpm.text, D587,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87" s="18" t="str" cm="1">
        <f t="array" ref="J587">_xlfn.LET(_xlpm.text, E587,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7" s="14">
        <f t="shared" si="46"/>
        <v>46003</v>
      </c>
      <c r="L587" s="14">
        <f t="shared" si="47"/>
        <v>46003.624664351853</v>
      </c>
      <c r="N587" s="12"/>
    </row>
    <row r="588" spans="1:14" x14ac:dyDescent="0.25">
      <c r="A588" s="4" t="s">
        <v>617</v>
      </c>
      <c r="B588" s="16" t="str">
        <f t="shared" si="43"/>
        <v>MAA DURGA STONE CRUSHING COMPANY</v>
      </c>
      <c r="C588" s="16" t="str">
        <f t="shared" si="44"/>
        <v>CHADWAS(Chadwas/Bidasar/Sujangarh)</v>
      </c>
      <c r="D588" s="4" t="s">
        <v>3032</v>
      </c>
      <c r="E588" s="4" t="s">
        <v>3119</v>
      </c>
      <c r="F588" s="5">
        <v>46002.999664351853</v>
      </c>
      <c r="G588" s="16" t="str">
        <f t="shared" si="45"/>
        <v>MasonaryStone (Gitti)</v>
      </c>
      <c r="H588" s="4" t="s">
        <v>2431</v>
      </c>
      <c r="I588" s="18" t="str" cm="1">
        <f t="array" ref="I588">_xlfn.LET(_xlpm.text, D588,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588" s="18" t="str" cm="1">
        <f t="array" ref="J588">_xlfn.LET(_xlpm.text, E588,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8" s="14">
        <f t="shared" si="46"/>
        <v>46003</v>
      </c>
      <c r="L588" s="14">
        <f t="shared" si="47"/>
        <v>46003.624664351853</v>
      </c>
      <c r="N588" s="12"/>
    </row>
    <row r="589" spans="1:14" x14ac:dyDescent="0.25">
      <c r="A589" s="4" t="s">
        <v>618</v>
      </c>
      <c r="B589" s="16" t="str">
        <f t="shared" si="43"/>
        <v>ADWAITH AGGREGATE SOLUTIONS</v>
      </c>
      <c r="C589" s="16" t="str">
        <f t="shared" si="44"/>
        <v>KHASRA NO. 910/801 HANUMAN NAGAR (Hanuman Nagar/Nagaur/Nagaur)</v>
      </c>
      <c r="D589" s="4" t="s">
        <v>3033</v>
      </c>
      <c r="E589" s="4" t="s">
        <v>3119</v>
      </c>
      <c r="F589" s="5">
        <v>46002.999664351853</v>
      </c>
      <c r="G589" s="16" t="str">
        <f t="shared" si="45"/>
        <v>MasonaryStone (Gitti)</v>
      </c>
      <c r="H589" s="4" t="s">
        <v>2432</v>
      </c>
      <c r="I589" s="18" t="str" cm="1">
        <f t="array" ref="I589">_xlfn.LET(_xlpm.text, D589,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89" s="18" t="str" cm="1">
        <f t="array" ref="J589">_xlfn.LET(_xlpm.text, E589,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89" s="14">
        <f t="shared" si="46"/>
        <v>46003</v>
      </c>
      <c r="L589" s="14">
        <f t="shared" si="47"/>
        <v>46003.624664351853</v>
      </c>
      <c r="N589" s="12"/>
    </row>
    <row r="590" spans="1:14" x14ac:dyDescent="0.25">
      <c r="A590" s="4" t="s">
        <v>619</v>
      </c>
      <c r="B590" s="16" t="str">
        <f t="shared" si="43"/>
        <v>ADWAITH AGGREGATE SOLUTIONS</v>
      </c>
      <c r="C590" s="16" t="str">
        <f t="shared" si="44"/>
        <v>KHASRA NO. 910/801 HANUMAN NAGAR (Hanuman Nagar/Nagaur/Nagaur)</v>
      </c>
      <c r="D590" s="4" t="s">
        <v>3033</v>
      </c>
      <c r="E590" s="4" t="s">
        <v>3119</v>
      </c>
      <c r="F590" s="5">
        <v>46002.999664351853</v>
      </c>
      <c r="G590" s="16" t="str">
        <f t="shared" si="45"/>
        <v>MasonaryStone (Gitti)</v>
      </c>
      <c r="H590" s="4" t="s">
        <v>2394</v>
      </c>
      <c r="I590" s="18" t="str" cm="1">
        <f t="array" ref="I590">_xlfn.LET(_xlpm.text, D590,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90" s="18" t="str" cm="1">
        <f t="array" ref="J590">_xlfn.LET(_xlpm.text, E590,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0" s="14">
        <f t="shared" si="46"/>
        <v>46003</v>
      </c>
      <c r="L590" s="14">
        <f t="shared" si="47"/>
        <v>46003.624664351853</v>
      </c>
      <c r="N590" s="12"/>
    </row>
    <row r="591" spans="1:14" x14ac:dyDescent="0.25">
      <c r="A591" s="4" t="s">
        <v>620</v>
      </c>
      <c r="B591" s="16" t="str">
        <f t="shared" si="43"/>
        <v>M/s Sidhi Vinayak Aggregates Private Limated</v>
      </c>
      <c r="C591" s="16" t="str">
        <f t="shared" si="44"/>
        <v>Barsingo Ka Bas Lohawat()</v>
      </c>
      <c r="D591" s="4" t="s">
        <v>1382</v>
      </c>
      <c r="E591" s="4" t="s">
        <v>3119</v>
      </c>
      <c r="F591" s="5">
        <v>46002.999664351853</v>
      </c>
      <c r="G591" s="16" t="str">
        <f t="shared" si="45"/>
        <v>MasonaryStone (Gitti)</v>
      </c>
      <c r="H591" s="4" t="s">
        <v>2433</v>
      </c>
      <c r="I591" s="18" t="str" cm="1">
        <f t="array" ref="I591">_xlfn.LET(_xlpm.text, D591,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591" s="18" t="str" cm="1">
        <f t="array" ref="J591">_xlfn.LET(_xlpm.text, E591,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1" s="14">
        <f t="shared" si="46"/>
        <v>46003</v>
      </c>
      <c r="L591" s="14">
        <f t="shared" si="47"/>
        <v>46003.624664351853</v>
      </c>
      <c r="N591" s="12"/>
    </row>
    <row r="592" spans="1:14" x14ac:dyDescent="0.25">
      <c r="A592" s="4" t="s">
        <v>621</v>
      </c>
      <c r="B592" s="16" t="str">
        <f t="shared" si="43"/>
        <v>MAA DURGA STONE CRUSHING COMPANY</v>
      </c>
      <c r="C592" s="16" t="str">
        <f t="shared" si="44"/>
        <v>CHADWAS(Chadwas/Bidasar/Sujangarh)</v>
      </c>
      <c r="D592" s="4" t="s">
        <v>3035</v>
      </c>
      <c r="E592" s="4" t="s">
        <v>3119</v>
      </c>
      <c r="F592" s="5">
        <v>46002.999664351853</v>
      </c>
      <c r="G592" s="16" t="str">
        <f t="shared" si="45"/>
        <v>MasonaryStone (Gitti)</v>
      </c>
      <c r="H592" s="4" t="s">
        <v>2434</v>
      </c>
      <c r="I592" s="18" t="str" cm="1">
        <f t="array" ref="I592">_xlfn.LET(_xlpm.text, D592,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92" s="18" t="str" cm="1">
        <f t="array" ref="J592">_xlfn.LET(_xlpm.text, E592,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2" s="14">
        <f t="shared" si="46"/>
        <v>46003</v>
      </c>
      <c r="L592" s="14">
        <f t="shared" si="47"/>
        <v>46003.624664351853</v>
      </c>
      <c r="N592" s="12"/>
    </row>
    <row r="593" spans="1:14" x14ac:dyDescent="0.25">
      <c r="A593" s="4" t="s">
        <v>622</v>
      </c>
      <c r="B593" s="16" t="str">
        <f t="shared" si="43"/>
        <v>MAA DURGA STONE CRUSHING COMPANY</v>
      </c>
      <c r="C593" s="16" t="str">
        <f t="shared" si="44"/>
        <v>CHADWAS(Chadwas/Bidasar/Sujangarh)</v>
      </c>
      <c r="D593" s="4" t="s">
        <v>3035</v>
      </c>
      <c r="E593" s="4" t="s">
        <v>3119</v>
      </c>
      <c r="F593" s="5">
        <v>46002.999664351853</v>
      </c>
      <c r="G593" s="16" t="str">
        <f t="shared" si="45"/>
        <v>MasonaryStone (Gitti)</v>
      </c>
      <c r="H593" s="4" t="s">
        <v>2435</v>
      </c>
      <c r="I593" s="18" t="str" cm="1">
        <f t="array" ref="I593">_xlfn.LET(_xlpm.text, D593,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93" s="18" t="str" cm="1">
        <f t="array" ref="J593">_xlfn.LET(_xlpm.text, E593,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3" s="14">
        <f t="shared" si="46"/>
        <v>46003</v>
      </c>
      <c r="L593" s="14">
        <f t="shared" si="47"/>
        <v>46003.624664351853</v>
      </c>
      <c r="N593" s="12"/>
    </row>
    <row r="594" spans="1:14" x14ac:dyDescent="0.25">
      <c r="A594" s="4" t="s">
        <v>623</v>
      </c>
      <c r="B594" s="16" t="str">
        <f t="shared" si="43"/>
        <v>MAA DURGA STONE CRUSHING COMPANY</v>
      </c>
      <c r="C594" s="16" t="str">
        <f t="shared" si="44"/>
        <v>CHADWAS(Chadwas/Bidasar/Sujangarh)</v>
      </c>
      <c r="D594" s="4" t="s">
        <v>3035</v>
      </c>
      <c r="E594" s="4" t="s">
        <v>3119</v>
      </c>
      <c r="F594" s="5">
        <v>46002.999664351853</v>
      </c>
      <c r="G594" s="16" t="str">
        <f t="shared" si="45"/>
        <v>MasonaryStone (Gitti)</v>
      </c>
      <c r="H594" s="4" t="s">
        <v>2436</v>
      </c>
      <c r="I594" s="18" t="str" cm="1">
        <f t="array" ref="I594">_xlfn.LET(_xlpm.text, D594,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594" s="18" t="str" cm="1">
        <f t="array" ref="J594">_xlfn.LET(_xlpm.text, E594,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4" s="14">
        <f t="shared" si="46"/>
        <v>46003</v>
      </c>
      <c r="L594" s="14">
        <f t="shared" si="47"/>
        <v>46003.624664351853</v>
      </c>
      <c r="N594" s="12"/>
    </row>
    <row r="595" spans="1:14" x14ac:dyDescent="0.25">
      <c r="A595" s="4" t="s">
        <v>624</v>
      </c>
      <c r="B595" s="16" t="str">
        <f t="shared" si="43"/>
        <v>MAA DURGA STONE CRUSHING COMPANY</v>
      </c>
      <c r="C595" s="16" t="str">
        <f t="shared" si="44"/>
        <v>CHADWAS(Chadwas/Bidasar/Sujangarh)</v>
      </c>
      <c r="D595" s="4" t="s">
        <v>3031</v>
      </c>
      <c r="E595" s="4" t="s">
        <v>3119</v>
      </c>
      <c r="F595" s="5">
        <v>46002.999664351853</v>
      </c>
      <c r="G595" s="16" t="str">
        <f t="shared" si="45"/>
        <v>MasonaryStone (Gitti)</v>
      </c>
      <c r="H595" s="4" t="s">
        <v>2437</v>
      </c>
      <c r="I595" s="18" t="str" cm="1">
        <f t="array" ref="I595">_xlfn.LET(_xlpm.text, D595,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595" s="18" t="str" cm="1">
        <f t="array" ref="J595">_xlfn.LET(_xlpm.text, E595,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5" s="14">
        <f t="shared" si="46"/>
        <v>46003</v>
      </c>
      <c r="L595" s="14">
        <f t="shared" si="47"/>
        <v>46003.624664351853</v>
      </c>
      <c r="N595" s="12"/>
    </row>
    <row r="596" spans="1:14" x14ac:dyDescent="0.25">
      <c r="A596" s="4" t="s">
        <v>625</v>
      </c>
      <c r="B596" s="16" t="str">
        <f t="shared" si="43"/>
        <v>MAA DURGA STONE CRUSHING COMPANY</v>
      </c>
      <c r="C596" s="16" t="str">
        <f t="shared" si="44"/>
        <v>CHADWAS(Chadwas/Bidasar/Sujangarh)</v>
      </c>
      <c r="D596" s="4" t="s">
        <v>3034</v>
      </c>
      <c r="E596" s="4" t="s">
        <v>3119</v>
      </c>
      <c r="F596" s="5">
        <v>46003.999664351853</v>
      </c>
      <c r="G596" s="16" t="str">
        <f t="shared" si="45"/>
        <v>MasonaryStone (Gitti)</v>
      </c>
      <c r="H596" s="4" t="s">
        <v>2438</v>
      </c>
      <c r="I596" s="18" t="str" cm="1">
        <f t="array" ref="I596">_xlfn.LET(_xlpm.text, D596,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96" s="18" t="str" cm="1">
        <f t="array" ref="J596">_xlfn.LET(_xlpm.text, E596,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6" s="14">
        <f t="shared" si="46"/>
        <v>46004</v>
      </c>
      <c r="L596" s="14">
        <f t="shared" si="47"/>
        <v>46004.624664351853</v>
      </c>
      <c r="N596" s="12"/>
    </row>
    <row r="597" spans="1:14" x14ac:dyDescent="0.25">
      <c r="A597" s="4" t="s">
        <v>626</v>
      </c>
      <c r="B597" s="16" t="str">
        <f t="shared" si="43"/>
        <v>MAA DURGA STONE CRUSHING COMPANY</v>
      </c>
      <c r="C597" s="16" t="str">
        <f t="shared" si="44"/>
        <v>CHADWAS(Chadwas/Bidasar/Sujangarh)</v>
      </c>
      <c r="D597" s="4" t="s">
        <v>3034</v>
      </c>
      <c r="E597" s="4" t="s">
        <v>3119</v>
      </c>
      <c r="F597" s="5">
        <v>46003.999664351853</v>
      </c>
      <c r="G597" s="16" t="str">
        <f t="shared" si="45"/>
        <v>MasonaryStone (Gitti)</v>
      </c>
      <c r="H597" s="4" t="s">
        <v>2439</v>
      </c>
      <c r="I597" s="18" t="str" cm="1">
        <f t="array" ref="I597">_xlfn.LET(_xlpm.text, D597,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97" s="18" t="str" cm="1">
        <f t="array" ref="J597">_xlfn.LET(_xlpm.text, E597,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7" s="14">
        <f t="shared" si="46"/>
        <v>46004</v>
      </c>
      <c r="L597" s="14">
        <f t="shared" si="47"/>
        <v>46004.624664351853</v>
      </c>
      <c r="N597" s="12"/>
    </row>
    <row r="598" spans="1:14" x14ac:dyDescent="0.25">
      <c r="A598" s="4" t="s">
        <v>627</v>
      </c>
      <c r="B598" s="16" t="str">
        <f t="shared" si="43"/>
        <v>ADWAITH AGGREGATE SOLUTIONS</v>
      </c>
      <c r="C598" s="16" t="str">
        <f t="shared" si="44"/>
        <v>KHASRA NO. 910/801 HANUMAN NAGAR (Hanuman Nagar/Nagaur/Nagaur)</v>
      </c>
      <c r="D598" s="4" t="s">
        <v>3033</v>
      </c>
      <c r="E598" s="4" t="s">
        <v>3119</v>
      </c>
      <c r="F598" s="5">
        <v>46003.999664351853</v>
      </c>
      <c r="G598" s="16" t="str">
        <f t="shared" si="45"/>
        <v>MasonaryStone (Gitti)</v>
      </c>
      <c r="H598" s="4" t="s">
        <v>2440</v>
      </c>
      <c r="I598" s="18" t="str" cm="1">
        <f t="array" ref="I598">_xlfn.LET(_xlpm.text, D598,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598" s="18" t="str" cm="1">
        <f t="array" ref="J598">_xlfn.LET(_xlpm.text, E598,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8" s="14">
        <f t="shared" si="46"/>
        <v>46004</v>
      </c>
      <c r="L598" s="14">
        <f t="shared" si="47"/>
        <v>46004.624664351853</v>
      </c>
      <c r="N598" s="12"/>
    </row>
    <row r="599" spans="1:14" x14ac:dyDescent="0.25">
      <c r="A599" s="4" t="s">
        <v>628</v>
      </c>
      <c r="B599" s="16" t="str">
        <f t="shared" si="43"/>
        <v>MAA DURGA STONE CRUSHING COMPANY</v>
      </c>
      <c r="C599" s="16" t="str">
        <f t="shared" si="44"/>
        <v>CHADWAS(Chadwas/Bidasar/Sujangarh)</v>
      </c>
      <c r="D599" s="4" t="s">
        <v>3034</v>
      </c>
      <c r="E599" s="4" t="s">
        <v>3119</v>
      </c>
      <c r="F599" s="5">
        <v>46003.999664351853</v>
      </c>
      <c r="G599" s="16" t="str">
        <f t="shared" si="45"/>
        <v>MasonaryStone (Gitti)</v>
      </c>
      <c r="H599" s="4" t="s">
        <v>2441</v>
      </c>
      <c r="I599" s="18" t="str" cm="1">
        <f t="array" ref="I599">_xlfn.LET(_xlpm.text, D599,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599" s="18" t="str" cm="1">
        <f t="array" ref="J599">_xlfn.LET(_xlpm.text, E599,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599" s="14">
        <f t="shared" si="46"/>
        <v>46004</v>
      </c>
      <c r="L599" s="14">
        <f t="shared" si="47"/>
        <v>46004.624664351853</v>
      </c>
      <c r="N599" s="12"/>
    </row>
    <row r="600" spans="1:14" x14ac:dyDescent="0.25">
      <c r="A600" s="4" t="s">
        <v>629</v>
      </c>
      <c r="B600" s="16" t="str">
        <f t="shared" si="43"/>
        <v>MAA DURGA STONE CRUSHING COMPANY</v>
      </c>
      <c r="C600" s="16" t="str">
        <f t="shared" si="44"/>
        <v>CHADWAS(Chadwas/Bidasar/Sujangarh)</v>
      </c>
      <c r="D600" s="4" t="s">
        <v>3035</v>
      </c>
      <c r="E600" s="4" t="s">
        <v>3119</v>
      </c>
      <c r="F600" s="5">
        <v>46003.999664351853</v>
      </c>
      <c r="G600" s="16" t="str">
        <f t="shared" si="45"/>
        <v>MasonaryStone (Gitti)</v>
      </c>
      <c r="H600" s="4" t="s">
        <v>2442</v>
      </c>
      <c r="I600" s="18" t="str" cm="1">
        <f t="array" ref="I600">_xlfn.LET(_xlpm.text, D600,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00" s="18" t="str" cm="1">
        <f t="array" ref="J600">_xlfn.LET(_xlpm.text, E600,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0" s="14">
        <f t="shared" si="46"/>
        <v>46004</v>
      </c>
      <c r="L600" s="14">
        <f t="shared" si="47"/>
        <v>46004.624664351853</v>
      </c>
      <c r="N600" s="12"/>
    </row>
    <row r="601" spans="1:14" x14ac:dyDescent="0.25">
      <c r="A601" s="4" t="s">
        <v>630</v>
      </c>
      <c r="B601" s="16" t="str">
        <f t="shared" si="43"/>
        <v>MAA DURGA STONE CRUSHING COMPANY</v>
      </c>
      <c r="C601" s="16" t="str">
        <f t="shared" si="44"/>
        <v>CHADWAS(Chadwas/Bidasar/Sujangarh)</v>
      </c>
      <c r="D601" s="4" t="s">
        <v>3035</v>
      </c>
      <c r="E601" s="4" t="s">
        <v>3119</v>
      </c>
      <c r="F601" s="5">
        <v>46003.999664351853</v>
      </c>
      <c r="G601" s="16" t="str">
        <f t="shared" si="45"/>
        <v>MasonaryStone (Gitti)</v>
      </c>
      <c r="H601" s="4" t="s">
        <v>2443</v>
      </c>
      <c r="I601" s="18" t="str" cm="1">
        <f t="array" ref="I601">_xlfn.LET(_xlpm.text, D601,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01" s="18" t="str" cm="1">
        <f t="array" ref="J601">_xlfn.LET(_xlpm.text, E601,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1" s="14">
        <f t="shared" si="46"/>
        <v>46004</v>
      </c>
      <c r="L601" s="14">
        <f t="shared" si="47"/>
        <v>46004.624664351853</v>
      </c>
      <c r="N601" s="12"/>
    </row>
    <row r="602" spans="1:14" x14ac:dyDescent="0.25">
      <c r="A602" s="4" t="s">
        <v>631</v>
      </c>
      <c r="B602" s="16" t="str">
        <f t="shared" si="43"/>
        <v>ADWAITH AGGREGATE SOLUTIONS</v>
      </c>
      <c r="C602" s="16" t="str">
        <f t="shared" si="44"/>
        <v>KHASRA NO. 910/801 HANUMAN NAGAR (Hanuman Nagar/Nagaur/Nagaur)</v>
      </c>
      <c r="D602" s="4" t="s">
        <v>3033</v>
      </c>
      <c r="E602" s="4" t="s">
        <v>3119</v>
      </c>
      <c r="F602" s="5">
        <v>46004.999664351853</v>
      </c>
      <c r="G602" s="16" t="str">
        <f t="shared" si="45"/>
        <v>MasonaryStone (Gitti)</v>
      </c>
      <c r="H602" s="4" t="s">
        <v>2377</v>
      </c>
      <c r="I602" s="18" t="str" cm="1">
        <f t="array" ref="I602">_xlfn.LET(_xlpm.text, D602,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02" s="18" t="str" cm="1">
        <f t="array" ref="J602">_xlfn.LET(_xlpm.text, E602,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2" s="14">
        <f t="shared" si="46"/>
        <v>46005</v>
      </c>
      <c r="L602" s="14">
        <f t="shared" si="47"/>
        <v>46005.624664351853</v>
      </c>
      <c r="N602" s="12"/>
    </row>
    <row r="603" spans="1:14" x14ac:dyDescent="0.25">
      <c r="A603" s="4" t="s">
        <v>632</v>
      </c>
      <c r="B603" s="16" t="str">
        <f t="shared" si="43"/>
        <v>MAA DURGA STONE CRUSHING COMPANY</v>
      </c>
      <c r="C603" s="16" t="str">
        <f t="shared" si="44"/>
        <v>CHADWAS(Chadwas/Bidasar/Sujangarh)</v>
      </c>
      <c r="D603" s="4" t="s">
        <v>3034</v>
      </c>
      <c r="E603" s="4" t="s">
        <v>3119</v>
      </c>
      <c r="F603" s="5">
        <v>46004.999664351853</v>
      </c>
      <c r="G603" s="16" t="str">
        <f t="shared" si="45"/>
        <v>MasonaryStone (Gitti)</v>
      </c>
      <c r="H603" s="4" t="s">
        <v>2444</v>
      </c>
      <c r="I603" s="18" t="str" cm="1">
        <f t="array" ref="I603">_xlfn.LET(_xlpm.text, D603,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603" s="18" t="str" cm="1">
        <f t="array" ref="J603">_xlfn.LET(_xlpm.text, E603,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3" s="14">
        <f t="shared" si="46"/>
        <v>46005</v>
      </c>
      <c r="L603" s="14">
        <f t="shared" si="47"/>
        <v>46005.624664351853</v>
      </c>
      <c r="N603" s="12"/>
    </row>
    <row r="604" spans="1:14" x14ac:dyDescent="0.25">
      <c r="A604" s="4" t="s">
        <v>633</v>
      </c>
      <c r="B604" s="16" t="str">
        <f t="shared" si="43"/>
        <v>MAA DURGA STONE CRUSHING COMPANY</v>
      </c>
      <c r="C604" s="16" t="str">
        <f t="shared" si="44"/>
        <v>CHADWAS(Chadwas/Bidasar/Sujangarh)</v>
      </c>
      <c r="D604" s="4" t="s">
        <v>3034</v>
      </c>
      <c r="E604" s="4" t="s">
        <v>3119</v>
      </c>
      <c r="F604" s="5">
        <v>46004.999664351853</v>
      </c>
      <c r="G604" s="16" t="str">
        <f t="shared" si="45"/>
        <v>MasonaryStone (Gitti)</v>
      </c>
      <c r="H604" s="4" t="s">
        <v>2445</v>
      </c>
      <c r="I604" s="18" t="str" cm="1">
        <f t="array" ref="I604">_xlfn.LET(_xlpm.text, D604,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604" s="18" t="str" cm="1">
        <f t="array" ref="J604">_xlfn.LET(_xlpm.text, E604,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4" s="14">
        <f t="shared" si="46"/>
        <v>46005</v>
      </c>
      <c r="L604" s="14">
        <f t="shared" si="47"/>
        <v>46005.624664351853</v>
      </c>
      <c r="N604" s="12"/>
    </row>
    <row r="605" spans="1:14" x14ac:dyDescent="0.25">
      <c r="A605" s="4" t="s">
        <v>634</v>
      </c>
      <c r="B605" s="16" t="str">
        <f t="shared" si="43"/>
        <v>ADWAITH AGGREGATE SOLUTIONS</v>
      </c>
      <c r="C605" s="16" t="str">
        <f t="shared" si="44"/>
        <v>KHASRA NO. 910/801 HANUMAN NAGAR (Hanuman Nagar/Nagaur/Nagaur)</v>
      </c>
      <c r="D605" s="4" t="s">
        <v>3033</v>
      </c>
      <c r="E605" s="4" t="s">
        <v>3119</v>
      </c>
      <c r="F605" s="5">
        <v>46004.999664351853</v>
      </c>
      <c r="G605" s="16" t="str">
        <f t="shared" si="45"/>
        <v>MasonaryStone (Gitti)</v>
      </c>
      <c r="H605" s="4" t="s">
        <v>2446</v>
      </c>
      <c r="I605" s="18" t="str" cm="1">
        <f t="array" ref="I605">_xlfn.LET(_xlpm.text, D605,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05" s="18" t="str" cm="1">
        <f t="array" ref="J605">_xlfn.LET(_xlpm.text, E605,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5" s="14">
        <f t="shared" si="46"/>
        <v>46005</v>
      </c>
      <c r="L605" s="14">
        <f t="shared" si="47"/>
        <v>46005.624664351853</v>
      </c>
      <c r="N605" s="12"/>
    </row>
    <row r="606" spans="1:14" x14ac:dyDescent="0.25">
      <c r="A606" s="4" t="s">
        <v>635</v>
      </c>
      <c r="B606" s="16" t="str">
        <f t="shared" si="43"/>
        <v>M/s Sidhi Vinayak Aggregates Private Limated</v>
      </c>
      <c r="C606" s="16" t="str">
        <f t="shared" si="44"/>
        <v>Barsingo Ka Bas Lohawat()</v>
      </c>
      <c r="D606" s="4" t="s">
        <v>1382</v>
      </c>
      <c r="E606" s="4" t="s">
        <v>3119</v>
      </c>
      <c r="F606" s="5">
        <v>46004.999664351853</v>
      </c>
      <c r="G606" s="16" t="str">
        <f t="shared" si="45"/>
        <v>MasonaryStone (Gitti)</v>
      </c>
      <c r="H606" s="4" t="s">
        <v>2447</v>
      </c>
      <c r="I606" s="18" t="str" cm="1">
        <f t="array" ref="I606">_xlfn.LET(_xlpm.text, D606,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06" s="18" t="str" cm="1">
        <f t="array" ref="J606">_xlfn.LET(_xlpm.text, E606,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6" s="14">
        <f t="shared" si="46"/>
        <v>46005</v>
      </c>
      <c r="L606" s="14">
        <f t="shared" si="47"/>
        <v>46005.624664351853</v>
      </c>
      <c r="N606" s="12"/>
    </row>
    <row r="607" spans="1:14" x14ac:dyDescent="0.25">
      <c r="A607" s="4" t="s">
        <v>636</v>
      </c>
      <c r="B607" s="16" t="str">
        <f t="shared" si="43"/>
        <v>M/s Sidhi Vinayak Aggregates Private Limated</v>
      </c>
      <c r="C607" s="16" t="str">
        <f t="shared" si="44"/>
        <v>Barsingo Ka Bas Lohawat()</v>
      </c>
      <c r="D607" s="4" t="s">
        <v>1382</v>
      </c>
      <c r="E607" s="4" t="s">
        <v>3119</v>
      </c>
      <c r="F607" s="5">
        <v>46004.999664351853</v>
      </c>
      <c r="G607" s="16" t="str">
        <f t="shared" si="45"/>
        <v>MasonaryStone (Gitti)</v>
      </c>
      <c r="H607" s="4" t="s">
        <v>2448</v>
      </c>
      <c r="I607" s="18" t="str" cm="1">
        <f t="array" ref="I607">_xlfn.LET(_xlpm.text, D607,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07" s="18" t="str" cm="1">
        <f t="array" ref="J607">_xlfn.LET(_xlpm.text, E607,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7" s="14">
        <f t="shared" si="46"/>
        <v>46005</v>
      </c>
      <c r="L607" s="14">
        <f t="shared" si="47"/>
        <v>46005.624664351853</v>
      </c>
      <c r="N607" s="12"/>
    </row>
    <row r="608" spans="1:14" x14ac:dyDescent="0.25">
      <c r="A608" s="4" t="s">
        <v>637</v>
      </c>
      <c r="B608" s="16" t="str">
        <f t="shared" si="43"/>
        <v>MAA DURGA STONE CRUSHING COMPANY</v>
      </c>
      <c r="C608" s="16" t="str">
        <f t="shared" si="44"/>
        <v>CHADWAS(Chadwas/Bidasar/Sujangarh)</v>
      </c>
      <c r="D608" s="4" t="s">
        <v>3035</v>
      </c>
      <c r="E608" s="4" t="s">
        <v>3119</v>
      </c>
      <c r="F608" s="5">
        <v>46004.999664351853</v>
      </c>
      <c r="G608" s="16" t="str">
        <f t="shared" si="45"/>
        <v>MasonaryStone (Gitti)</v>
      </c>
      <c r="H608" s="4" t="s">
        <v>2449</v>
      </c>
      <c r="I608" s="18" t="str" cm="1">
        <f t="array" ref="I608">_xlfn.LET(_xlpm.text, D608,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08" s="18" t="str" cm="1">
        <f t="array" ref="J608">_xlfn.LET(_xlpm.text, E608,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8" s="14">
        <f t="shared" si="46"/>
        <v>46005</v>
      </c>
      <c r="L608" s="14">
        <f t="shared" si="47"/>
        <v>46005.624664351853</v>
      </c>
      <c r="N608" s="12"/>
    </row>
    <row r="609" spans="1:14" x14ac:dyDescent="0.25">
      <c r="A609" s="4" t="s">
        <v>638</v>
      </c>
      <c r="B609" s="16" t="str">
        <f t="shared" si="43"/>
        <v>MAA DURGA STONE CRUSHING COMPANY</v>
      </c>
      <c r="C609" s="16" t="str">
        <f t="shared" si="44"/>
        <v>CHADWAS(Chadwas/Bidasar/Sujangarh)</v>
      </c>
      <c r="D609" s="4" t="s">
        <v>3035</v>
      </c>
      <c r="E609" s="4" t="s">
        <v>3119</v>
      </c>
      <c r="F609" s="5">
        <v>46004.999664351853</v>
      </c>
      <c r="G609" s="16" t="str">
        <f t="shared" si="45"/>
        <v>MasonaryStone (Gitti)</v>
      </c>
      <c r="H609" s="4" t="s">
        <v>2450</v>
      </c>
      <c r="I609" s="18" t="str" cm="1">
        <f t="array" ref="I609">_xlfn.LET(_xlpm.text, D609,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09" s="18" t="str" cm="1">
        <f t="array" ref="J609">_xlfn.LET(_xlpm.text, E609,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09" s="14">
        <f t="shared" si="46"/>
        <v>46005</v>
      </c>
      <c r="L609" s="14">
        <f t="shared" si="47"/>
        <v>46005.624664351853</v>
      </c>
      <c r="N609" s="12"/>
    </row>
    <row r="610" spans="1:14" x14ac:dyDescent="0.25">
      <c r="A610" s="4" t="s">
        <v>639</v>
      </c>
      <c r="B610" s="16" t="str">
        <f t="shared" si="43"/>
        <v>MAA DURGA STONE CRUSHING COMPANY</v>
      </c>
      <c r="C610" s="16" t="str">
        <f t="shared" si="44"/>
        <v>CHADWAS(Chadwas/Bidasar/Sujangarh)</v>
      </c>
      <c r="D610" s="4" t="s">
        <v>3035</v>
      </c>
      <c r="E610" s="4" t="s">
        <v>3119</v>
      </c>
      <c r="F610" s="5">
        <v>46005.999664351853</v>
      </c>
      <c r="G610" s="16" t="str">
        <f t="shared" si="45"/>
        <v>MasonaryStone (Gitti)</v>
      </c>
      <c r="H610" s="4" t="s">
        <v>2451</v>
      </c>
      <c r="I610" s="18" t="str" cm="1">
        <f t="array" ref="I610">_xlfn.LET(_xlpm.text, D610,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10" s="18" t="str" cm="1">
        <f t="array" ref="J610">_xlfn.LET(_xlpm.text, E610,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0" s="14">
        <f t="shared" si="46"/>
        <v>46006</v>
      </c>
      <c r="L610" s="14">
        <f t="shared" si="47"/>
        <v>46006.624664351853</v>
      </c>
      <c r="N610" s="12"/>
    </row>
    <row r="611" spans="1:14" x14ac:dyDescent="0.25">
      <c r="A611" s="4" t="s">
        <v>640</v>
      </c>
      <c r="B611" s="16" t="str">
        <f t="shared" si="43"/>
        <v>M/s Sidhi Vinayak Aggregates Private Limated</v>
      </c>
      <c r="C611" s="16" t="str">
        <f t="shared" si="44"/>
        <v>Barsingo Ka Bas Lohawat()</v>
      </c>
      <c r="D611" s="4" t="s">
        <v>1382</v>
      </c>
      <c r="E611" s="4" t="s">
        <v>3119</v>
      </c>
      <c r="F611" s="5">
        <v>46005.999664351853</v>
      </c>
      <c r="G611" s="16" t="str">
        <f t="shared" si="45"/>
        <v>MasonaryStone (Gitti)</v>
      </c>
      <c r="H611" s="4" t="s">
        <v>2452</v>
      </c>
      <c r="I611" s="18" t="str" cm="1">
        <f t="array" ref="I611">_xlfn.LET(_xlpm.text, D611,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11" s="18" t="str" cm="1">
        <f t="array" ref="J611">_xlfn.LET(_xlpm.text, E611,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1" s="14">
        <f t="shared" si="46"/>
        <v>46006</v>
      </c>
      <c r="L611" s="14">
        <f t="shared" si="47"/>
        <v>46006.624664351853</v>
      </c>
      <c r="N611" s="12"/>
    </row>
    <row r="612" spans="1:14" x14ac:dyDescent="0.25">
      <c r="A612" s="4" t="s">
        <v>641</v>
      </c>
      <c r="B612" s="16" t="str">
        <f t="shared" si="43"/>
        <v>MAA DURGA STONE CRUSHING COMPANY</v>
      </c>
      <c r="C612" s="16" t="str">
        <f t="shared" si="44"/>
        <v>CHADWAS(Chadwas/Bidasar/Sujangarh)</v>
      </c>
      <c r="D612" s="4" t="s">
        <v>3032</v>
      </c>
      <c r="E612" s="4" t="s">
        <v>3119</v>
      </c>
      <c r="F612" s="5">
        <v>46006.999664351853</v>
      </c>
      <c r="G612" s="16" t="str">
        <f t="shared" si="45"/>
        <v>MasonaryStone (Gitti)</v>
      </c>
      <c r="H612" s="4" t="s">
        <v>2453</v>
      </c>
      <c r="I612" s="18" t="str" cm="1">
        <f t="array" ref="I612">_xlfn.LET(_xlpm.text, D612,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12" s="18" t="str" cm="1">
        <f t="array" ref="J612">_xlfn.LET(_xlpm.text, E612,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2" s="14">
        <f t="shared" si="46"/>
        <v>46007</v>
      </c>
      <c r="L612" s="14">
        <f t="shared" si="47"/>
        <v>46007.624664351853</v>
      </c>
      <c r="N612" s="12"/>
    </row>
    <row r="613" spans="1:14" x14ac:dyDescent="0.25">
      <c r="A613" s="4" t="s">
        <v>642</v>
      </c>
      <c r="B613" s="16" t="str">
        <f t="shared" si="43"/>
        <v>MAA DURGA STONE CRUSHING COMPANY</v>
      </c>
      <c r="C613" s="16" t="str">
        <f t="shared" si="44"/>
        <v>CHADWAS(Chadwas/Bidasar/Sujangarh)</v>
      </c>
      <c r="D613" s="4" t="s">
        <v>3032</v>
      </c>
      <c r="E613" s="4" t="s">
        <v>3119</v>
      </c>
      <c r="F613" s="5">
        <v>46006.999664351853</v>
      </c>
      <c r="G613" s="16" t="str">
        <f t="shared" si="45"/>
        <v>MasonaryStone (Gitti)</v>
      </c>
      <c r="H613" s="4" t="s">
        <v>2454</v>
      </c>
      <c r="I613" s="18" t="str" cm="1">
        <f t="array" ref="I613">_xlfn.LET(_xlpm.text, D613,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13" s="18" t="str" cm="1">
        <f t="array" ref="J613">_xlfn.LET(_xlpm.text, E613,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3" s="14">
        <f t="shared" si="46"/>
        <v>46007</v>
      </c>
      <c r="L613" s="14">
        <f t="shared" si="47"/>
        <v>46007.624664351853</v>
      </c>
      <c r="N613" s="12"/>
    </row>
    <row r="614" spans="1:14" x14ac:dyDescent="0.25">
      <c r="A614" s="4" t="s">
        <v>643</v>
      </c>
      <c r="B614" s="16" t="str">
        <f t="shared" si="43"/>
        <v>MAA DURGA STONE CRUSHING COMPANY</v>
      </c>
      <c r="C614" s="16" t="str">
        <f t="shared" si="44"/>
        <v>CHADWAS(Chadwas/Bidasar/Sujangarh)</v>
      </c>
      <c r="D614" s="4" t="s">
        <v>3032</v>
      </c>
      <c r="E614" s="4" t="s">
        <v>3119</v>
      </c>
      <c r="F614" s="5">
        <v>46006.999664351853</v>
      </c>
      <c r="G614" s="16" t="str">
        <f t="shared" si="45"/>
        <v>MasonaryStone (Gitti)</v>
      </c>
      <c r="H614" s="4" t="s">
        <v>2455</v>
      </c>
      <c r="I614" s="18" t="str" cm="1">
        <f t="array" ref="I614">_xlfn.LET(_xlpm.text, D614,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14" s="18" t="str" cm="1">
        <f t="array" ref="J614">_xlfn.LET(_xlpm.text, E614,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4" s="14">
        <f t="shared" si="46"/>
        <v>46007</v>
      </c>
      <c r="L614" s="14">
        <f t="shared" si="47"/>
        <v>46007.624664351853</v>
      </c>
      <c r="N614" s="12"/>
    </row>
    <row r="615" spans="1:14" x14ac:dyDescent="0.25">
      <c r="A615" s="4" t="s">
        <v>644</v>
      </c>
      <c r="B615" s="16" t="str">
        <f t="shared" si="43"/>
        <v>ADWAITH AGGREGATE SOLUTIONS</v>
      </c>
      <c r="C615" s="16" t="str">
        <f t="shared" si="44"/>
        <v>KHASRA NO. 910/801 HANUMAN NAGAR (Hanuman Nagar/Nagaur/Nagaur)</v>
      </c>
      <c r="D615" s="4" t="s">
        <v>3033</v>
      </c>
      <c r="E615" s="4" t="s">
        <v>3119</v>
      </c>
      <c r="F615" s="5">
        <v>46006.999664351853</v>
      </c>
      <c r="G615" s="16" t="str">
        <f t="shared" si="45"/>
        <v>MasonaryStone (Gitti)</v>
      </c>
      <c r="H615" s="4" t="s">
        <v>2456</v>
      </c>
      <c r="I615" s="18" t="str" cm="1">
        <f t="array" ref="I615">_xlfn.LET(_xlpm.text, D615,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15" s="18" t="str" cm="1">
        <f t="array" ref="J615">_xlfn.LET(_xlpm.text, E615,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5" s="14">
        <f t="shared" si="46"/>
        <v>46007</v>
      </c>
      <c r="L615" s="14">
        <f t="shared" si="47"/>
        <v>46007.624664351853</v>
      </c>
      <c r="N615" s="12"/>
    </row>
    <row r="616" spans="1:14" x14ac:dyDescent="0.25">
      <c r="A616" s="4" t="s">
        <v>645</v>
      </c>
      <c r="B616" s="16" t="str">
        <f t="shared" si="43"/>
        <v>ADWAITH AGGREGATE SOLUTIONS</v>
      </c>
      <c r="C616" s="16" t="str">
        <f t="shared" si="44"/>
        <v>KHASRA NO. 910/801 HANUMAN NAGAR (Hanuman Nagar/Nagaur/Nagaur)</v>
      </c>
      <c r="D616" s="4" t="s">
        <v>3033</v>
      </c>
      <c r="E616" s="4" t="s">
        <v>3119</v>
      </c>
      <c r="F616" s="5">
        <v>46006.999664351853</v>
      </c>
      <c r="G616" s="16" t="str">
        <f t="shared" si="45"/>
        <v>MasonaryStone (Gitti)</v>
      </c>
      <c r="H616" s="4" t="s">
        <v>2394</v>
      </c>
      <c r="I616" s="18" t="str" cm="1">
        <f t="array" ref="I616">_xlfn.LET(_xlpm.text, D616,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16" s="18" t="str" cm="1">
        <f t="array" ref="J616">_xlfn.LET(_xlpm.text, E616,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6" s="14">
        <f t="shared" si="46"/>
        <v>46007</v>
      </c>
      <c r="L616" s="14">
        <f t="shared" si="47"/>
        <v>46007.624664351853</v>
      </c>
      <c r="N616" s="12"/>
    </row>
    <row r="617" spans="1:14" x14ac:dyDescent="0.25">
      <c r="A617" s="4" t="s">
        <v>646</v>
      </c>
      <c r="B617" s="16" t="str">
        <f t="shared" si="43"/>
        <v>M/s Sidhi Vinayak Aggregates Private Limated</v>
      </c>
      <c r="C617" s="16" t="str">
        <f t="shared" si="44"/>
        <v>Barsingo Ka Bas Lohawat()</v>
      </c>
      <c r="D617" s="4" t="s">
        <v>1382</v>
      </c>
      <c r="E617" s="4" t="s">
        <v>3119</v>
      </c>
      <c r="F617" s="5">
        <v>46006.999664351853</v>
      </c>
      <c r="G617" s="16" t="str">
        <f t="shared" si="45"/>
        <v>MasonaryStone (Gitti)</v>
      </c>
      <c r="H617" s="4" t="s">
        <v>2457</v>
      </c>
      <c r="I617" s="18" t="str" cm="1">
        <f t="array" ref="I617">_xlfn.LET(_xlpm.text, D617,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17" s="18" t="str" cm="1">
        <f t="array" ref="J617">_xlfn.LET(_xlpm.text, E617,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7" s="14">
        <f t="shared" si="46"/>
        <v>46007</v>
      </c>
      <c r="L617" s="14">
        <f t="shared" si="47"/>
        <v>46007.624664351853</v>
      </c>
      <c r="N617" s="12"/>
    </row>
    <row r="618" spans="1:14" x14ac:dyDescent="0.25">
      <c r="A618" s="4" t="s">
        <v>647</v>
      </c>
      <c r="B618" s="16" t="str">
        <f t="shared" si="43"/>
        <v>MAA DURGA STONE CRUSHING COMPANY</v>
      </c>
      <c r="C618" s="16" t="str">
        <f t="shared" si="44"/>
        <v>CHADWAS(Chadwas/Bidasar/Sujangarh)</v>
      </c>
      <c r="D618" s="4" t="s">
        <v>3035</v>
      </c>
      <c r="E618" s="4" t="s">
        <v>3119</v>
      </c>
      <c r="F618" s="5">
        <v>46007.999664351853</v>
      </c>
      <c r="G618" s="16" t="str">
        <f t="shared" si="45"/>
        <v>MasonaryStone (Gitti)</v>
      </c>
      <c r="H618" s="4" t="s">
        <v>2324</v>
      </c>
      <c r="I618" s="18" t="str" cm="1">
        <f t="array" ref="I618">_xlfn.LET(_xlpm.text, D618,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18" s="18" t="str" cm="1">
        <f t="array" ref="J618">_xlfn.LET(_xlpm.text, E618,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8" s="14">
        <f t="shared" si="46"/>
        <v>46008</v>
      </c>
      <c r="L618" s="14">
        <f t="shared" si="47"/>
        <v>46008.624664351853</v>
      </c>
      <c r="N618" s="12"/>
    </row>
    <row r="619" spans="1:14" x14ac:dyDescent="0.25">
      <c r="A619" s="4" t="s">
        <v>648</v>
      </c>
      <c r="B619" s="16" t="str">
        <f t="shared" si="43"/>
        <v>MAA DURGA STONE CRUSHING COMPANY</v>
      </c>
      <c r="C619" s="16" t="str">
        <f t="shared" si="44"/>
        <v>CHADWAS(Chadwas/Bidasar/Sujangarh)</v>
      </c>
      <c r="D619" s="4" t="s">
        <v>3031</v>
      </c>
      <c r="E619" s="4" t="s">
        <v>3119</v>
      </c>
      <c r="F619" s="5">
        <v>46007.999664351853</v>
      </c>
      <c r="G619" s="16" t="str">
        <f t="shared" si="45"/>
        <v>MasonaryStone (Gitti)</v>
      </c>
      <c r="H619" s="4" t="s">
        <v>2458</v>
      </c>
      <c r="I619" s="18" t="str" cm="1">
        <f t="array" ref="I619">_xlfn.LET(_xlpm.text, D619,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619" s="18" t="str" cm="1">
        <f t="array" ref="J619">_xlfn.LET(_xlpm.text, E619,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19" s="14">
        <f t="shared" si="46"/>
        <v>46008</v>
      </c>
      <c r="L619" s="14">
        <f t="shared" si="47"/>
        <v>46008.624664351853</v>
      </c>
      <c r="N619" s="12"/>
    </row>
    <row r="620" spans="1:14" x14ac:dyDescent="0.25">
      <c r="A620" s="4" t="s">
        <v>649</v>
      </c>
      <c r="B620" s="16" t="str">
        <f t="shared" si="43"/>
        <v>MAA DURGA STONE CRUSHING COMPANY</v>
      </c>
      <c r="C620" s="16" t="str">
        <f t="shared" si="44"/>
        <v>CHADWAS(Chadwas/Bidasar/Sujangarh)</v>
      </c>
      <c r="D620" s="4" t="s">
        <v>3034</v>
      </c>
      <c r="E620" s="4" t="s">
        <v>3119</v>
      </c>
      <c r="F620" s="5">
        <v>46008.999664351853</v>
      </c>
      <c r="G620" s="16" t="str">
        <f t="shared" si="45"/>
        <v>MasonaryStone (Gitti)</v>
      </c>
      <c r="H620" s="4" t="s">
        <v>2459</v>
      </c>
      <c r="I620" s="18" t="str" cm="1">
        <f t="array" ref="I620">_xlfn.LET(_xlpm.text, D620,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620" s="18" t="str" cm="1">
        <f t="array" ref="J620">_xlfn.LET(_xlpm.text, E620,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0" s="14">
        <f t="shared" si="46"/>
        <v>46009</v>
      </c>
      <c r="L620" s="14">
        <f t="shared" si="47"/>
        <v>46009.624664351853</v>
      </c>
      <c r="N620" s="12"/>
    </row>
    <row r="621" spans="1:14" x14ac:dyDescent="0.25">
      <c r="A621" s="4" t="s">
        <v>650</v>
      </c>
      <c r="B621" s="16" t="str">
        <f t="shared" si="43"/>
        <v>MAA DURGA STONE CRUSHING COMPANY</v>
      </c>
      <c r="C621" s="16" t="str">
        <f t="shared" si="44"/>
        <v>CHADWAS(Chadwas/Bidasar/Sujangarh)</v>
      </c>
      <c r="D621" s="4" t="s">
        <v>3034</v>
      </c>
      <c r="E621" s="4" t="s">
        <v>3119</v>
      </c>
      <c r="F621" s="5">
        <v>46008.999664351853</v>
      </c>
      <c r="G621" s="16" t="str">
        <f t="shared" si="45"/>
        <v>MasonaryStone (Gitti)</v>
      </c>
      <c r="H621" s="4" t="s">
        <v>2460</v>
      </c>
      <c r="I621" s="18" t="str" cm="1">
        <f t="array" ref="I621">_xlfn.LET(_xlpm.text, D621,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621" s="18" t="str" cm="1">
        <f t="array" ref="J621">_xlfn.LET(_xlpm.text, E621,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1" s="14">
        <f t="shared" si="46"/>
        <v>46009</v>
      </c>
      <c r="L621" s="14">
        <f t="shared" si="47"/>
        <v>46009.624664351853</v>
      </c>
      <c r="N621" s="12"/>
    </row>
    <row r="622" spans="1:14" x14ac:dyDescent="0.25">
      <c r="A622" s="4" t="s">
        <v>651</v>
      </c>
      <c r="B622" s="16" t="str">
        <f t="shared" si="43"/>
        <v>MAA DURGA STONE CRUSHING COMPANY</v>
      </c>
      <c r="C622" s="16" t="str">
        <f t="shared" si="44"/>
        <v>CHADWAS(Chadwas/Bidasar/Sujangarh)</v>
      </c>
      <c r="D622" s="4" t="s">
        <v>3034</v>
      </c>
      <c r="E622" s="4" t="s">
        <v>3119</v>
      </c>
      <c r="F622" s="5">
        <v>46008.999664351853</v>
      </c>
      <c r="G622" s="16" t="str">
        <f t="shared" si="45"/>
        <v>MasonaryStone (Gitti)</v>
      </c>
      <c r="H622" s="4" t="s">
        <v>2461</v>
      </c>
      <c r="I622" s="18" t="str" cm="1">
        <f t="array" ref="I622">_xlfn.LET(_xlpm.text, D622,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622" s="18" t="str" cm="1">
        <f t="array" ref="J622">_xlfn.LET(_xlpm.text, E622,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2" s="14">
        <f t="shared" si="46"/>
        <v>46009</v>
      </c>
      <c r="L622" s="14">
        <f t="shared" si="47"/>
        <v>46009.624664351853</v>
      </c>
      <c r="N622" s="12"/>
    </row>
    <row r="623" spans="1:14" x14ac:dyDescent="0.25">
      <c r="A623" s="4" t="s">
        <v>652</v>
      </c>
      <c r="B623" s="16" t="str">
        <f t="shared" si="43"/>
        <v>MAA DURGA STONE CRUSHING COMPANY</v>
      </c>
      <c r="C623" s="16" t="str">
        <f t="shared" si="44"/>
        <v>CHADWAS(Chadwas/Bidasar/Sujangarh)</v>
      </c>
      <c r="D623" s="4" t="s">
        <v>3032</v>
      </c>
      <c r="E623" s="4" t="s">
        <v>3119</v>
      </c>
      <c r="F623" s="5">
        <v>46008.999664351853</v>
      </c>
      <c r="G623" s="16" t="str">
        <f t="shared" si="45"/>
        <v>MasonaryStone (Gitti)</v>
      </c>
      <c r="H623" s="4" t="s">
        <v>2462</v>
      </c>
      <c r="I623" s="18" t="str" cm="1">
        <f t="array" ref="I623">_xlfn.LET(_xlpm.text, D623,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23" s="18" t="str" cm="1">
        <f t="array" ref="J623">_xlfn.LET(_xlpm.text, E623,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3" s="14">
        <f t="shared" si="46"/>
        <v>46009</v>
      </c>
      <c r="L623" s="14">
        <f t="shared" si="47"/>
        <v>46009.624664351853</v>
      </c>
      <c r="N623" s="12"/>
    </row>
    <row r="624" spans="1:14" x14ac:dyDescent="0.25">
      <c r="A624" s="4" t="s">
        <v>653</v>
      </c>
      <c r="B624" s="16" t="str">
        <f t="shared" si="43"/>
        <v>M/s Sidhi Vinayak Aggregates Private Limated</v>
      </c>
      <c r="C624" s="16" t="str">
        <f t="shared" si="44"/>
        <v>Barsingo Ka Bas Lohawat()</v>
      </c>
      <c r="D624" s="4" t="s">
        <v>1382</v>
      </c>
      <c r="E624" s="4" t="s">
        <v>3119</v>
      </c>
      <c r="F624" s="5">
        <v>46008.999664351853</v>
      </c>
      <c r="G624" s="16" t="str">
        <f t="shared" si="45"/>
        <v>MasonaryStone (Gitti)</v>
      </c>
      <c r="H624" s="4" t="s">
        <v>2409</v>
      </c>
      <c r="I624" s="18" t="str" cm="1">
        <f t="array" ref="I624">_xlfn.LET(_xlpm.text, D624,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24" s="18" t="str" cm="1">
        <f t="array" ref="J624">_xlfn.LET(_xlpm.text, E624,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4" s="14">
        <f t="shared" si="46"/>
        <v>46009</v>
      </c>
      <c r="L624" s="14">
        <f t="shared" si="47"/>
        <v>46009.624664351853</v>
      </c>
      <c r="N624" s="12"/>
    </row>
    <row r="625" spans="1:14" x14ac:dyDescent="0.25">
      <c r="A625" s="4" t="s">
        <v>654</v>
      </c>
      <c r="B625" s="16" t="str">
        <f t="shared" si="43"/>
        <v>ADWAITH AGGREGATE SOLUTIONS</v>
      </c>
      <c r="C625" s="16" t="str">
        <f t="shared" si="44"/>
        <v>KHASRA NO. 910/801 HANUMAN NAGAR (Hanuman Nagar/Nagaur/Nagaur)</v>
      </c>
      <c r="D625" s="4" t="s">
        <v>3033</v>
      </c>
      <c r="E625" s="4" t="s">
        <v>3119</v>
      </c>
      <c r="F625" s="5">
        <v>46009.999664351853</v>
      </c>
      <c r="G625" s="16" t="str">
        <f t="shared" si="45"/>
        <v>MasonaryStone (Gitti)</v>
      </c>
      <c r="H625" s="4" t="s">
        <v>2463</v>
      </c>
      <c r="I625" s="18" t="str" cm="1">
        <f t="array" ref="I625">_xlfn.LET(_xlpm.text, D625,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25" s="18" t="str" cm="1">
        <f t="array" ref="J625">_xlfn.LET(_xlpm.text, E625,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5" s="14">
        <f t="shared" si="46"/>
        <v>46010</v>
      </c>
      <c r="L625" s="14">
        <f t="shared" si="47"/>
        <v>46010.624664351853</v>
      </c>
      <c r="N625" s="12"/>
    </row>
    <row r="626" spans="1:14" x14ac:dyDescent="0.25">
      <c r="A626" s="4" t="s">
        <v>655</v>
      </c>
      <c r="B626" s="16" t="str">
        <f t="shared" si="43"/>
        <v>ADWAITH AGGREGATE SOLUTIONS</v>
      </c>
      <c r="C626" s="16" t="str">
        <f t="shared" si="44"/>
        <v>KHASRA NO. 910/801 HANUMAN NAGAR (Hanuman Nagar/Nagaur/Nagaur)</v>
      </c>
      <c r="D626" s="4" t="s">
        <v>3033</v>
      </c>
      <c r="E626" s="4" t="s">
        <v>3119</v>
      </c>
      <c r="F626" s="5">
        <v>46009.999664351853</v>
      </c>
      <c r="G626" s="16" t="str">
        <f t="shared" si="45"/>
        <v>MasonaryStone (Gitti)</v>
      </c>
      <c r="H626" s="4" t="s">
        <v>2464</v>
      </c>
      <c r="I626" s="18" t="str" cm="1">
        <f t="array" ref="I626">_xlfn.LET(_xlpm.text, D626,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26" s="18" t="str" cm="1">
        <f t="array" ref="J626">_xlfn.LET(_xlpm.text, E626,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6" s="14">
        <f t="shared" si="46"/>
        <v>46010</v>
      </c>
      <c r="L626" s="14">
        <f t="shared" si="47"/>
        <v>46010.624664351853</v>
      </c>
      <c r="N626" s="12"/>
    </row>
    <row r="627" spans="1:14" x14ac:dyDescent="0.25">
      <c r="A627" s="4" t="s">
        <v>656</v>
      </c>
      <c r="B627" s="16" t="str">
        <f t="shared" si="43"/>
        <v>M/s Sidhi Vinayak Aggregates Private Limated</v>
      </c>
      <c r="C627" s="16" t="str">
        <f t="shared" si="44"/>
        <v>Barsingo Ka Bas Lohawat()</v>
      </c>
      <c r="D627" s="4" t="s">
        <v>1382</v>
      </c>
      <c r="E627" s="4" t="s">
        <v>3119</v>
      </c>
      <c r="F627" s="5">
        <v>46009.999664351853</v>
      </c>
      <c r="G627" s="16" t="str">
        <f t="shared" si="45"/>
        <v>MasonaryStone (Gitti)</v>
      </c>
      <c r="H627" s="4" t="s">
        <v>2382</v>
      </c>
      <c r="I627" s="18" t="str" cm="1">
        <f t="array" ref="I627">_xlfn.LET(_xlpm.text, D627,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27" s="18" t="str" cm="1">
        <f t="array" ref="J627">_xlfn.LET(_xlpm.text, E627,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7" s="14">
        <f t="shared" si="46"/>
        <v>46010</v>
      </c>
      <c r="L627" s="14">
        <f t="shared" si="47"/>
        <v>46010.624664351853</v>
      </c>
      <c r="N627" s="12"/>
    </row>
    <row r="628" spans="1:14" x14ac:dyDescent="0.25">
      <c r="A628" s="4" t="s">
        <v>657</v>
      </c>
      <c r="B628" s="16" t="str">
        <f t="shared" si="43"/>
        <v>MAA DURGA STONE CRUSHING COMPANY</v>
      </c>
      <c r="C628" s="16" t="str">
        <f t="shared" si="44"/>
        <v>CHADWAS(Chadwas/Bidasar/Sujangarh)</v>
      </c>
      <c r="D628" s="4" t="s">
        <v>3032</v>
      </c>
      <c r="E628" s="4" t="s">
        <v>3119</v>
      </c>
      <c r="F628" s="5">
        <v>46010.999664351853</v>
      </c>
      <c r="G628" s="16" t="str">
        <f t="shared" si="45"/>
        <v>MasonaryStone (Gitti)</v>
      </c>
      <c r="H628" s="4" t="s">
        <v>2419</v>
      </c>
      <c r="I628" s="18" t="str" cm="1">
        <f t="array" ref="I628">_xlfn.LET(_xlpm.text, D628,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28" s="18" t="str" cm="1">
        <f t="array" ref="J628">_xlfn.LET(_xlpm.text, E628,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8" s="14">
        <f t="shared" si="46"/>
        <v>46011</v>
      </c>
      <c r="L628" s="14">
        <f t="shared" si="47"/>
        <v>46011.624664351853</v>
      </c>
      <c r="N628" s="12"/>
    </row>
    <row r="629" spans="1:14" x14ac:dyDescent="0.25">
      <c r="A629" s="4" t="s">
        <v>658</v>
      </c>
      <c r="B629" s="16" t="str">
        <f t="shared" si="43"/>
        <v>MAA DURGA STONE CRUSHING COMPANY</v>
      </c>
      <c r="C629" s="16" t="str">
        <f t="shared" si="44"/>
        <v>CHADWAS(Chadwas/Bidasar/Sujangarh)</v>
      </c>
      <c r="D629" s="4" t="s">
        <v>3032</v>
      </c>
      <c r="E629" s="4" t="s">
        <v>3119</v>
      </c>
      <c r="F629" s="5">
        <v>46010.999664351853</v>
      </c>
      <c r="G629" s="16" t="str">
        <f t="shared" si="45"/>
        <v>MasonaryStone (Gitti)</v>
      </c>
      <c r="H629" s="4" t="s">
        <v>2315</v>
      </c>
      <c r="I629" s="18" t="str" cm="1">
        <f t="array" ref="I629">_xlfn.LET(_xlpm.text, D629,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29" s="18" t="str" cm="1">
        <f t="array" ref="J629">_xlfn.LET(_xlpm.text, E629,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29" s="14">
        <f t="shared" si="46"/>
        <v>46011</v>
      </c>
      <c r="L629" s="14">
        <f t="shared" si="47"/>
        <v>46011.624664351853</v>
      </c>
      <c r="N629" s="12"/>
    </row>
    <row r="630" spans="1:14" x14ac:dyDescent="0.25">
      <c r="A630" s="4" t="s">
        <v>659</v>
      </c>
      <c r="B630" s="16" t="str">
        <f t="shared" si="43"/>
        <v>MAA DURGA STONE CRUSHING COMPANY</v>
      </c>
      <c r="C630" s="16" t="str">
        <f t="shared" si="44"/>
        <v>CHADWAS(Chadwas/Bidasar/Sujangarh)</v>
      </c>
      <c r="D630" s="4" t="s">
        <v>3032</v>
      </c>
      <c r="E630" s="4" t="s">
        <v>3119</v>
      </c>
      <c r="F630" s="5">
        <v>46010.999664351853</v>
      </c>
      <c r="G630" s="16" t="str">
        <f t="shared" si="45"/>
        <v>MasonaryStone (Gitti)</v>
      </c>
      <c r="H630" s="4" t="s">
        <v>2465</v>
      </c>
      <c r="I630" s="18" t="str" cm="1">
        <f t="array" ref="I630">_xlfn.LET(_xlpm.text, D630,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30" s="18" t="str" cm="1">
        <f t="array" ref="J630">_xlfn.LET(_xlpm.text, E630,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0" s="14">
        <f t="shared" si="46"/>
        <v>46011</v>
      </c>
      <c r="L630" s="14">
        <f t="shared" si="47"/>
        <v>46011.624664351853</v>
      </c>
      <c r="N630" s="12"/>
    </row>
    <row r="631" spans="1:14" x14ac:dyDescent="0.25">
      <c r="A631" s="4" t="s">
        <v>660</v>
      </c>
      <c r="B631" s="16" t="str">
        <f t="shared" si="43"/>
        <v>M/s Sidhi Vinayak Aggregates Private Limated</v>
      </c>
      <c r="C631" s="16" t="str">
        <f t="shared" si="44"/>
        <v>Barsingo Ka Bas Lohawat()</v>
      </c>
      <c r="D631" s="4" t="s">
        <v>1382</v>
      </c>
      <c r="E631" s="4" t="s">
        <v>3119</v>
      </c>
      <c r="F631" s="5">
        <v>46011.999664351853</v>
      </c>
      <c r="G631" s="16" t="str">
        <f t="shared" si="45"/>
        <v>MasonaryStone (Gitti)</v>
      </c>
      <c r="H631" s="4" t="s">
        <v>2466</v>
      </c>
      <c r="I631" s="18" t="str" cm="1">
        <f t="array" ref="I631">_xlfn.LET(_xlpm.text, D631,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31" s="18" t="str" cm="1">
        <f t="array" ref="J631">_xlfn.LET(_xlpm.text, E631,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1" s="14">
        <f t="shared" si="46"/>
        <v>46012</v>
      </c>
      <c r="L631" s="14">
        <f t="shared" si="47"/>
        <v>46012.624664351853</v>
      </c>
      <c r="N631" s="12"/>
    </row>
    <row r="632" spans="1:14" x14ac:dyDescent="0.25">
      <c r="A632" s="4" t="s">
        <v>661</v>
      </c>
      <c r="B632" s="16" t="str">
        <f t="shared" si="43"/>
        <v>ADWAITH AGGREGATE SOLUTIONS</v>
      </c>
      <c r="C632" s="16" t="str">
        <f t="shared" si="44"/>
        <v>KHASRA NO. 910/801 HANUMAN NAGAR (Hanuman Nagar/Nagaur/Nagaur)</v>
      </c>
      <c r="D632" s="4" t="s">
        <v>3033</v>
      </c>
      <c r="E632" s="4" t="s">
        <v>3119</v>
      </c>
      <c r="F632" s="5">
        <v>46011.999664351853</v>
      </c>
      <c r="G632" s="16" t="str">
        <f t="shared" si="45"/>
        <v>MasonaryStone (Gitti)</v>
      </c>
      <c r="H632" s="4" t="s">
        <v>2412</v>
      </c>
      <c r="I632" s="18" t="str" cm="1">
        <f t="array" ref="I632">_xlfn.LET(_xlpm.text, D632,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32" s="18" t="str" cm="1">
        <f t="array" ref="J632">_xlfn.LET(_xlpm.text, E632,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2" s="14">
        <f t="shared" si="46"/>
        <v>46012</v>
      </c>
      <c r="L632" s="14">
        <f t="shared" si="47"/>
        <v>46012.624664351853</v>
      </c>
      <c r="N632" s="12"/>
    </row>
    <row r="633" spans="1:14" x14ac:dyDescent="0.25">
      <c r="A633" s="4" t="s">
        <v>662</v>
      </c>
      <c r="B633" s="16" t="str">
        <f t="shared" si="43"/>
        <v>ADWAITH AGGREGATE SOLUTIONS</v>
      </c>
      <c r="C633" s="16" t="str">
        <f t="shared" si="44"/>
        <v>KHASRA NO. 910/801 HANUMAN NAGAR (Hanuman Nagar/Nagaur/Nagaur)</v>
      </c>
      <c r="D633" s="4" t="s">
        <v>3033</v>
      </c>
      <c r="E633" s="4" t="s">
        <v>3119</v>
      </c>
      <c r="F633" s="5">
        <v>46011.999664351853</v>
      </c>
      <c r="G633" s="16" t="str">
        <f t="shared" si="45"/>
        <v>MasonaryStone (Gitti)</v>
      </c>
      <c r="H633" s="4" t="s">
        <v>2467</v>
      </c>
      <c r="I633" s="18" t="str" cm="1">
        <f t="array" ref="I633">_xlfn.LET(_xlpm.text, D633,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33" s="18" t="str" cm="1">
        <f t="array" ref="J633">_xlfn.LET(_xlpm.text, E633,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3" s="14">
        <f t="shared" si="46"/>
        <v>46012</v>
      </c>
      <c r="L633" s="14">
        <f t="shared" si="47"/>
        <v>46012.624664351853</v>
      </c>
      <c r="N633" s="12"/>
    </row>
    <row r="634" spans="1:14" x14ac:dyDescent="0.25">
      <c r="A634" s="4" t="s">
        <v>663</v>
      </c>
      <c r="B634" s="16" t="str">
        <f t="shared" si="43"/>
        <v>MAA DURGA STONE CRUSHING COMPANY</v>
      </c>
      <c r="C634" s="16" t="str">
        <f t="shared" si="44"/>
        <v>CHADWAS(Chadwas/Bidasar/Sujangarh)</v>
      </c>
      <c r="D634" s="4" t="s">
        <v>3032</v>
      </c>
      <c r="E634" s="4" t="s">
        <v>3119</v>
      </c>
      <c r="F634" s="5">
        <v>46012.999664351853</v>
      </c>
      <c r="G634" s="16" t="str">
        <f t="shared" si="45"/>
        <v>MasonaryStone (Gitti)</v>
      </c>
      <c r="H634" s="4" t="s">
        <v>2468</v>
      </c>
      <c r="I634" s="18" t="str" cm="1">
        <f t="array" ref="I634">_xlfn.LET(_xlpm.text, D634,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34" s="18" t="str" cm="1">
        <f t="array" ref="J634">_xlfn.LET(_xlpm.text, E634,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4" s="14">
        <f t="shared" si="46"/>
        <v>46013</v>
      </c>
      <c r="L634" s="14">
        <f t="shared" si="47"/>
        <v>46013.624664351853</v>
      </c>
      <c r="N634" s="12"/>
    </row>
    <row r="635" spans="1:14" x14ac:dyDescent="0.25">
      <c r="A635" s="4" t="s">
        <v>664</v>
      </c>
      <c r="B635" s="16" t="str">
        <f t="shared" si="43"/>
        <v>Jagdamba Stone Crusher</v>
      </c>
      <c r="C635" s="16" t="str">
        <f t="shared" si="44"/>
        <v>Jagdamba Stone Crusher(Kodasar Bidavtaan/Sujangarh/Churu)</v>
      </c>
      <c r="D635" s="4" t="s">
        <v>3033</v>
      </c>
      <c r="E635" s="4" t="s">
        <v>3119</v>
      </c>
      <c r="F635" s="5">
        <v>46012.999664351853</v>
      </c>
      <c r="G635" s="16" t="str">
        <f t="shared" si="45"/>
        <v>MasonaryStone (Gitti)</v>
      </c>
      <c r="H635" s="4" t="s">
        <v>2469</v>
      </c>
      <c r="I635" s="18" t="str" cm="1">
        <f t="array" ref="I635">_xlfn.LET(_xlpm.text, D635,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35" s="18" t="str" cm="1">
        <f t="array" ref="J635">_xlfn.LET(_xlpm.text, E635,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5" s="14">
        <f t="shared" si="46"/>
        <v>46013</v>
      </c>
      <c r="L635" s="14">
        <f t="shared" si="47"/>
        <v>46013.624664351853</v>
      </c>
      <c r="N635" s="12"/>
    </row>
    <row r="636" spans="1:14" x14ac:dyDescent="0.25">
      <c r="A636" s="4" t="s">
        <v>665</v>
      </c>
      <c r="B636" s="16" t="str">
        <f t="shared" si="43"/>
        <v>MAA DURGA STONE CRUSHING COMPANY</v>
      </c>
      <c r="C636" s="16" t="str">
        <f t="shared" si="44"/>
        <v>CHADWAS(Chadwas/Bidasar/Sujangarh)</v>
      </c>
      <c r="D636" s="4" t="s">
        <v>3031</v>
      </c>
      <c r="E636" s="4" t="s">
        <v>3119</v>
      </c>
      <c r="F636" s="5">
        <v>46012.999664351853</v>
      </c>
      <c r="G636" s="16" t="str">
        <f t="shared" si="45"/>
        <v>MasonaryStone (Gitti)</v>
      </c>
      <c r="H636" s="4" t="s">
        <v>2470</v>
      </c>
      <c r="I636" s="18" t="str" cm="1">
        <f t="array" ref="I636">_xlfn.LET(_xlpm.text, D636,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636" s="18" t="str" cm="1">
        <f t="array" ref="J636">_xlfn.LET(_xlpm.text, E636,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6" s="14">
        <f t="shared" si="46"/>
        <v>46013</v>
      </c>
      <c r="L636" s="14">
        <f t="shared" si="47"/>
        <v>46013.624664351853</v>
      </c>
      <c r="N636" s="12"/>
    </row>
    <row r="637" spans="1:14" x14ac:dyDescent="0.25">
      <c r="A637" s="4" t="s">
        <v>666</v>
      </c>
      <c r="B637" s="16" t="str">
        <f t="shared" si="43"/>
        <v>MAA DURGA STONE CRUSHING COMPANY</v>
      </c>
      <c r="C637" s="16" t="str">
        <f t="shared" si="44"/>
        <v>CHADWAS(Chadwas/Bidasar/Sujangarh)</v>
      </c>
      <c r="D637" s="4" t="s">
        <v>3031</v>
      </c>
      <c r="E637" s="4" t="s">
        <v>3119</v>
      </c>
      <c r="F637" s="5">
        <v>46012.999664351853</v>
      </c>
      <c r="G637" s="16" t="str">
        <f t="shared" si="45"/>
        <v>MasonaryStone (Gitti)</v>
      </c>
      <c r="H637" s="4" t="s">
        <v>2471</v>
      </c>
      <c r="I637" s="18" t="str" cm="1">
        <f t="array" ref="I637">_xlfn.LET(_xlpm.text, D637,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637" s="18" t="str" cm="1">
        <f t="array" ref="J637">_xlfn.LET(_xlpm.text, E637,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7" s="14">
        <f t="shared" si="46"/>
        <v>46013</v>
      </c>
      <c r="L637" s="14">
        <f t="shared" si="47"/>
        <v>46013.624664351853</v>
      </c>
      <c r="N637" s="12"/>
    </row>
    <row r="638" spans="1:14" x14ac:dyDescent="0.25">
      <c r="A638" s="4" t="s">
        <v>667</v>
      </c>
      <c r="B638" s="16" t="str">
        <f t="shared" si="43"/>
        <v>MAA DURGA STONE CRUSHING COMPANY</v>
      </c>
      <c r="C638" s="16" t="str">
        <f t="shared" si="44"/>
        <v>CHADWAS(Chadwas/Bidasar/Sujangarh)</v>
      </c>
      <c r="D638" s="4" t="s">
        <v>3031</v>
      </c>
      <c r="E638" s="4" t="s">
        <v>3119</v>
      </c>
      <c r="F638" s="5">
        <v>46012.999664351853</v>
      </c>
      <c r="G638" s="16" t="str">
        <f t="shared" si="45"/>
        <v>MasonaryStone (Gitti)</v>
      </c>
      <c r="H638" s="4" t="s">
        <v>2263</v>
      </c>
      <c r="I638" s="18" t="str" cm="1">
        <f t="array" ref="I638">_xlfn.LET(_xlpm.text, D638,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638" s="18" t="str" cm="1">
        <f t="array" ref="J638">_xlfn.LET(_xlpm.text, E638,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8" s="14">
        <f t="shared" si="46"/>
        <v>46013</v>
      </c>
      <c r="L638" s="14">
        <f t="shared" si="47"/>
        <v>46013.624664351853</v>
      </c>
      <c r="N638" s="12"/>
    </row>
    <row r="639" spans="1:14" x14ac:dyDescent="0.25">
      <c r="A639" s="4" t="s">
        <v>668</v>
      </c>
      <c r="B639" s="16" t="str">
        <f t="shared" si="43"/>
        <v>Jagdamba Stone Crusher</v>
      </c>
      <c r="C639" s="16" t="str">
        <f t="shared" si="44"/>
        <v>Jagdamba Stone Crusher(Kodasar Bidavtaan/Sujangarh/Churu)</v>
      </c>
      <c r="D639" s="4" t="s">
        <v>3033</v>
      </c>
      <c r="E639" s="4" t="s">
        <v>3119</v>
      </c>
      <c r="F639" s="5">
        <v>46013.999664351853</v>
      </c>
      <c r="G639" s="16" t="str">
        <f t="shared" si="45"/>
        <v>MasonaryStone (Gitti)</v>
      </c>
      <c r="H639" s="4" t="s">
        <v>2472</v>
      </c>
      <c r="I639" s="18" t="str" cm="1">
        <f t="array" ref="I639">_xlfn.LET(_xlpm.text, D639,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39" s="18" t="str" cm="1">
        <f t="array" ref="J639">_xlfn.LET(_xlpm.text, E639,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39" s="14">
        <f t="shared" si="46"/>
        <v>46014</v>
      </c>
      <c r="L639" s="14">
        <f t="shared" si="47"/>
        <v>46014.624664351853</v>
      </c>
      <c r="N639" s="12"/>
    </row>
    <row r="640" spans="1:14" x14ac:dyDescent="0.25">
      <c r="A640" s="4" t="s">
        <v>669</v>
      </c>
      <c r="B640" s="16" t="str">
        <f t="shared" si="43"/>
        <v>ADWAITH AGGREGATE SOLUTIONS</v>
      </c>
      <c r="C640" s="16" t="str">
        <f t="shared" si="44"/>
        <v>KHASRA NO. 910/801 HANUMAN NAGAR (Hanuman Nagar/Nagaur/Nagaur)</v>
      </c>
      <c r="D640" s="4" t="s">
        <v>3033</v>
      </c>
      <c r="E640" s="4" t="s">
        <v>3119</v>
      </c>
      <c r="F640" s="5">
        <v>46013.999664351853</v>
      </c>
      <c r="G640" s="16" t="str">
        <f t="shared" si="45"/>
        <v>MasonaryStone (Gitti)</v>
      </c>
      <c r="H640" s="4" t="s">
        <v>2473</v>
      </c>
      <c r="I640" s="18" t="str" cm="1">
        <f t="array" ref="I640">_xlfn.LET(_xlpm.text, D640,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40" s="18" t="str" cm="1">
        <f t="array" ref="J640">_xlfn.LET(_xlpm.text, E640,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0" s="14">
        <f t="shared" si="46"/>
        <v>46014</v>
      </c>
      <c r="L640" s="14">
        <f t="shared" si="47"/>
        <v>46014.624664351853</v>
      </c>
      <c r="N640" s="12"/>
    </row>
    <row r="641" spans="1:14" x14ac:dyDescent="0.25">
      <c r="A641" s="4" t="s">
        <v>670</v>
      </c>
      <c r="B641" s="16" t="str">
        <f t="shared" si="43"/>
        <v>ADWAITH AGGREGATE SOLUTIONS</v>
      </c>
      <c r="C641" s="16" t="str">
        <f t="shared" si="44"/>
        <v>KHASRA NO. 910/801 HANUMAN NAGAR (Hanuman Nagar/Nagaur/Nagaur)</v>
      </c>
      <c r="D641" s="4" t="s">
        <v>3033</v>
      </c>
      <c r="E641" s="4" t="s">
        <v>3119</v>
      </c>
      <c r="F641" s="5">
        <v>46013.999664351853</v>
      </c>
      <c r="G641" s="16" t="str">
        <f t="shared" si="45"/>
        <v>MasonaryStone (Gitti)</v>
      </c>
      <c r="H641" s="4" t="s">
        <v>2265</v>
      </c>
      <c r="I641" s="18" t="str" cm="1">
        <f t="array" ref="I641">_xlfn.LET(_xlpm.text, D641,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41" s="18" t="str" cm="1">
        <f t="array" ref="J641">_xlfn.LET(_xlpm.text, E641,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1" s="14">
        <f t="shared" si="46"/>
        <v>46014</v>
      </c>
      <c r="L641" s="14">
        <f t="shared" si="47"/>
        <v>46014.624664351853</v>
      </c>
      <c r="N641" s="12"/>
    </row>
    <row r="642" spans="1:14" x14ac:dyDescent="0.25">
      <c r="A642" s="4" t="s">
        <v>671</v>
      </c>
      <c r="B642" s="16" t="str">
        <f t="shared" ref="B642:B705" si="48">VLOOKUP(LEFT($A642,4)&amp;"*",$O$3:$R$17, 2, FALSE)</f>
        <v>Jagdamba Stone Crusher</v>
      </c>
      <c r="C642" s="16" t="str">
        <f t="shared" ref="C642:C705" si="49">VLOOKUP(LEFT($A642,4)&amp;"*",$O$3:$R$17, 3, FALSE)</f>
        <v>Jagdamba Stone Crusher(Kodasar Bidavtaan/Sujangarh/Churu)</v>
      </c>
      <c r="D642" s="4" t="s">
        <v>1382</v>
      </c>
      <c r="E642" s="4" t="s">
        <v>3119</v>
      </c>
      <c r="F642" s="5">
        <v>46013.999664351853</v>
      </c>
      <c r="G642" s="16" t="str">
        <f t="shared" ref="G642:G705" si="50">VLOOKUP(LEFT($A642,4)&amp;"*",$O$3:$R$17, 4, FALSE)</f>
        <v>MasonaryStone (Gitti)</v>
      </c>
      <c r="H642" s="4" t="s">
        <v>2474</v>
      </c>
      <c r="I642" s="18" t="str" cm="1">
        <f t="array" ref="I642">_xlfn.LET(_xlpm.text, D642,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42" s="18" t="str" cm="1">
        <f t="array" ref="J642">_xlfn.LET(_xlpm.text, E642,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2" s="14">
        <f t="shared" si="46"/>
        <v>46014</v>
      </c>
      <c r="L642" s="14">
        <f t="shared" si="47"/>
        <v>46014.624664351853</v>
      </c>
      <c r="N642" s="12"/>
    </row>
    <row r="643" spans="1:14" x14ac:dyDescent="0.25">
      <c r="A643" s="4" t="s">
        <v>672</v>
      </c>
      <c r="B643" s="16" t="str">
        <f t="shared" si="48"/>
        <v>MAA DURGA STONE CRUSHING COMPANY</v>
      </c>
      <c r="C643" s="16" t="str">
        <f t="shared" si="49"/>
        <v>CHADWAS(Chadwas/Bidasar/Sujangarh)</v>
      </c>
      <c r="D643" s="4" t="s">
        <v>3035</v>
      </c>
      <c r="E643" s="4" t="s">
        <v>3119</v>
      </c>
      <c r="F643" s="5">
        <v>46013.999664351853</v>
      </c>
      <c r="G643" s="16" t="str">
        <f t="shared" si="50"/>
        <v>MasonaryStone (Gitti)</v>
      </c>
      <c r="H643" s="4" t="s">
        <v>2475</v>
      </c>
      <c r="I643" s="18" t="str" cm="1">
        <f t="array" ref="I643">_xlfn.LET(_xlpm.text, D643,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43" s="18" t="str" cm="1">
        <f t="array" ref="J643">_xlfn.LET(_xlpm.text, E643,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3" s="14">
        <f t="shared" ref="K643:K706" si="51">F643+(29/86400)</f>
        <v>46014</v>
      </c>
      <c r="L643" s="14">
        <f t="shared" ref="L643:L706" si="52">F643+(15/24)</f>
        <v>46014.624664351853</v>
      </c>
      <c r="N643" s="12"/>
    </row>
    <row r="644" spans="1:14" x14ac:dyDescent="0.25">
      <c r="A644" s="4" t="s">
        <v>673</v>
      </c>
      <c r="B644" s="16" t="str">
        <f t="shared" si="48"/>
        <v>MAA DURGA STONE CRUSHING COMPANY</v>
      </c>
      <c r="C644" s="16" t="str">
        <f t="shared" si="49"/>
        <v>CHADWAS(Chadwas/Bidasar/Sujangarh)</v>
      </c>
      <c r="D644" s="4" t="s">
        <v>3035</v>
      </c>
      <c r="E644" s="4" t="s">
        <v>3119</v>
      </c>
      <c r="F644" s="5">
        <v>46013.999664351853</v>
      </c>
      <c r="G644" s="16" t="str">
        <f t="shared" si="50"/>
        <v>MasonaryStone (Gitti)</v>
      </c>
      <c r="H644" s="4" t="s">
        <v>2476</v>
      </c>
      <c r="I644" s="18" t="str" cm="1">
        <f t="array" ref="I644">_xlfn.LET(_xlpm.text, D644,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44" s="18" t="str" cm="1">
        <f t="array" ref="J644">_xlfn.LET(_xlpm.text, E644,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4" s="14">
        <f t="shared" si="51"/>
        <v>46014</v>
      </c>
      <c r="L644" s="14">
        <f t="shared" si="52"/>
        <v>46014.624664351853</v>
      </c>
      <c r="N644" s="12"/>
    </row>
    <row r="645" spans="1:14" x14ac:dyDescent="0.25">
      <c r="A645" s="4" t="s">
        <v>674</v>
      </c>
      <c r="B645" s="16" t="str">
        <f t="shared" si="48"/>
        <v>MAA DURGA STONE CRUSHING COMPANY</v>
      </c>
      <c r="C645" s="16" t="str">
        <f t="shared" si="49"/>
        <v>CHADWAS(Chadwas/Bidasar/Sujangarh)</v>
      </c>
      <c r="D645" s="4" t="s">
        <v>3035</v>
      </c>
      <c r="E645" s="4" t="s">
        <v>3119</v>
      </c>
      <c r="F645" s="5">
        <v>46013.999664351853</v>
      </c>
      <c r="G645" s="16" t="str">
        <f t="shared" si="50"/>
        <v>MasonaryStone (Gitti)</v>
      </c>
      <c r="H645" s="4" t="s">
        <v>2477</v>
      </c>
      <c r="I645" s="18" t="str" cm="1">
        <f t="array" ref="I645">_xlfn.LET(_xlpm.text, D645,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45" s="18" t="str" cm="1">
        <f t="array" ref="J645">_xlfn.LET(_xlpm.text, E645,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5" s="14">
        <f t="shared" si="51"/>
        <v>46014</v>
      </c>
      <c r="L645" s="14">
        <f t="shared" si="52"/>
        <v>46014.624664351853</v>
      </c>
      <c r="N645" s="12"/>
    </row>
    <row r="646" spans="1:14" x14ac:dyDescent="0.25">
      <c r="A646" s="4" t="s">
        <v>675</v>
      </c>
      <c r="B646" s="16" t="str">
        <f t="shared" si="48"/>
        <v>ADWAITH AGGREGATE SOLUTIONS</v>
      </c>
      <c r="C646" s="16" t="str">
        <f t="shared" si="49"/>
        <v>KHASRA NO. 910/801 HANUMAN NAGAR (Hanuman Nagar/Nagaur/Nagaur)</v>
      </c>
      <c r="D646" s="4" t="s">
        <v>3033</v>
      </c>
      <c r="E646" s="4" t="s">
        <v>3119</v>
      </c>
      <c r="F646" s="5">
        <v>46014.999664351853</v>
      </c>
      <c r="G646" s="16" t="str">
        <f t="shared" si="50"/>
        <v>MasonaryStone (Gitti)</v>
      </c>
      <c r="H646" s="4" t="s">
        <v>2402</v>
      </c>
      <c r="I646" s="18" t="str" cm="1">
        <f t="array" ref="I646">_xlfn.LET(_xlpm.text, D646,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46" s="18" t="str" cm="1">
        <f t="array" ref="J646">_xlfn.LET(_xlpm.text, E646,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6" s="14">
        <f t="shared" si="51"/>
        <v>46015</v>
      </c>
      <c r="L646" s="14">
        <f t="shared" si="52"/>
        <v>46015.624664351853</v>
      </c>
      <c r="N646" s="12"/>
    </row>
    <row r="647" spans="1:14" x14ac:dyDescent="0.25">
      <c r="A647" s="4" t="s">
        <v>676</v>
      </c>
      <c r="B647" s="16" t="str">
        <f t="shared" si="48"/>
        <v>ADWAITH AGGREGATE SOLUTIONS</v>
      </c>
      <c r="C647" s="16" t="str">
        <f t="shared" si="49"/>
        <v>KHASRA NO. 910/801 HANUMAN NAGAR (Hanuman Nagar/Nagaur/Nagaur)</v>
      </c>
      <c r="D647" s="4" t="s">
        <v>3033</v>
      </c>
      <c r="E647" s="4" t="s">
        <v>3119</v>
      </c>
      <c r="F647" s="5">
        <v>46014.999664351853</v>
      </c>
      <c r="G647" s="16" t="str">
        <f t="shared" si="50"/>
        <v>MasonaryStone (Gitti)</v>
      </c>
      <c r="H647" s="4" t="s">
        <v>2402</v>
      </c>
      <c r="I647" s="18" t="str" cm="1">
        <f t="array" ref="I647">_xlfn.LET(_xlpm.text, D647,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47" s="18" t="str" cm="1">
        <f t="array" ref="J647">_xlfn.LET(_xlpm.text, E647,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7" s="14">
        <f t="shared" si="51"/>
        <v>46015</v>
      </c>
      <c r="L647" s="14">
        <f t="shared" si="52"/>
        <v>46015.624664351853</v>
      </c>
      <c r="N647" s="12"/>
    </row>
    <row r="648" spans="1:14" x14ac:dyDescent="0.25">
      <c r="A648" s="4" t="s">
        <v>677</v>
      </c>
      <c r="B648" s="16" t="str">
        <f t="shared" si="48"/>
        <v>MAA DURGA STONE CRUSHING COMPANY</v>
      </c>
      <c r="C648" s="16" t="str">
        <f t="shared" si="49"/>
        <v>CHADWAS(Chadwas/Bidasar/Sujangarh)</v>
      </c>
      <c r="D648" s="4" t="s">
        <v>3032</v>
      </c>
      <c r="E648" s="4" t="s">
        <v>3119</v>
      </c>
      <c r="F648" s="5">
        <v>46015.999664351853</v>
      </c>
      <c r="G648" s="16" t="str">
        <f t="shared" si="50"/>
        <v>MasonaryStone (Gitti)</v>
      </c>
      <c r="H648" s="4" t="s">
        <v>2447</v>
      </c>
      <c r="I648" s="18" t="str" cm="1">
        <f t="array" ref="I648">_xlfn.LET(_xlpm.text, D648,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48" s="18" t="str" cm="1">
        <f t="array" ref="J648">_xlfn.LET(_xlpm.text, E648,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8" s="14">
        <f t="shared" si="51"/>
        <v>46016</v>
      </c>
      <c r="L648" s="14">
        <f t="shared" si="52"/>
        <v>46016.624664351853</v>
      </c>
      <c r="N648" s="12"/>
    </row>
    <row r="649" spans="1:14" x14ac:dyDescent="0.25">
      <c r="A649" s="4" t="s">
        <v>678</v>
      </c>
      <c r="B649" s="16" t="str">
        <f t="shared" si="48"/>
        <v>M/s Sidhi Vinayak Aggregates Private Limated</v>
      </c>
      <c r="C649" s="16" t="str">
        <f t="shared" si="49"/>
        <v>Barsingo Ka Bas Lohawat()</v>
      </c>
      <c r="D649" s="4" t="s">
        <v>1382</v>
      </c>
      <c r="E649" s="4" t="s">
        <v>3119</v>
      </c>
      <c r="F649" s="5">
        <v>46015.999664351853</v>
      </c>
      <c r="G649" s="16" t="str">
        <f t="shared" si="50"/>
        <v>MasonaryStone (Gitti)</v>
      </c>
      <c r="H649" s="4" t="s">
        <v>2478</v>
      </c>
      <c r="I649" s="18" t="str" cm="1">
        <f t="array" ref="I649">_xlfn.LET(_xlpm.text, D649,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49" s="18" t="str" cm="1">
        <f t="array" ref="J649">_xlfn.LET(_xlpm.text, E649,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49" s="14">
        <f t="shared" si="51"/>
        <v>46016</v>
      </c>
      <c r="L649" s="14">
        <f t="shared" si="52"/>
        <v>46016.624664351853</v>
      </c>
      <c r="N649" s="12"/>
    </row>
    <row r="650" spans="1:14" x14ac:dyDescent="0.25">
      <c r="A650" s="4" t="s">
        <v>679</v>
      </c>
      <c r="B650" s="16" t="str">
        <f t="shared" si="48"/>
        <v>M/s Sidhi Vinayak Aggregates Private Limated</v>
      </c>
      <c r="C650" s="16" t="str">
        <f t="shared" si="49"/>
        <v>Barsingo Ka Bas Lohawat()</v>
      </c>
      <c r="D650" s="4" t="s">
        <v>1382</v>
      </c>
      <c r="E650" s="4" t="s">
        <v>3119</v>
      </c>
      <c r="F650" s="5">
        <v>46015.999664351853</v>
      </c>
      <c r="G650" s="16" t="str">
        <f t="shared" si="50"/>
        <v>MasonaryStone (Gitti)</v>
      </c>
      <c r="H650" s="4" t="s">
        <v>2479</v>
      </c>
      <c r="I650" s="18" t="str" cm="1">
        <f t="array" ref="I650">_xlfn.LET(_xlpm.text, D650,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50" s="18" t="str" cm="1">
        <f t="array" ref="J650">_xlfn.LET(_xlpm.text, E650,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0" s="14">
        <f t="shared" si="51"/>
        <v>46016</v>
      </c>
      <c r="L650" s="14">
        <f t="shared" si="52"/>
        <v>46016.624664351853</v>
      </c>
      <c r="N650" s="12"/>
    </row>
    <row r="651" spans="1:14" x14ac:dyDescent="0.25">
      <c r="A651" s="4" t="s">
        <v>680</v>
      </c>
      <c r="B651" s="16" t="str">
        <f t="shared" si="48"/>
        <v>M/s Sidhi Vinayak Aggregates Private Limated</v>
      </c>
      <c r="C651" s="16" t="str">
        <f t="shared" si="49"/>
        <v>Barsingo Ka Bas Lohawat()</v>
      </c>
      <c r="D651" s="4" t="s">
        <v>1382</v>
      </c>
      <c r="E651" s="4" t="s">
        <v>3119</v>
      </c>
      <c r="F651" s="5">
        <v>46015.999664351853</v>
      </c>
      <c r="G651" s="16" t="str">
        <f t="shared" si="50"/>
        <v>MasonaryStone (Gitti)</v>
      </c>
      <c r="H651" s="4" t="s">
        <v>2478</v>
      </c>
      <c r="I651" s="18" t="str" cm="1">
        <f t="array" ref="I651">_xlfn.LET(_xlpm.text, D651,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51" s="18" t="str" cm="1">
        <f t="array" ref="J651">_xlfn.LET(_xlpm.text, E651,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1" s="14">
        <f t="shared" si="51"/>
        <v>46016</v>
      </c>
      <c r="L651" s="14">
        <f t="shared" si="52"/>
        <v>46016.624664351853</v>
      </c>
      <c r="N651" s="12"/>
    </row>
    <row r="652" spans="1:14" x14ac:dyDescent="0.25">
      <c r="A652" s="4" t="s">
        <v>681</v>
      </c>
      <c r="B652" s="16" t="str">
        <f t="shared" si="48"/>
        <v>ADWAITH AGGREGATE SOLUTIONS</v>
      </c>
      <c r="C652" s="16" t="str">
        <f t="shared" si="49"/>
        <v>KHASRA NO. 910/801 HANUMAN NAGAR (Hanuman Nagar/Nagaur/Nagaur)</v>
      </c>
      <c r="D652" s="4" t="s">
        <v>3033</v>
      </c>
      <c r="E652" s="4" t="s">
        <v>3119</v>
      </c>
      <c r="F652" s="5">
        <v>46015.999664351853</v>
      </c>
      <c r="G652" s="16" t="str">
        <f t="shared" si="50"/>
        <v>MasonaryStone (Gitti)</v>
      </c>
      <c r="H652" s="4" t="s">
        <v>2480</v>
      </c>
      <c r="I652" s="18" t="str" cm="1">
        <f t="array" ref="I652">_xlfn.LET(_xlpm.text, D652,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52" s="18" t="str" cm="1">
        <f t="array" ref="J652">_xlfn.LET(_xlpm.text, E652,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2" s="14">
        <f t="shared" si="51"/>
        <v>46016</v>
      </c>
      <c r="L652" s="14">
        <f t="shared" si="52"/>
        <v>46016.624664351853</v>
      </c>
      <c r="N652" s="12"/>
    </row>
    <row r="653" spans="1:14" x14ac:dyDescent="0.25">
      <c r="A653" s="4" t="s">
        <v>682</v>
      </c>
      <c r="B653" s="16" t="str">
        <f t="shared" si="48"/>
        <v>MAA DURGA STONE CRUSHING COMPANY</v>
      </c>
      <c r="C653" s="16" t="str">
        <f t="shared" si="49"/>
        <v>CHADWAS(Chadwas/Bidasar/Sujangarh)</v>
      </c>
      <c r="D653" s="4" t="s">
        <v>3032</v>
      </c>
      <c r="E653" s="4" t="s">
        <v>3119</v>
      </c>
      <c r="F653" s="5">
        <v>46016.999664351853</v>
      </c>
      <c r="G653" s="16" t="str">
        <f t="shared" si="50"/>
        <v>MasonaryStone (Gitti)</v>
      </c>
      <c r="H653" s="4" t="s">
        <v>2481</v>
      </c>
      <c r="I653" s="18" t="str" cm="1">
        <f t="array" ref="I653">_xlfn.LET(_xlpm.text, D653,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53" s="18" t="str" cm="1">
        <f t="array" ref="J653">_xlfn.LET(_xlpm.text, E653,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3" s="14">
        <f t="shared" si="51"/>
        <v>46017</v>
      </c>
      <c r="L653" s="14">
        <f t="shared" si="52"/>
        <v>46017.624664351853</v>
      </c>
      <c r="N653" s="12"/>
    </row>
    <row r="654" spans="1:14" x14ac:dyDescent="0.25">
      <c r="A654" s="4" t="s">
        <v>683</v>
      </c>
      <c r="B654" s="16" t="str">
        <f t="shared" si="48"/>
        <v>MAA DURGA STONE CRUSHING COMPANY</v>
      </c>
      <c r="C654" s="16" t="str">
        <f t="shared" si="49"/>
        <v>CHADWAS(Chadwas/Bidasar/Sujangarh)</v>
      </c>
      <c r="D654" s="4" t="s">
        <v>3032</v>
      </c>
      <c r="E654" s="4" t="s">
        <v>3119</v>
      </c>
      <c r="F654" s="5">
        <v>46016.999664351853</v>
      </c>
      <c r="G654" s="16" t="str">
        <f t="shared" si="50"/>
        <v>MasonaryStone (Gitti)</v>
      </c>
      <c r="H654" s="4" t="s">
        <v>2482</v>
      </c>
      <c r="I654" s="18" t="str" cm="1">
        <f t="array" ref="I654">_xlfn.LET(_xlpm.text, D654,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54" s="18" t="str" cm="1">
        <f t="array" ref="J654">_xlfn.LET(_xlpm.text, E654,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4" s="14">
        <f t="shared" si="51"/>
        <v>46017</v>
      </c>
      <c r="L654" s="14">
        <f t="shared" si="52"/>
        <v>46017.624664351853</v>
      </c>
      <c r="N654" s="12"/>
    </row>
    <row r="655" spans="1:14" x14ac:dyDescent="0.25">
      <c r="A655" s="4" t="s">
        <v>684</v>
      </c>
      <c r="B655" s="16" t="str">
        <f t="shared" si="48"/>
        <v>ADWAITH AGGREGATE SOLUTIONS</v>
      </c>
      <c r="C655" s="16" t="str">
        <f t="shared" si="49"/>
        <v>KHASRA NO. 910/801 HANUMAN NAGAR (Hanuman Nagar/Nagaur/Nagaur)</v>
      </c>
      <c r="D655" s="4" t="s">
        <v>3033</v>
      </c>
      <c r="E655" s="4" t="s">
        <v>3119</v>
      </c>
      <c r="F655" s="5">
        <v>46016.999664351853</v>
      </c>
      <c r="G655" s="16" t="str">
        <f t="shared" si="50"/>
        <v>MasonaryStone (Gitti)</v>
      </c>
      <c r="H655" s="4" t="s">
        <v>2282</v>
      </c>
      <c r="I655" s="18" t="str" cm="1">
        <f t="array" ref="I655">_xlfn.LET(_xlpm.text, D655,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55" s="18" t="str" cm="1">
        <f t="array" ref="J655">_xlfn.LET(_xlpm.text, E655,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5" s="14">
        <f t="shared" si="51"/>
        <v>46017</v>
      </c>
      <c r="L655" s="14">
        <f t="shared" si="52"/>
        <v>46017.624664351853</v>
      </c>
      <c r="N655" s="12"/>
    </row>
    <row r="656" spans="1:14" x14ac:dyDescent="0.25">
      <c r="A656" s="4" t="s">
        <v>685</v>
      </c>
      <c r="B656" s="16" t="str">
        <f t="shared" si="48"/>
        <v>M/s Sidhi Vinayak Aggregates Private Limated</v>
      </c>
      <c r="C656" s="16" t="str">
        <f t="shared" si="49"/>
        <v>Barsingo Ka Bas Lohawat()</v>
      </c>
      <c r="D656" s="4" t="s">
        <v>3033</v>
      </c>
      <c r="E656" s="4" t="s">
        <v>3119</v>
      </c>
      <c r="F656" s="5">
        <v>46017.999664351853</v>
      </c>
      <c r="G656" s="16" t="str">
        <f t="shared" si="50"/>
        <v>MasonaryStone (Gitti)</v>
      </c>
      <c r="H656" s="4" t="s">
        <v>2257</v>
      </c>
      <c r="I656" s="18" t="str" cm="1">
        <f t="array" ref="I656">_xlfn.LET(_xlpm.text, D656,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56" s="18" t="str" cm="1">
        <f t="array" ref="J656">_xlfn.LET(_xlpm.text, E656,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6" s="14">
        <f t="shared" si="51"/>
        <v>46018</v>
      </c>
      <c r="L656" s="14">
        <f t="shared" si="52"/>
        <v>46018.624664351853</v>
      </c>
      <c r="N656" s="12"/>
    </row>
    <row r="657" spans="1:14" x14ac:dyDescent="0.25">
      <c r="A657" s="4" t="s">
        <v>686</v>
      </c>
      <c r="B657" s="16" t="str">
        <f t="shared" si="48"/>
        <v>M/s Sidhi Vinayak Aggregates Private Limated</v>
      </c>
      <c r="C657" s="16" t="str">
        <f t="shared" si="49"/>
        <v>Barsingo Ka Bas Lohawat()</v>
      </c>
      <c r="D657" s="4" t="s">
        <v>3033</v>
      </c>
      <c r="E657" s="4" t="s">
        <v>3119</v>
      </c>
      <c r="F657" s="5">
        <v>46017.999664351853</v>
      </c>
      <c r="G657" s="16" t="str">
        <f t="shared" si="50"/>
        <v>MasonaryStone (Gitti)</v>
      </c>
      <c r="H657" s="4" t="s">
        <v>2483</v>
      </c>
      <c r="I657" s="18" t="str" cm="1">
        <f t="array" ref="I657">_xlfn.LET(_xlpm.text, D657,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57" s="18" t="str" cm="1">
        <f t="array" ref="J657">_xlfn.LET(_xlpm.text, E657,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7" s="14">
        <f t="shared" si="51"/>
        <v>46018</v>
      </c>
      <c r="L657" s="14">
        <f t="shared" si="52"/>
        <v>46018.624664351853</v>
      </c>
      <c r="N657" s="12"/>
    </row>
    <row r="658" spans="1:14" x14ac:dyDescent="0.25">
      <c r="A658" s="4" t="s">
        <v>687</v>
      </c>
      <c r="B658" s="16" t="str">
        <f t="shared" si="48"/>
        <v>ADWAITH AGGREGATE SOLUTIONS</v>
      </c>
      <c r="C658" s="16" t="str">
        <f t="shared" si="49"/>
        <v>KHASRA NO. 942/779 HANUMAN NAGAR (Hanuman Nagar/Nagaur/Nagaur)</v>
      </c>
      <c r="D658" s="4" t="s">
        <v>3033</v>
      </c>
      <c r="E658" s="4" t="s">
        <v>3119</v>
      </c>
      <c r="F658" s="5">
        <v>46017.999664351853</v>
      </c>
      <c r="G658" s="16" t="str">
        <f t="shared" si="50"/>
        <v>MasonaryStone (Gitti)</v>
      </c>
      <c r="H658" s="4" t="s">
        <v>2286</v>
      </c>
      <c r="I658" s="18" t="str" cm="1">
        <f t="array" ref="I658">_xlfn.LET(_xlpm.text, D658,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58" s="18" t="str" cm="1">
        <f t="array" ref="J658">_xlfn.LET(_xlpm.text, E658,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8" s="14">
        <f t="shared" si="51"/>
        <v>46018</v>
      </c>
      <c r="L658" s="14">
        <f t="shared" si="52"/>
        <v>46018.624664351853</v>
      </c>
      <c r="N658" s="12"/>
    </row>
    <row r="659" spans="1:14" x14ac:dyDescent="0.25">
      <c r="A659" s="4" t="s">
        <v>688</v>
      </c>
      <c r="B659" s="16" t="str">
        <f t="shared" si="48"/>
        <v>MAA DURGA STONE CRUSHING COMPANY</v>
      </c>
      <c r="C659" s="16" t="str">
        <f t="shared" si="49"/>
        <v>CHADWAS(Chadwas/Bidasar/Sujangarh)</v>
      </c>
      <c r="D659" s="4" t="s">
        <v>3035</v>
      </c>
      <c r="E659" s="4" t="s">
        <v>3119</v>
      </c>
      <c r="F659" s="5">
        <v>46017.999664351853</v>
      </c>
      <c r="G659" s="16" t="str">
        <f t="shared" si="50"/>
        <v>MasonaryStone (Gitti)</v>
      </c>
      <c r="H659" s="4" t="s">
        <v>2484</v>
      </c>
      <c r="I659" s="18" t="str" cm="1">
        <f t="array" ref="I659">_xlfn.LET(_xlpm.text, D659,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59" s="18" t="str" cm="1">
        <f t="array" ref="J659">_xlfn.LET(_xlpm.text, E659,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59" s="14">
        <f t="shared" si="51"/>
        <v>46018</v>
      </c>
      <c r="L659" s="14">
        <f t="shared" si="52"/>
        <v>46018.624664351853</v>
      </c>
      <c r="N659" s="12"/>
    </row>
    <row r="660" spans="1:14" x14ac:dyDescent="0.25">
      <c r="A660" s="4" t="s">
        <v>689</v>
      </c>
      <c r="B660" s="16" t="str">
        <f t="shared" si="48"/>
        <v>MAA DURGA STONE CRUSHING COMPANY</v>
      </c>
      <c r="C660" s="16" t="str">
        <f t="shared" si="49"/>
        <v>CHADWAS(Chadwas/Bidasar/Sujangarh)</v>
      </c>
      <c r="D660" s="4" t="s">
        <v>3035</v>
      </c>
      <c r="E660" s="4" t="s">
        <v>3119</v>
      </c>
      <c r="F660" s="5">
        <v>46017.999664351853</v>
      </c>
      <c r="G660" s="16" t="str">
        <f t="shared" si="50"/>
        <v>MasonaryStone (Gitti)</v>
      </c>
      <c r="H660" s="4" t="s">
        <v>2485</v>
      </c>
      <c r="I660" s="18" t="str" cm="1">
        <f t="array" ref="I660">_xlfn.LET(_xlpm.text, D660,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60" s="18" t="str" cm="1">
        <f t="array" ref="J660">_xlfn.LET(_xlpm.text, E660,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0" s="14">
        <f t="shared" si="51"/>
        <v>46018</v>
      </c>
      <c r="L660" s="14">
        <f t="shared" si="52"/>
        <v>46018.624664351853</v>
      </c>
      <c r="N660" s="12"/>
    </row>
    <row r="661" spans="1:14" x14ac:dyDescent="0.25">
      <c r="A661" s="4" t="s">
        <v>690</v>
      </c>
      <c r="B661" s="16" t="str">
        <f t="shared" si="48"/>
        <v>MAA DURGA STONE CRUSHING COMPANY</v>
      </c>
      <c r="C661" s="16" t="str">
        <f t="shared" si="49"/>
        <v>CHADWAS(Chadwas/Bidasar/Sujangarh)</v>
      </c>
      <c r="D661" s="4" t="s">
        <v>3032</v>
      </c>
      <c r="E661" s="4" t="s">
        <v>3119</v>
      </c>
      <c r="F661" s="5">
        <v>46018.999664351853</v>
      </c>
      <c r="G661" s="16" t="str">
        <f t="shared" si="50"/>
        <v>MasonaryStone (Gitti)</v>
      </c>
      <c r="H661" s="4" t="s">
        <v>2486</v>
      </c>
      <c r="I661" s="18" t="str" cm="1">
        <f t="array" ref="I661">_xlfn.LET(_xlpm.text, D661,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61" s="18" t="str" cm="1">
        <f t="array" ref="J661">_xlfn.LET(_xlpm.text, E661,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1" s="14">
        <f t="shared" si="51"/>
        <v>46019</v>
      </c>
      <c r="L661" s="14">
        <f t="shared" si="52"/>
        <v>46019.624664351853</v>
      </c>
      <c r="N661" s="12"/>
    </row>
    <row r="662" spans="1:14" x14ac:dyDescent="0.25">
      <c r="A662" s="4" t="s">
        <v>691</v>
      </c>
      <c r="B662" s="16" t="str">
        <f t="shared" si="48"/>
        <v>MAA DURGA STONE CRUSHING COMPANY</v>
      </c>
      <c r="C662" s="16" t="str">
        <f t="shared" si="49"/>
        <v>CHADWAS(Chadwas/Bidasar/Sujangarh)</v>
      </c>
      <c r="D662" s="4" t="s">
        <v>3032</v>
      </c>
      <c r="E662" s="4" t="s">
        <v>3119</v>
      </c>
      <c r="F662" s="5">
        <v>46018.999664351853</v>
      </c>
      <c r="G662" s="16" t="str">
        <f t="shared" si="50"/>
        <v>MasonaryStone (Gitti)</v>
      </c>
      <c r="H662" s="4" t="s">
        <v>2487</v>
      </c>
      <c r="I662" s="18" t="str" cm="1">
        <f t="array" ref="I662">_xlfn.LET(_xlpm.text, D662,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62" s="18" t="str" cm="1">
        <f t="array" ref="J662">_xlfn.LET(_xlpm.text, E662,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2" s="14">
        <f t="shared" si="51"/>
        <v>46019</v>
      </c>
      <c r="L662" s="14">
        <f t="shared" si="52"/>
        <v>46019.624664351853</v>
      </c>
      <c r="N662" s="12"/>
    </row>
    <row r="663" spans="1:14" x14ac:dyDescent="0.25">
      <c r="A663" s="4" t="s">
        <v>692</v>
      </c>
      <c r="B663" s="16" t="str">
        <f t="shared" si="48"/>
        <v>MAA DURGA STONE CRUSHING COMPANY</v>
      </c>
      <c r="C663" s="16" t="str">
        <f t="shared" si="49"/>
        <v>CHADWAS(Chadwas/Bidasar/Sujangarh)</v>
      </c>
      <c r="D663" s="4" t="s">
        <v>3031</v>
      </c>
      <c r="E663" s="4" t="s">
        <v>3119</v>
      </c>
      <c r="F663" s="5">
        <v>46018.999664351853</v>
      </c>
      <c r="G663" s="16" t="str">
        <f t="shared" si="50"/>
        <v>MasonaryStone (Gitti)</v>
      </c>
      <c r="H663" s="4" t="s">
        <v>2488</v>
      </c>
      <c r="I663" s="18" t="str" cm="1">
        <f t="array" ref="I663">_xlfn.LET(_xlpm.text, D663,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663" s="18" t="str" cm="1">
        <f t="array" ref="J663">_xlfn.LET(_xlpm.text, E663,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3" s="14">
        <f t="shared" si="51"/>
        <v>46019</v>
      </c>
      <c r="L663" s="14">
        <f t="shared" si="52"/>
        <v>46019.624664351853</v>
      </c>
      <c r="N663" s="12"/>
    </row>
    <row r="664" spans="1:14" x14ac:dyDescent="0.25">
      <c r="A664" s="4" t="s">
        <v>693</v>
      </c>
      <c r="B664" s="16" t="str">
        <f t="shared" si="48"/>
        <v>M/s Sidhi Vinayak Aggregates Private Limated</v>
      </c>
      <c r="C664" s="16" t="str">
        <f t="shared" si="49"/>
        <v>Barsingo Ka Bas Lohawat()</v>
      </c>
      <c r="D664" s="4" t="s">
        <v>1382</v>
      </c>
      <c r="E664" s="4" t="s">
        <v>3119</v>
      </c>
      <c r="F664" s="5">
        <v>46018.999664351853</v>
      </c>
      <c r="G664" s="16" t="str">
        <f t="shared" si="50"/>
        <v>MasonaryStone (Gitti)</v>
      </c>
      <c r="H664" s="4" t="s">
        <v>2489</v>
      </c>
      <c r="I664" s="18" t="str" cm="1">
        <f t="array" ref="I664">_xlfn.LET(_xlpm.text, D664,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64" s="18" t="str" cm="1">
        <f t="array" ref="J664">_xlfn.LET(_xlpm.text, E664,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4" s="14">
        <f t="shared" si="51"/>
        <v>46019</v>
      </c>
      <c r="L664" s="14">
        <f t="shared" si="52"/>
        <v>46019.624664351853</v>
      </c>
      <c r="N664" s="12"/>
    </row>
    <row r="665" spans="1:14" x14ac:dyDescent="0.25">
      <c r="A665" s="4" t="s">
        <v>694</v>
      </c>
      <c r="B665" s="16" t="str">
        <f t="shared" si="48"/>
        <v>M/s Sidhi Vinayak Aggregates Private Limated</v>
      </c>
      <c r="C665" s="16" t="str">
        <f t="shared" si="49"/>
        <v>Barsingo Ka Bas Lohawat()</v>
      </c>
      <c r="D665" s="4" t="s">
        <v>1382</v>
      </c>
      <c r="E665" s="4" t="s">
        <v>3119</v>
      </c>
      <c r="F665" s="5">
        <v>46018.999664351853</v>
      </c>
      <c r="G665" s="16" t="str">
        <f t="shared" si="50"/>
        <v>MasonaryStone (Gitti)</v>
      </c>
      <c r="H665" s="4" t="s">
        <v>2490</v>
      </c>
      <c r="I665" s="18" t="str" cm="1">
        <f t="array" ref="I665">_xlfn.LET(_xlpm.text, D665,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65" s="18" t="str" cm="1">
        <f t="array" ref="J665">_xlfn.LET(_xlpm.text, E665,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5" s="14">
        <f t="shared" si="51"/>
        <v>46019</v>
      </c>
      <c r="L665" s="14">
        <f t="shared" si="52"/>
        <v>46019.624664351853</v>
      </c>
      <c r="N665" s="12"/>
    </row>
    <row r="666" spans="1:14" x14ac:dyDescent="0.25">
      <c r="A666" s="4" t="s">
        <v>695</v>
      </c>
      <c r="B666" s="16" t="str">
        <f t="shared" si="48"/>
        <v>M/s Sidhi Vinayak Aggregates Private Limated</v>
      </c>
      <c r="C666" s="16" t="str">
        <f t="shared" si="49"/>
        <v>Barsingo Ka Bas Lohawat()</v>
      </c>
      <c r="D666" s="4" t="s">
        <v>1382</v>
      </c>
      <c r="E666" s="4" t="s">
        <v>3119</v>
      </c>
      <c r="F666" s="5">
        <v>46019.999664351853</v>
      </c>
      <c r="G666" s="16" t="str">
        <f t="shared" si="50"/>
        <v>MasonaryStone (Gitti)</v>
      </c>
      <c r="H666" s="4" t="s">
        <v>2491</v>
      </c>
      <c r="I666" s="18" t="str" cm="1">
        <f t="array" ref="I666">_xlfn.LET(_xlpm.text, D666,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66" s="18" t="str" cm="1">
        <f t="array" ref="J666">_xlfn.LET(_xlpm.text, E666,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6" s="14">
        <f t="shared" si="51"/>
        <v>46020</v>
      </c>
      <c r="L666" s="14">
        <f t="shared" si="52"/>
        <v>46020.624664351853</v>
      </c>
      <c r="N666" s="12"/>
    </row>
    <row r="667" spans="1:14" x14ac:dyDescent="0.25">
      <c r="A667" s="4" t="s">
        <v>696</v>
      </c>
      <c r="B667" s="16" t="str">
        <f t="shared" si="48"/>
        <v>M/s Sidhi Vinayak Aggregates Private Limated</v>
      </c>
      <c r="C667" s="16" t="str">
        <f t="shared" si="49"/>
        <v>Barsingo Ka Bas Lohawat()</v>
      </c>
      <c r="D667" s="4" t="s">
        <v>1382</v>
      </c>
      <c r="E667" s="4" t="s">
        <v>3119</v>
      </c>
      <c r="F667" s="5">
        <v>46019.999664351853</v>
      </c>
      <c r="G667" s="16" t="str">
        <f t="shared" si="50"/>
        <v>MasonaryStone (Gitti)</v>
      </c>
      <c r="H667" s="4" t="s">
        <v>2492</v>
      </c>
      <c r="I667" s="18" t="str" cm="1">
        <f t="array" ref="I667">_xlfn.LET(_xlpm.text, D667,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67" s="18" t="str" cm="1">
        <f t="array" ref="J667">_xlfn.LET(_xlpm.text, E667,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7" s="14">
        <f t="shared" si="51"/>
        <v>46020</v>
      </c>
      <c r="L667" s="14">
        <f t="shared" si="52"/>
        <v>46020.624664351853</v>
      </c>
      <c r="N667" s="12"/>
    </row>
    <row r="668" spans="1:14" x14ac:dyDescent="0.25">
      <c r="A668" s="4" t="s">
        <v>697</v>
      </c>
      <c r="B668" s="16" t="str">
        <f t="shared" si="48"/>
        <v>ADWAITH AGGREGATE SOLUTIONS</v>
      </c>
      <c r="C668" s="16" t="str">
        <f t="shared" si="49"/>
        <v>KHASRA NO. 942/779 HANUMAN NAGAR (Hanuman Nagar/Nagaur/Nagaur)</v>
      </c>
      <c r="D668" s="4" t="s">
        <v>3033</v>
      </c>
      <c r="E668" s="4" t="s">
        <v>3119</v>
      </c>
      <c r="F668" s="5">
        <v>46020.999664351853</v>
      </c>
      <c r="G668" s="16" t="str">
        <f t="shared" si="50"/>
        <v>MasonaryStone (Gitti)</v>
      </c>
      <c r="H668" s="4" t="s">
        <v>2493</v>
      </c>
      <c r="I668" s="18" t="str" cm="1">
        <f t="array" ref="I668">_xlfn.LET(_xlpm.text, D668,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68" s="18" t="str" cm="1">
        <f t="array" ref="J668">_xlfn.LET(_xlpm.text, E668,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8" s="14">
        <f t="shared" si="51"/>
        <v>46021</v>
      </c>
      <c r="L668" s="14">
        <f t="shared" si="52"/>
        <v>46021.624664351853</v>
      </c>
      <c r="N668" s="12"/>
    </row>
    <row r="669" spans="1:14" x14ac:dyDescent="0.25">
      <c r="A669" s="4" t="s">
        <v>698</v>
      </c>
      <c r="B669" s="16" t="str">
        <f t="shared" si="48"/>
        <v>ADWAITH AGGREGATE SOLUTIONS</v>
      </c>
      <c r="C669" s="16" t="str">
        <f t="shared" si="49"/>
        <v>KHASRA NO. 942/779 HANUMAN NAGAR (Hanuman Nagar/Nagaur/Nagaur)</v>
      </c>
      <c r="D669" s="4" t="s">
        <v>3033</v>
      </c>
      <c r="E669" s="4" t="s">
        <v>3119</v>
      </c>
      <c r="F669" s="5">
        <v>46020.999664351853</v>
      </c>
      <c r="G669" s="16" t="str">
        <f t="shared" si="50"/>
        <v>MasonaryStone (Gitti)</v>
      </c>
      <c r="H669" s="4" t="s">
        <v>2494</v>
      </c>
      <c r="I669" s="18" t="str" cm="1">
        <f t="array" ref="I669">_xlfn.LET(_xlpm.text, D669,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69" s="18" t="str" cm="1">
        <f t="array" ref="J669">_xlfn.LET(_xlpm.text, E669,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69" s="14">
        <f t="shared" si="51"/>
        <v>46021</v>
      </c>
      <c r="L669" s="14">
        <f t="shared" si="52"/>
        <v>46021.624664351853</v>
      </c>
      <c r="N669" s="12"/>
    </row>
    <row r="670" spans="1:14" x14ac:dyDescent="0.25">
      <c r="A670" s="4" t="s">
        <v>699</v>
      </c>
      <c r="B670" s="16" t="str">
        <f t="shared" si="48"/>
        <v>ADWAITH AGGREGATE SOLUTIONS</v>
      </c>
      <c r="C670" s="16" t="str">
        <f t="shared" si="49"/>
        <v>KHASRA NO. 942/779 HANUMAN NAGAR (Hanuman Nagar/Nagaur/Nagaur)</v>
      </c>
      <c r="D670" s="4" t="s">
        <v>3033</v>
      </c>
      <c r="E670" s="4" t="s">
        <v>3119</v>
      </c>
      <c r="F670" s="5">
        <v>46020.999664351853</v>
      </c>
      <c r="G670" s="16" t="str">
        <f t="shared" si="50"/>
        <v>MasonaryStone (Gitti)</v>
      </c>
      <c r="H670" s="4" t="s">
        <v>2495</v>
      </c>
      <c r="I670" s="18" t="str" cm="1">
        <f t="array" ref="I670">_xlfn.LET(_xlpm.text, D670,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70" s="18" t="str" cm="1">
        <f t="array" ref="J670">_xlfn.LET(_xlpm.text, E670,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0" s="14">
        <f t="shared" si="51"/>
        <v>46021</v>
      </c>
      <c r="L670" s="14">
        <f t="shared" si="52"/>
        <v>46021.624664351853</v>
      </c>
      <c r="N670" s="12"/>
    </row>
    <row r="671" spans="1:14" x14ac:dyDescent="0.25">
      <c r="A671" s="4" t="s">
        <v>700</v>
      </c>
      <c r="B671" s="16" t="str">
        <f t="shared" si="48"/>
        <v>MAA DURGA STONE CRUSHING COMPANY</v>
      </c>
      <c r="C671" s="16" t="str">
        <f t="shared" si="49"/>
        <v>CHADWAS(Chadwas/Bidasar/Sujangarh)</v>
      </c>
      <c r="D671" s="4" t="s">
        <v>3035</v>
      </c>
      <c r="E671" s="4" t="s">
        <v>3119</v>
      </c>
      <c r="F671" s="5">
        <v>46020.999664351853</v>
      </c>
      <c r="G671" s="16" t="str">
        <f t="shared" si="50"/>
        <v>MasonaryStone (Gitti)</v>
      </c>
      <c r="H671" s="4" t="s">
        <v>2467</v>
      </c>
      <c r="I671" s="18" t="str" cm="1">
        <f t="array" ref="I671">_xlfn.LET(_xlpm.text, D671,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71" s="18" t="str" cm="1">
        <f t="array" ref="J671">_xlfn.LET(_xlpm.text, E671,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1" s="14">
        <f t="shared" si="51"/>
        <v>46021</v>
      </c>
      <c r="L671" s="14">
        <f t="shared" si="52"/>
        <v>46021.624664351853</v>
      </c>
      <c r="N671" s="12"/>
    </row>
    <row r="672" spans="1:14" x14ac:dyDescent="0.25">
      <c r="A672" s="4" t="s">
        <v>701</v>
      </c>
      <c r="B672" s="16" t="str">
        <f t="shared" si="48"/>
        <v>M/s Sidhi Vinayak Aggregates Private Limated</v>
      </c>
      <c r="C672" s="16" t="str">
        <f t="shared" si="49"/>
        <v>Barsingo Ka Bas Lohawat()</v>
      </c>
      <c r="D672" s="4" t="s">
        <v>1382</v>
      </c>
      <c r="E672" s="4" t="s">
        <v>3119</v>
      </c>
      <c r="F672" s="5">
        <v>46020.999664351853</v>
      </c>
      <c r="G672" s="16" t="str">
        <f t="shared" si="50"/>
        <v>MasonaryStone (Gitti)</v>
      </c>
      <c r="H672" s="4" t="s">
        <v>2496</v>
      </c>
      <c r="I672" s="18" t="str" cm="1">
        <f t="array" ref="I672">_xlfn.LET(_xlpm.text, D672,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72" s="18" t="str" cm="1">
        <f t="array" ref="J672">_xlfn.LET(_xlpm.text, E672,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2" s="14">
        <f t="shared" si="51"/>
        <v>46021</v>
      </c>
      <c r="L672" s="14">
        <f t="shared" si="52"/>
        <v>46021.624664351853</v>
      </c>
      <c r="N672" s="12"/>
    </row>
    <row r="673" spans="1:14" x14ac:dyDescent="0.25">
      <c r="A673" s="4" t="s">
        <v>702</v>
      </c>
      <c r="B673" s="16" t="str">
        <f t="shared" si="48"/>
        <v>M/s Sidhi Vinayak Aggregates Private Limated</v>
      </c>
      <c r="C673" s="16" t="str">
        <f t="shared" si="49"/>
        <v>Barsingo Ka Bas Lohawat()</v>
      </c>
      <c r="D673" s="4" t="s">
        <v>1382</v>
      </c>
      <c r="E673" s="4" t="s">
        <v>3119</v>
      </c>
      <c r="F673" s="5">
        <v>46020.999664351853</v>
      </c>
      <c r="G673" s="16" t="str">
        <f t="shared" si="50"/>
        <v>MasonaryStone (Gitti)</v>
      </c>
      <c r="H673" s="4" t="s">
        <v>2497</v>
      </c>
      <c r="I673" s="18" t="str" cm="1">
        <f t="array" ref="I673">_xlfn.LET(_xlpm.text, D673,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73" s="18" t="str" cm="1">
        <f t="array" ref="J673">_xlfn.LET(_xlpm.text, E673,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3" s="14">
        <f t="shared" si="51"/>
        <v>46021</v>
      </c>
      <c r="L673" s="14">
        <f t="shared" si="52"/>
        <v>46021.624664351853</v>
      </c>
      <c r="N673" s="12"/>
    </row>
    <row r="674" spans="1:14" x14ac:dyDescent="0.25">
      <c r="A674" s="4" t="s">
        <v>703</v>
      </c>
      <c r="B674" s="16" t="str">
        <f t="shared" si="48"/>
        <v>MAA DURGA STONE CRUSHING COMPANY</v>
      </c>
      <c r="C674" s="16" t="str">
        <f t="shared" si="49"/>
        <v>CHADWAS(Chadwas/Bidasar/Sujangarh)</v>
      </c>
      <c r="D674" s="4" t="s">
        <v>3032</v>
      </c>
      <c r="E674" s="4" t="s">
        <v>3119</v>
      </c>
      <c r="F674" s="5">
        <v>46021.999664351853</v>
      </c>
      <c r="G674" s="16" t="str">
        <f t="shared" si="50"/>
        <v>MasonaryStone (Gitti)</v>
      </c>
      <c r="H674" s="4" t="s">
        <v>2498</v>
      </c>
      <c r="I674" s="18" t="str" cm="1">
        <f t="array" ref="I674">_xlfn.LET(_xlpm.text, D674,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74" s="18" t="str" cm="1">
        <f t="array" ref="J674">_xlfn.LET(_xlpm.text, E674,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4" s="14">
        <f t="shared" si="51"/>
        <v>46022</v>
      </c>
      <c r="L674" s="14">
        <f t="shared" si="52"/>
        <v>46022.624664351853</v>
      </c>
      <c r="N674" s="12"/>
    </row>
    <row r="675" spans="1:14" x14ac:dyDescent="0.25">
      <c r="A675" s="4" t="s">
        <v>704</v>
      </c>
      <c r="B675" s="16" t="str">
        <f t="shared" si="48"/>
        <v>MAA DURGA STONE CRUSHING COMPANY</v>
      </c>
      <c r="C675" s="16" t="str">
        <f t="shared" si="49"/>
        <v>CHADWAS(Chadwas/Bidasar/Sujangarh)</v>
      </c>
      <c r="D675" s="4" t="s">
        <v>3035</v>
      </c>
      <c r="E675" s="4" t="s">
        <v>3119</v>
      </c>
      <c r="F675" s="5">
        <v>46021.999664351853</v>
      </c>
      <c r="G675" s="16" t="str">
        <f t="shared" si="50"/>
        <v>MasonaryStone (Gitti)</v>
      </c>
      <c r="H675" s="4" t="s">
        <v>2499</v>
      </c>
      <c r="I675" s="18" t="str" cm="1">
        <f t="array" ref="I675">_xlfn.LET(_xlpm.text, D675,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75" s="18" t="str" cm="1">
        <f t="array" ref="J675">_xlfn.LET(_xlpm.text, E675,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5" s="14">
        <f t="shared" si="51"/>
        <v>46022</v>
      </c>
      <c r="L675" s="14">
        <f t="shared" si="52"/>
        <v>46022.624664351853</v>
      </c>
      <c r="N675" s="12"/>
    </row>
    <row r="676" spans="1:14" x14ac:dyDescent="0.25">
      <c r="A676" s="4" t="s">
        <v>705</v>
      </c>
      <c r="B676" s="16" t="str">
        <f t="shared" si="48"/>
        <v>MAA DURGA STONE CRUSHING COMPANY</v>
      </c>
      <c r="C676" s="16" t="str">
        <f t="shared" si="49"/>
        <v>CHADWAS(Chadwas/Bidasar/Sujangarh)</v>
      </c>
      <c r="D676" s="4" t="s">
        <v>3035</v>
      </c>
      <c r="E676" s="4" t="s">
        <v>3119</v>
      </c>
      <c r="F676" s="5">
        <v>46021.999664351853</v>
      </c>
      <c r="G676" s="16" t="str">
        <f t="shared" si="50"/>
        <v>MasonaryStone (Gitti)</v>
      </c>
      <c r="H676" s="4" t="s">
        <v>2500</v>
      </c>
      <c r="I676" s="18" t="str" cm="1">
        <f t="array" ref="I676">_xlfn.LET(_xlpm.text, D676,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76" s="18" t="str" cm="1">
        <f t="array" ref="J676">_xlfn.LET(_xlpm.text, E676,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6" s="14">
        <f t="shared" si="51"/>
        <v>46022</v>
      </c>
      <c r="L676" s="14">
        <f t="shared" si="52"/>
        <v>46022.624664351853</v>
      </c>
      <c r="N676" s="12"/>
    </row>
    <row r="677" spans="1:14" x14ac:dyDescent="0.25">
      <c r="A677" s="4" t="s">
        <v>706</v>
      </c>
      <c r="B677" s="16" t="str">
        <f t="shared" si="48"/>
        <v>M/s Sidhi Vinayak Aggregates Private Limated</v>
      </c>
      <c r="C677" s="16" t="str">
        <f t="shared" si="49"/>
        <v>Barsingo Ka Bas Lohawat()</v>
      </c>
      <c r="D677" s="4" t="s">
        <v>1382</v>
      </c>
      <c r="E677" s="4" t="s">
        <v>3119</v>
      </c>
      <c r="F677" s="5">
        <v>46022.999664351853</v>
      </c>
      <c r="G677" s="16" t="str">
        <f t="shared" si="50"/>
        <v>MasonaryStone (Gitti)</v>
      </c>
      <c r="H677" s="4" t="s">
        <v>2501</v>
      </c>
      <c r="I677" s="18" t="str" cm="1">
        <f t="array" ref="I677">_xlfn.LET(_xlpm.text, D677,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77" s="18" t="str" cm="1">
        <f t="array" ref="J677">_xlfn.LET(_xlpm.text, E677,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7" s="14">
        <f t="shared" si="51"/>
        <v>46023</v>
      </c>
      <c r="L677" s="14">
        <f t="shared" si="52"/>
        <v>46023.624664351853</v>
      </c>
      <c r="N677" s="12"/>
    </row>
    <row r="678" spans="1:14" x14ac:dyDescent="0.25">
      <c r="A678" s="4" t="s">
        <v>707</v>
      </c>
      <c r="B678" s="16" t="str">
        <f t="shared" si="48"/>
        <v>MAA DURGA STONE CRUSHING COMPANY</v>
      </c>
      <c r="C678" s="16" t="str">
        <f t="shared" si="49"/>
        <v>CHADWAS(Chadwas/Bidasar/Sujangarh)</v>
      </c>
      <c r="D678" s="4" t="s">
        <v>3035</v>
      </c>
      <c r="E678" s="4" t="s">
        <v>3119</v>
      </c>
      <c r="F678" s="5">
        <v>46022.999664351853</v>
      </c>
      <c r="G678" s="16" t="str">
        <f t="shared" si="50"/>
        <v>MasonaryStone (Gitti)</v>
      </c>
      <c r="H678" s="4" t="s">
        <v>2502</v>
      </c>
      <c r="I678" s="18" t="str" cm="1">
        <f t="array" ref="I678">_xlfn.LET(_xlpm.text, D678,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678" s="18" t="str" cm="1">
        <f t="array" ref="J678">_xlfn.LET(_xlpm.text, E678,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8" s="14">
        <f t="shared" si="51"/>
        <v>46023</v>
      </c>
      <c r="L678" s="14">
        <f t="shared" si="52"/>
        <v>46023.624664351853</v>
      </c>
      <c r="N678" s="12"/>
    </row>
    <row r="679" spans="1:14" x14ac:dyDescent="0.25">
      <c r="A679" s="4" t="s">
        <v>708</v>
      </c>
      <c r="B679" s="16" t="str">
        <f t="shared" si="48"/>
        <v>MAA DURGA STONE CRUSHING COMPANY</v>
      </c>
      <c r="C679" s="16" t="str">
        <f t="shared" si="49"/>
        <v>CHADWAS(Chadwas/Bidasar/Sujangarh)</v>
      </c>
      <c r="D679" s="4" t="s">
        <v>3032</v>
      </c>
      <c r="E679" s="4" t="s">
        <v>3119</v>
      </c>
      <c r="F679" s="5">
        <v>46022.999664351853</v>
      </c>
      <c r="G679" s="16" t="str">
        <f t="shared" si="50"/>
        <v>MasonaryStone (Gitti)</v>
      </c>
      <c r="H679" s="4" t="s">
        <v>2503</v>
      </c>
      <c r="I679" s="18" t="str" cm="1">
        <f t="array" ref="I679">_xlfn.LET(_xlpm.text, D679,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79" s="18" t="str" cm="1">
        <f t="array" ref="J679">_xlfn.LET(_xlpm.text, E679,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79" s="14">
        <f t="shared" si="51"/>
        <v>46023</v>
      </c>
      <c r="L679" s="14">
        <f t="shared" si="52"/>
        <v>46023.624664351853</v>
      </c>
      <c r="N679" s="12"/>
    </row>
    <row r="680" spans="1:14" x14ac:dyDescent="0.25">
      <c r="A680" s="4" t="s">
        <v>709</v>
      </c>
      <c r="B680" s="16" t="str">
        <f t="shared" si="48"/>
        <v>MAA DURGA STONE CRUSHING COMPANY</v>
      </c>
      <c r="C680" s="16" t="str">
        <f t="shared" si="49"/>
        <v>CHADWAS(Chadwas/Bidasar/Sujangarh)</v>
      </c>
      <c r="D680" s="4" t="s">
        <v>3032</v>
      </c>
      <c r="E680" s="4" t="s">
        <v>3119</v>
      </c>
      <c r="F680" s="5">
        <v>46022.999664351853</v>
      </c>
      <c r="G680" s="16" t="str">
        <f t="shared" si="50"/>
        <v>MasonaryStone (Gitti)</v>
      </c>
      <c r="H680" s="4" t="s">
        <v>2265</v>
      </c>
      <c r="I680" s="18" t="str" cm="1">
        <f t="array" ref="I680">_xlfn.LET(_xlpm.text, D680,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80" s="18" t="str" cm="1">
        <f t="array" ref="J680">_xlfn.LET(_xlpm.text, E680,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0" s="14">
        <f t="shared" si="51"/>
        <v>46023</v>
      </c>
      <c r="L680" s="14">
        <f t="shared" si="52"/>
        <v>46023.624664351853</v>
      </c>
      <c r="N680" s="12"/>
    </row>
    <row r="681" spans="1:14" x14ac:dyDescent="0.25">
      <c r="A681" s="4" t="s">
        <v>710</v>
      </c>
      <c r="B681" s="16" t="str">
        <f t="shared" si="48"/>
        <v>Jagdamba Stone Crusher</v>
      </c>
      <c r="C681" s="16" t="str">
        <f t="shared" si="49"/>
        <v>Jagdamba Stone Crusher(Kodasar Bidavtaan/Sujangarh/Churu)</v>
      </c>
      <c r="D681" s="4" t="s">
        <v>3033</v>
      </c>
      <c r="E681" s="4" t="s">
        <v>3119</v>
      </c>
      <c r="F681" s="5">
        <v>46022.999664351853</v>
      </c>
      <c r="G681" s="16" t="str">
        <f t="shared" si="50"/>
        <v>MasonaryStone (Gitti)</v>
      </c>
      <c r="H681" s="4" t="s">
        <v>2504</v>
      </c>
      <c r="I681" s="18" t="str" cm="1">
        <f t="array" ref="I681">_xlfn.LET(_xlpm.text, D681,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1" s="18" t="str" cm="1">
        <f t="array" ref="J681">_xlfn.LET(_xlpm.text, E681,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1" s="14">
        <f t="shared" si="51"/>
        <v>46023</v>
      </c>
      <c r="L681" s="14">
        <f t="shared" si="52"/>
        <v>46023.624664351853</v>
      </c>
      <c r="N681" s="12"/>
    </row>
    <row r="682" spans="1:14" x14ac:dyDescent="0.25">
      <c r="A682" s="4" t="s">
        <v>711</v>
      </c>
      <c r="B682" s="16" t="str">
        <f t="shared" si="48"/>
        <v>Jagdamba Stone Crusher</v>
      </c>
      <c r="C682" s="16" t="str">
        <f t="shared" si="49"/>
        <v>Jagdamba Stone Crusher(Kodasar Bidavtaan/Sujangarh/Churu)</v>
      </c>
      <c r="D682" s="4" t="s">
        <v>3033</v>
      </c>
      <c r="E682" s="4" t="s">
        <v>3119</v>
      </c>
      <c r="F682" s="5">
        <v>46022.999664351853</v>
      </c>
      <c r="G682" s="16" t="str">
        <f t="shared" si="50"/>
        <v>MasonaryStone (Gitti)</v>
      </c>
      <c r="H682" s="4" t="s">
        <v>426</v>
      </c>
      <c r="I682" s="18" t="str" cm="1">
        <f t="array" ref="I682">_xlfn.LET(_xlpm.text, D682,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2" s="18" t="str" cm="1">
        <f t="array" ref="J682">_xlfn.LET(_xlpm.text, E682,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2" s="14">
        <f t="shared" si="51"/>
        <v>46023</v>
      </c>
      <c r="L682" s="14">
        <f t="shared" si="52"/>
        <v>46023.624664351853</v>
      </c>
      <c r="N682" s="12"/>
    </row>
    <row r="683" spans="1:14" x14ac:dyDescent="0.25">
      <c r="A683" s="4" t="s">
        <v>712</v>
      </c>
      <c r="B683" s="16" t="str">
        <f t="shared" si="48"/>
        <v>Jagdamba Stone Crusher</v>
      </c>
      <c r="C683" s="16" t="str">
        <f t="shared" si="49"/>
        <v>Jagdamba Stone Crusher(Kodasar Bidavtaan/Sujangarh/Churu)</v>
      </c>
      <c r="D683" s="4" t="s">
        <v>3033</v>
      </c>
      <c r="E683" s="4" t="s">
        <v>3119</v>
      </c>
      <c r="F683" s="5">
        <v>46022.999664351853</v>
      </c>
      <c r="G683" s="16" t="str">
        <f t="shared" si="50"/>
        <v>MasonaryStone (Gitti)</v>
      </c>
      <c r="H683" s="4" t="s">
        <v>2505</v>
      </c>
      <c r="I683" s="18" t="str" cm="1">
        <f t="array" ref="I683">_xlfn.LET(_xlpm.text, D683,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3" s="18" t="str" cm="1">
        <f t="array" ref="J683">_xlfn.LET(_xlpm.text, E683,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3" s="14">
        <f t="shared" si="51"/>
        <v>46023</v>
      </c>
      <c r="L683" s="14">
        <f t="shared" si="52"/>
        <v>46023.624664351853</v>
      </c>
      <c r="N683" s="12"/>
    </row>
    <row r="684" spans="1:14" x14ac:dyDescent="0.25">
      <c r="A684" s="4" t="s">
        <v>713</v>
      </c>
      <c r="B684" s="16" t="str">
        <f t="shared" si="48"/>
        <v>MAA DURGA STONE CRUSHING COMPANY</v>
      </c>
      <c r="C684" s="16" t="str">
        <f t="shared" si="49"/>
        <v>CHADWAS(Chadwas/Bidasar/Sujangarh)</v>
      </c>
      <c r="D684" s="4" t="s">
        <v>3032</v>
      </c>
      <c r="E684" s="4" t="s">
        <v>3119</v>
      </c>
      <c r="F684" s="5">
        <v>46022.999664351853</v>
      </c>
      <c r="G684" s="16" t="str">
        <f t="shared" si="50"/>
        <v>MasonaryStone (Gitti)</v>
      </c>
      <c r="H684" s="4" t="s">
        <v>2506</v>
      </c>
      <c r="I684" s="18" t="str" cm="1">
        <f t="array" ref="I684">_xlfn.LET(_xlpm.text, D684,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84" s="18" t="str" cm="1">
        <f t="array" ref="J684">_xlfn.LET(_xlpm.text, E684,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4" s="14">
        <f t="shared" si="51"/>
        <v>46023</v>
      </c>
      <c r="L684" s="14">
        <f t="shared" si="52"/>
        <v>46023.624664351853</v>
      </c>
      <c r="N684" s="12"/>
    </row>
    <row r="685" spans="1:14" x14ac:dyDescent="0.25">
      <c r="A685" s="4" t="s">
        <v>714</v>
      </c>
      <c r="B685" s="16" t="str">
        <f t="shared" si="48"/>
        <v>MAA DURGA STONE CRUSHING COMPANY</v>
      </c>
      <c r="C685" s="16" t="str">
        <f t="shared" si="49"/>
        <v>CHADWAS(Chadwas/Bidasar/Sujangarh)</v>
      </c>
      <c r="D685" s="4" t="s">
        <v>3032</v>
      </c>
      <c r="E685" s="4" t="s">
        <v>3119</v>
      </c>
      <c r="F685" s="5">
        <v>46023.999664351853</v>
      </c>
      <c r="G685" s="16" t="str">
        <f t="shared" si="50"/>
        <v>MasonaryStone (Gitti)</v>
      </c>
      <c r="H685" s="4" t="s">
        <v>2507</v>
      </c>
      <c r="I685" s="18" t="str" cm="1">
        <f t="array" ref="I685">_xlfn.LET(_xlpm.text, D685,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85" s="18" t="str" cm="1">
        <f t="array" ref="J685">_xlfn.LET(_xlpm.text, E685,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5" s="14">
        <f t="shared" si="51"/>
        <v>46024</v>
      </c>
      <c r="L685" s="14">
        <f t="shared" si="52"/>
        <v>46024.624664351853</v>
      </c>
      <c r="N685" s="12"/>
    </row>
    <row r="686" spans="1:14" x14ac:dyDescent="0.25">
      <c r="A686" s="4" t="s">
        <v>715</v>
      </c>
      <c r="B686" s="16" t="e">
        <f t="shared" si="48"/>
        <v>#N/A</v>
      </c>
      <c r="C686" s="16" t="e">
        <f t="shared" si="49"/>
        <v>#N/A</v>
      </c>
      <c r="D686" s="4" t="s">
        <v>3033</v>
      </c>
      <c r="E686" s="4" t="s">
        <v>3119</v>
      </c>
      <c r="F686" s="5">
        <v>46023.999664351853</v>
      </c>
      <c r="G686" s="16" t="e">
        <f t="shared" si="50"/>
        <v>#N/A</v>
      </c>
      <c r="H686" s="4" t="s">
        <v>2496</v>
      </c>
      <c r="I686" s="18" t="str" cm="1">
        <f t="array" ref="I686">_xlfn.LET(_xlpm.text, D686,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6" s="18" t="str" cm="1">
        <f t="array" ref="J686">_xlfn.LET(_xlpm.text, E686,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6" s="14">
        <f t="shared" si="51"/>
        <v>46024</v>
      </c>
      <c r="L686" s="14">
        <f t="shared" si="52"/>
        <v>46024.624664351853</v>
      </c>
      <c r="N686" s="12"/>
    </row>
    <row r="687" spans="1:14" x14ac:dyDescent="0.25">
      <c r="A687" s="4" t="s">
        <v>716</v>
      </c>
      <c r="B687" s="16" t="str">
        <f t="shared" si="48"/>
        <v>Jagdamba Stone Crusher</v>
      </c>
      <c r="C687" s="16" t="str">
        <f t="shared" si="49"/>
        <v>Jagdamba Stone Crusher(Kodasar Bidavtaan/Sujangarh/Churu)</v>
      </c>
      <c r="D687" s="4" t="s">
        <v>3033</v>
      </c>
      <c r="E687" s="4" t="s">
        <v>3119</v>
      </c>
      <c r="F687" s="5">
        <v>46023.999664351853</v>
      </c>
      <c r="G687" s="16" t="str">
        <f t="shared" si="50"/>
        <v>MasonaryStone (Gitti)</v>
      </c>
      <c r="H687" s="4" t="s">
        <v>2508</v>
      </c>
      <c r="I687" s="18" t="str" cm="1">
        <f t="array" ref="I687">_xlfn.LET(_xlpm.text, D687,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7" s="18" t="str" cm="1">
        <f t="array" ref="J687">_xlfn.LET(_xlpm.text, E687,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7" s="14">
        <f t="shared" si="51"/>
        <v>46024</v>
      </c>
      <c r="L687" s="14">
        <f t="shared" si="52"/>
        <v>46024.624664351853</v>
      </c>
      <c r="N687" s="12"/>
    </row>
    <row r="688" spans="1:14" x14ac:dyDescent="0.25">
      <c r="A688" s="4" t="s">
        <v>717</v>
      </c>
      <c r="B688" s="16" t="str">
        <f t="shared" si="48"/>
        <v>Jagdamba Stone Crusher</v>
      </c>
      <c r="C688" s="16" t="str">
        <f t="shared" si="49"/>
        <v>Jagdamba Stone Crusher(Kodasar Bidavtaan/Sujangarh/Churu)</v>
      </c>
      <c r="D688" s="4" t="s">
        <v>3033</v>
      </c>
      <c r="E688" s="4" t="s">
        <v>3119</v>
      </c>
      <c r="F688" s="5">
        <v>46023.999664351853</v>
      </c>
      <c r="G688" s="16" t="str">
        <f t="shared" si="50"/>
        <v>MasonaryStone (Gitti)</v>
      </c>
      <c r="H688" s="4" t="s">
        <v>2509</v>
      </c>
      <c r="I688" s="18" t="str" cm="1">
        <f t="array" ref="I688">_xlfn.LET(_xlpm.text, D688,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8" s="18" t="str" cm="1">
        <f t="array" ref="J688">_xlfn.LET(_xlpm.text, E688,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8" s="14">
        <f t="shared" si="51"/>
        <v>46024</v>
      </c>
      <c r="L688" s="14">
        <f t="shared" si="52"/>
        <v>46024.624664351853</v>
      </c>
      <c r="N688" s="12"/>
    </row>
    <row r="689" spans="1:14" x14ac:dyDescent="0.25">
      <c r="A689" s="4" t="s">
        <v>718</v>
      </c>
      <c r="B689" s="16" t="str">
        <f t="shared" si="48"/>
        <v>Jagdamba Stone Crusher</v>
      </c>
      <c r="C689" s="16" t="str">
        <f t="shared" si="49"/>
        <v>Jagdamba Stone Crusher(Kodasar Bidavtaan/Sujangarh/Churu)</v>
      </c>
      <c r="D689" s="4" t="s">
        <v>3033</v>
      </c>
      <c r="E689" s="4" t="s">
        <v>3119</v>
      </c>
      <c r="F689" s="5">
        <v>46023.999664351853</v>
      </c>
      <c r="G689" s="16" t="str">
        <f t="shared" si="50"/>
        <v>MasonaryStone (Gitti)</v>
      </c>
      <c r="H689" s="4" t="s">
        <v>2510</v>
      </c>
      <c r="I689" s="18" t="str" cm="1">
        <f t="array" ref="I689">_xlfn.LET(_xlpm.text, D689,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89" s="18" t="str" cm="1">
        <f t="array" ref="J689">_xlfn.LET(_xlpm.text, E689,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89" s="14">
        <f t="shared" si="51"/>
        <v>46024</v>
      </c>
      <c r="L689" s="14">
        <f t="shared" si="52"/>
        <v>46024.624664351853</v>
      </c>
      <c r="N689" s="12"/>
    </row>
    <row r="690" spans="1:14" x14ac:dyDescent="0.25">
      <c r="A690" s="4" t="s">
        <v>719</v>
      </c>
      <c r="B690" s="16" t="str">
        <f t="shared" si="48"/>
        <v>M/s Sidhi Vinayak Aggregates Private Limated</v>
      </c>
      <c r="C690" s="16" t="str">
        <f t="shared" si="49"/>
        <v>Barsingo Ka Bas Lohawat()</v>
      </c>
      <c r="D690" s="4" t="s">
        <v>1382</v>
      </c>
      <c r="E690" s="4" t="s">
        <v>3119</v>
      </c>
      <c r="F690" s="5">
        <v>46023.999664351853</v>
      </c>
      <c r="G690" s="16" t="str">
        <f t="shared" si="50"/>
        <v>MasonaryStone (Gitti)</v>
      </c>
      <c r="H690" s="4" t="s">
        <v>2511</v>
      </c>
      <c r="I690" s="18" t="str" cm="1">
        <f t="array" ref="I690">_xlfn.LET(_xlpm.text, D690,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90" s="18" t="str" cm="1">
        <f t="array" ref="J690">_xlfn.LET(_xlpm.text, E690,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0" s="14">
        <f t="shared" si="51"/>
        <v>46024</v>
      </c>
      <c r="L690" s="14">
        <f t="shared" si="52"/>
        <v>46024.624664351853</v>
      </c>
      <c r="N690" s="12"/>
    </row>
    <row r="691" spans="1:14" x14ac:dyDescent="0.25">
      <c r="A691" s="4" t="s">
        <v>720</v>
      </c>
      <c r="B691" s="16" t="str">
        <f t="shared" si="48"/>
        <v>M/s Sidhi Vinayak Aggregates Private Limated</v>
      </c>
      <c r="C691" s="16" t="str">
        <f t="shared" si="49"/>
        <v>Barsingo Ka Bas Lohawat()</v>
      </c>
      <c r="D691" s="4" t="s">
        <v>1382</v>
      </c>
      <c r="E691" s="4" t="s">
        <v>3119</v>
      </c>
      <c r="F691" s="5">
        <v>46023.999664351853</v>
      </c>
      <c r="G691" s="16" t="str">
        <f t="shared" si="50"/>
        <v>MasonaryStone (Gitti)</v>
      </c>
      <c r="H691" s="4" t="s">
        <v>2512</v>
      </c>
      <c r="I691" s="18" t="str" cm="1">
        <f t="array" ref="I691">_xlfn.LET(_xlpm.text, D691,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691" s="18" t="str" cm="1">
        <f t="array" ref="J691">_xlfn.LET(_xlpm.text, E691,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1" s="14">
        <f t="shared" si="51"/>
        <v>46024</v>
      </c>
      <c r="L691" s="14">
        <f t="shared" si="52"/>
        <v>46024.624664351853</v>
      </c>
      <c r="N691" s="12"/>
    </row>
    <row r="692" spans="1:14" x14ac:dyDescent="0.25">
      <c r="A692" s="4" t="s">
        <v>721</v>
      </c>
      <c r="B692" s="16" t="str">
        <f t="shared" si="48"/>
        <v>MAA DURGA STONE CRUSHING COMPANY</v>
      </c>
      <c r="C692" s="16" t="str">
        <f t="shared" si="49"/>
        <v>CHADWAS(Chadwas/Bidasar/Sujangarh)</v>
      </c>
      <c r="D692" s="4" t="s">
        <v>3032</v>
      </c>
      <c r="E692" s="4" t="s">
        <v>3119</v>
      </c>
      <c r="F692" s="5">
        <v>46024.999664351853</v>
      </c>
      <c r="G692" s="16" t="str">
        <f t="shared" si="50"/>
        <v>MasonaryStone (Gitti)</v>
      </c>
      <c r="H692" s="4" t="s">
        <v>413</v>
      </c>
      <c r="I692" s="18" t="str" cm="1">
        <f t="array" ref="I692">_xlfn.LET(_xlpm.text, D692,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92" s="18" t="str" cm="1">
        <f t="array" ref="J692">_xlfn.LET(_xlpm.text, E692,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2" s="14">
        <f t="shared" si="51"/>
        <v>46025</v>
      </c>
      <c r="L692" s="14">
        <f t="shared" si="52"/>
        <v>46025.624664351853</v>
      </c>
      <c r="N692" s="12"/>
    </row>
    <row r="693" spans="1:14" x14ac:dyDescent="0.25">
      <c r="A693" s="4" t="s">
        <v>722</v>
      </c>
      <c r="B693" s="16" t="str">
        <f t="shared" si="48"/>
        <v>MAA DURGA STONE CRUSHING COMPANY</v>
      </c>
      <c r="C693" s="16" t="str">
        <f t="shared" si="49"/>
        <v>CHADWAS(Chadwas/Bidasar/Sujangarh)</v>
      </c>
      <c r="D693" s="4" t="s">
        <v>3032</v>
      </c>
      <c r="E693" s="4" t="s">
        <v>3119</v>
      </c>
      <c r="F693" s="5">
        <v>46024.999664351853</v>
      </c>
      <c r="G693" s="16" t="str">
        <f t="shared" si="50"/>
        <v>MasonaryStone (Gitti)</v>
      </c>
      <c r="H693" s="4" t="s">
        <v>413</v>
      </c>
      <c r="I693" s="18" t="str" cm="1">
        <f t="array" ref="I693">_xlfn.LET(_xlpm.text, D693,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93" s="18" t="str" cm="1">
        <f t="array" ref="J693">_xlfn.LET(_xlpm.text, E693,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3" s="14">
        <f t="shared" si="51"/>
        <v>46025</v>
      </c>
      <c r="L693" s="14">
        <f t="shared" si="52"/>
        <v>46025.624664351853</v>
      </c>
      <c r="N693" s="12"/>
    </row>
    <row r="694" spans="1:14" x14ac:dyDescent="0.25">
      <c r="A694" s="4" t="s">
        <v>723</v>
      </c>
      <c r="B694" s="16" t="str">
        <f t="shared" si="48"/>
        <v>MAA DURGA STONE CRUSHING COMPANY</v>
      </c>
      <c r="C694" s="16" t="str">
        <f t="shared" si="49"/>
        <v>CHADWAS(Chadwas/Bidasar/Sujangarh)</v>
      </c>
      <c r="D694" s="4" t="s">
        <v>3032</v>
      </c>
      <c r="E694" s="4" t="s">
        <v>3119</v>
      </c>
      <c r="F694" s="5">
        <v>46024.999664351853</v>
      </c>
      <c r="G694" s="16" t="str">
        <f t="shared" si="50"/>
        <v>MasonaryStone (Gitti)</v>
      </c>
      <c r="H694" s="4" t="s">
        <v>2513</v>
      </c>
      <c r="I694" s="18" t="str" cm="1">
        <f t="array" ref="I694">_xlfn.LET(_xlpm.text, D694,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94" s="18" t="str" cm="1">
        <f t="array" ref="J694">_xlfn.LET(_xlpm.text, E694,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4" s="14">
        <f t="shared" si="51"/>
        <v>46025</v>
      </c>
      <c r="L694" s="14">
        <f t="shared" si="52"/>
        <v>46025.624664351853</v>
      </c>
      <c r="N694" s="12"/>
    </row>
    <row r="695" spans="1:14" x14ac:dyDescent="0.25">
      <c r="A695" s="4" t="s">
        <v>724</v>
      </c>
      <c r="B695" s="16" t="str">
        <f t="shared" si="48"/>
        <v>Jagdamba Stone Crusher</v>
      </c>
      <c r="C695" s="16" t="str">
        <f t="shared" si="49"/>
        <v>Jagdamba Stone Crusher(Kodasar Bidavtaan/Sujangarh/Churu)</v>
      </c>
      <c r="D695" s="4" t="s">
        <v>3033</v>
      </c>
      <c r="E695" s="4" t="s">
        <v>3119</v>
      </c>
      <c r="F695" s="5">
        <v>46024.999664351853</v>
      </c>
      <c r="G695" s="16" t="str">
        <f t="shared" si="50"/>
        <v>MasonaryStone (Gitti)</v>
      </c>
      <c r="H695" s="4" t="s">
        <v>2514</v>
      </c>
      <c r="I695" s="18" t="str" cm="1">
        <f t="array" ref="I695">_xlfn.LET(_xlpm.text, D695,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95" s="18" t="str" cm="1">
        <f t="array" ref="J695">_xlfn.LET(_xlpm.text, E695,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5" s="14">
        <f t="shared" si="51"/>
        <v>46025</v>
      </c>
      <c r="L695" s="14">
        <f t="shared" si="52"/>
        <v>46025.624664351853</v>
      </c>
      <c r="N695" s="12"/>
    </row>
    <row r="696" spans="1:14" x14ac:dyDescent="0.25">
      <c r="A696" s="4" t="s">
        <v>725</v>
      </c>
      <c r="B696" s="16" t="str">
        <f t="shared" si="48"/>
        <v>MAA DURGA STONE CRUSHING COMPANY</v>
      </c>
      <c r="C696" s="16" t="str">
        <f t="shared" si="49"/>
        <v>CHADWAS(Chadwas/Bidasar/Sujangarh)</v>
      </c>
      <c r="D696" s="4" t="s">
        <v>3032</v>
      </c>
      <c r="E696" s="4" t="s">
        <v>3119</v>
      </c>
      <c r="F696" s="5">
        <v>46024.999664351853</v>
      </c>
      <c r="G696" s="16" t="str">
        <f t="shared" si="50"/>
        <v>MasonaryStone (Gitti)</v>
      </c>
      <c r="H696" s="4" t="s">
        <v>2515</v>
      </c>
      <c r="I696" s="18" t="str" cm="1">
        <f t="array" ref="I696">_xlfn.LET(_xlpm.text, D696,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96" s="18" t="str" cm="1">
        <f t="array" ref="J696">_xlfn.LET(_xlpm.text, E696,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6" s="14">
        <f t="shared" si="51"/>
        <v>46025</v>
      </c>
      <c r="L696" s="14">
        <f t="shared" si="52"/>
        <v>46025.624664351853</v>
      </c>
      <c r="N696" s="12"/>
    </row>
    <row r="697" spans="1:14" x14ac:dyDescent="0.25">
      <c r="A697" s="4" t="s">
        <v>726</v>
      </c>
      <c r="B697" s="16" t="str">
        <f t="shared" si="48"/>
        <v>Jagdamba Stone Crusher</v>
      </c>
      <c r="C697" s="16" t="str">
        <f t="shared" si="49"/>
        <v>Jagdamba Stone Crusher(Kodasar Bidavtaan/Sujangarh/Churu)</v>
      </c>
      <c r="D697" s="4" t="s">
        <v>3033</v>
      </c>
      <c r="E697" s="4" t="s">
        <v>3119</v>
      </c>
      <c r="F697" s="5">
        <v>46024.999664351853</v>
      </c>
      <c r="G697" s="16" t="str">
        <f t="shared" si="50"/>
        <v>MasonaryStone (Gitti)</v>
      </c>
      <c r="H697" s="4" t="s">
        <v>2516</v>
      </c>
      <c r="I697" s="18" t="str" cm="1">
        <f t="array" ref="I697">_xlfn.LET(_xlpm.text, D697,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97" s="18" t="str" cm="1">
        <f t="array" ref="J697">_xlfn.LET(_xlpm.text, E697,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7" s="14">
        <f t="shared" si="51"/>
        <v>46025</v>
      </c>
      <c r="L697" s="14">
        <f t="shared" si="52"/>
        <v>46025.624664351853</v>
      </c>
      <c r="N697" s="12"/>
    </row>
    <row r="698" spans="1:14" x14ac:dyDescent="0.25">
      <c r="A698" s="4" t="s">
        <v>727</v>
      </c>
      <c r="B698" s="16" t="str">
        <f t="shared" si="48"/>
        <v>Jagdamba Stone Crusher</v>
      </c>
      <c r="C698" s="16" t="str">
        <f t="shared" si="49"/>
        <v>Jagdamba Stone Crusher(Kodasar Bidavtaan/Sujangarh/Churu)</v>
      </c>
      <c r="D698" s="4" t="s">
        <v>3033</v>
      </c>
      <c r="E698" s="4" t="s">
        <v>3119</v>
      </c>
      <c r="F698" s="5">
        <v>46024.999664351853</v>
      </c>
      <c r="G698" s="16" t="str">
        <f t="shared" si="50"/>
        <v>MasonaryStone (Gitti)</v>
      </c>
      <c r="H698" s="4" t="s">
        <v>2517</v>
      </c>
      <c r="I698" s="18" t="str" cm="1">
        <f t="array" ref="I698">_xlfn.LET(_xlpm.text, D698,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698" s="18" t="str" cm="1">
        <f t="array" ref="J698">_xlfn.LET(_xlpm.text, E698,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8" s="14">
        <f t="shared" si="51"/>
        <v>46025</v>
      </c>
      <c r="L698" s="14">
        <f t="shared" si="52"/>
        <v>46025.624664351853</v>
      </c>
      <c r="N698" s="12"/>
    </row>
    <row r="699" spans="1:14" x14ac:dyDescent="0.25">
      <c r="A699" s="4" t="s">
        <v>728</v>
      </c>
      <c r="B699" s="16" t="str">
        <f t="shared" si="48"/>
        <v>MAA DURGA STONE CRUSHING COMPANY</v>
      </c>
      <c r="C699" s="16" t="str">
        <f t="shared" si="49"/>
        <v>CHADWAS(Chadwas/Bidasar/Sujangarh)</v>
      </c>
      <c r="D699" s="4" t="s">
        <v>3032</v>
      </c>
      <c r="E699" s="4" t="s">
        <v>3119</v>
      </c>
      <c r="F699" s="5">
        <v>46025.999664351853</v>
      </c>
      <c r="G699" s="16" t="str">
        <f t="shared" si="50"/>
        <v>MasonaryStone (Gitti)</v>
      </c>
      <c r="H699" s="4" t="s">
        <v>2477</v>
      </c>
      <c r="I699" s="18" t="str" cm="1">
        <f t="array" ref="I699">_xlfn.LET(_xlpm.text, D699,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699" s="18" t="str" cm="1">
        <f t="array" ref="J699">_xlfn.LET(_xlpm.text, E699,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699" s="14">
        <f t="shared" si="51"/>
        <v>46026</v>
      </c>
      <c r="L699" s="14">
        <f t="shared" si="52"/>
        <v>46026.624664351853</v>
      </c>
      <c r="N699" s="12"/>
    </row>
    <row r="700" spans="1:14" x14ac:dyDescent="0.25">
      <c r="A700" s="4" t="s">
        <v>729</v>
      </c>
      <c r="B700" s="16" t="str">
        <f t="shared" si="48"/>
        <v>MAA DURGA STONE CRUSHING COMPANY</v>
      </c>
      <c r="C700" s="16" t="str">
        <f t="shared" si="49"/>
        <v>CHADWAS(Chadwas/Bidasar/Sujangarh)</v>
      </c>
      <c r="D700" s="4" t="s">
        <v>3032</v>
      </c>
      <c r="E700" s="4" t="s">
        <v>3119</v>
      </c>
      <c r="F700" s="5">
        <v>46025.999664351853</v>
      </c>
      <c r="G700" s="16" t="str">
        <f t="shared" si="50"/>
        <v>MasonaryStone (Gitti)</v>
      </c>
      <c r="H700" s="4" t="s">
        <v>2518</v>
      </c>
      <c r="I700" s="18" t="str" cm="1">
        <f t="array" ref="I700">_xlfn.LET(_xlpm.text, D700,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0" s="18" t="str" cm="1">
        <f t="array" ref="J700">_xlfn.LET(_xlpm.text, E700,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0" s="14">
        <f t="shared" si="51"/>
        <v>46026</v>
      </c>
      <c r="L700" s="14">
        <f t="shared" si="52"/>
        <v>46026.624664351853</v>
      </c>
      <c r="N700" s="12"/>
    </row>
    <row r="701" spans="1:14" x14ac:dyDescent="0.25">
      <c r="A701" s="4" t="s">
        <v>730</v>
      </c>
      <c r="B701" s="16" t="str">
        <f t="shared" si="48"/>
        <v>Jagdamba Stone Crusher</v>
      </c>
      <c r="C701" s="16" t="str">
        <f t="shared" si="49"/>
        <v>Jagdamba Stone Crusher(Kodasar Bidavtaan/Sujangarh/Churu)</v>
      </c>
      <c r="D701" s="4" t="s">
        <v>3033</v>
      </c>
      <c r="E701" s="4" t="s">
        <v>3119</v>
      </c>
      <c r="F701" s="5">
        <v>46025.999664351853</v>
      </c>
      <c r="G701" s="16" t="str">
        <f t="shared" si="50"/>
        <v>MasonaryStone (Gitti)</v>
      </c>
      <c r="H701" s="4" t="s">
        <v>2519</v>
      </c>
      <c r="I701" s="18" t="str" cm="1">
        <f t="array" ref="I701">_xlfn.LET(_xlpm.text, D701,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01" s="18" t="str" cm="1">
        <f t="array" ref="J701">_xlfn.LET(_xlpm.text, E701,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1" s="14">
        <f t="shared" si="51"/>
        <v>46026</v>
      </c>
      <c r="L701" s="14">
        <f t="shared" si="52"/>
        <v>46026.624664351853</v>
      </c>
      <c r="N701" s="12"/>
    </row>
    <row r="702" spans="1:14" x14ac:dyDescent="0.25">
      <c r="A702" s="4" t="s">
        <v>731</v>
      </c>
      <c r="B702" s="16" t="str">
        <f t="shared" si="48"/>
        <v>MAA DURGA STONE CRUSHING COMPANY</v>
      </c>
      <c r="C702" s="16" t="str">
        <f t="shared" si="49"/>
        <v>CHADWAS(Chadwas/Bidasar/Sujangarh)</v>
      </c>
      <c r="D702" s="4" t="s">
        <v>3032</v>
      </c>
      <c r="E702" s="4" t="s">
        <v>3119</v>
      </c>
      <c r="F702" s="5">
        <v>46025.999664351853</v>
      </c>
      <c r="G702" s="16" t="str">
        <f t="shared" si="50"/>
        <v>MasonaryStone (Gitti)</v>
      </c>
      <c r="H702" s="4" t="s">
        <v>2520</v>
      </c>
      <c r="I702" s="18" t="str" cm="1">
        <f t="array" ref="I702">_xlfn.LET(_xlpm.text, D702,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2" s="18" t="str" cm="1">
        <f t="array" ref="J702">_xlfn.LET(_xlpm.text, E702,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2" s="14">
        <f t="shared" si="51"/>
        <v>46026</v>
      </c>
      <c r="L702" s="14">
        <f t="shared" si="52"/>
        <v>46026.624664351853</v>
      </c>
      <c r="N702" s="12"/>
    </row>
    <row r="703" spans="1:14" x14ac:dyDescent="0.25">
      <c r="A703" s="4" t="s">
        <v>732</v>
      </c>
      <c r="B703" s="16" t="str">
        <f t="shared" si="48"/>
        <v>MAA DURGA STONE CRUSHING COMPANY</v>
      </c>
      <c r="C703" s="16" t="str">
        <f t="shared" si="49"/>
        <v>CHADWAS(Chadwas/Bidasar/Sujangarh)</v>
      </c>
      <c r="D703" s="4" t="s">
        <v>3032</v>
      </c>
      <c r="E703" s="4" t="s">
        <v>3119</v>
      </c>
      <c r="F703" s="5">
        <v>46026.999664351853</v>
      </c>
      <c r="G703" s="16" t="str">
        <f t="shared" si="50"/>
        <v>MasonaryStone (Gitti)</v>
      </c>
      <c r="H703" s="4" t="s">
        <v>2521</v>
      </c>
      <c r="I703" s="18" t="str" cm="1">
        <f t="array" ref="I703">_xlfn.LET(_xlpm.text, D703,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3" s="18" t="str" cm="1">
        <f t="array" ref="J703">_xlfn.LET(_xlpm.text, E703,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3" s="14">
        <f t="shared" si="51"/>
        <v>46027</v>
      </c>
      <c r="L703" s="14">
        <f t="shared" si="52"/>
        <v>46027.624664351853</v>
      </c>
      <c r="N703" s="12"/>
    </row>
    <row r="704" spans="1:14" x14ac:dyDescent="0.25">
      <c r="A704" s="4" t="s">
        <v>733</v>
      </c>
      <c r="B704" s="16" t="str">
        <f t="shared" si="48"/>
        <v>MAA DURGA STONE CRUSHING COMPANY</v>
      </c>
      <c r="C704" s="16" t="str">
        <f t="shared" si="49"/>
        <v>CHADWAS(Chadwas/Bidasar/Sujangarh)</v>
      </c>
      <c r="D704" s="4" t="s">
        <v>3032</v>
      </c>
      <c r="E704" s="4" t="s">
        <v>3119</v>
      </c>
      <c r="F704" s="5">
        <v>46026.999664351853</v>
      </c>
      <c r="G704" s="16" t="str">
        <f t="shared" si="50"/>
        <v>MasonaryStone (Gitti)</v>
      </c>
      <c r="H704" s="4" t="s">
        <v>2392</v>
      </c>
      <c r="I704" s="18" t="str" cm="1">
        <f t="array" ref="I704">_xlfn.LET(_xlpm.text, D704,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4" s="18" t="str" cm="1">
        <f t="array" ref="J704">_xlfn.LET(_xlpm.text, E704,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4" s="14">
        <f t="shared" si="51"/>
        <v>46027</v>
      </c>
      <c r="L704" s="14">
        <f t="shared" si="52"/>
        <v>46027.624664351853</v>
      </c>
      <c r="N704" s="12"/>
    </row>
    <row r="705" spans="1:14" x14ac:dyDescent="0.25">
      <c r="A705" s="4" t="s">
        <v>734</v>
      </c>
      <c r="B705" s="16" t="str">
        <f t="shared" si="48"/>
        <v>MAA DURGA STONE CRUSHING COMPANY</v>
      </c>
      <c r="C705" s="16" t="str">
        <f t="shared" si="49"/>
        <v>CHADWAS(Chadwas/Bidasar/Sujangarh)</v>
      </c>
      <c r="D705" s="4" t="s">
        <v>3032</v>
      </c>
      <c r="E705" s="4" t="s">
        <v>3119</v>
      </c>
      <c r="F705" s="5">
        <v>46026.999664351853</v>
      </c>
      <c r="G705" s="16" t="str">
        <f t="shared" si="50"/>
        <v>MasonaryStone (Gitti)</v>
      </c>
      <c r="H705" s="4" t="s">
        <v>2522</v>
      </c>
      <c r="I705" s="18" t="str" cm="1">
        <f t="array" ref="I705">_xlfn.LET(_xlpm.text, D705,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5" s="18" t="str" cm="1">
        <f t="array" ref="J705">_xlfn.LET(_xlpm.text, E705,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5" s="14">
        <f t="shared" si="51"/>
        <v>46027</v>
      </c>
      <c r="L705" s="14">
        <f t="shared" si="52"/>
        <v>46027.624664351853</v>
      </c>
      <c r="N705" s="12"/>
    </row>
    <row r="706" spans="1:14" x14ac:dyDescent="0.25">
      <c r="A706" s="4" t="s">
        <v>735</v>
      </c>
      <c r="B706" s="16" t="str">
        <f t="shared" ref="B706:B769" si="53">VLOOKUP(LEFT($A706,4)&amp;"*",$O$3:$R$17, 2, FALSE)</f>
        <v>MAA DURGA STONE CRUSHING COMPANY</v>
      </c>
      <c r="C706" s="16" t="str">
        <f t="shared" ref="C706:C769" si="54">VLOOKUP(LEFT($A706,4)&amp;"*",$O$3:$R$17, 3, FALSE)</f>
        <v>CHADWAS(Chadwas/Bidasar/Sujangarh)</v>
      </c>
      <c r="D706" s="4" t="s">
        <v>3032</v>
      </c>
      <c r="E706" s="4" t="s">
        <v>3119</v>
      </c>
      <c r="F706" s="5">
        <v>46026.999664351853</v>
      </c>
      <c r="G706" s="16" t="str">
        <f t="shared" ref="G706:G769" si="55">VLOOKUP(LEFT($A706,4)&amp;"*",$O$3:$R$17, 4, FALSE)</f>
        <v>MasonaryStone (Gitti)</v>
      </c>
      <c r="H706" s="4" t="s">
        <v>2523</v>
      </c>
      <c r="I706" s="18" t="str" cm="1">
        <f t="array" ref="I706">_xlfn.LET(_xlpm.text, D706,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6" s="18" t="str" cm="1">
        <f t="array" ref="J706">_xlfn.LET(_xlpm.text, E706,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6" s="14">
        <f t="shared" si="51"/>
        <v>46027</v>
      </c>
      <c r="L706" s="14">
        <f t="shared" si="52"/>
        <v>46027.624664351853</v>
      </c>
      <c r="N706" s="12"/>
    </row>
    <row r="707" spans="1:14" x14ac:dyDescent="0.25">
      <c r="A707" s="4" t="s">
        <v>736</v>
      </c>
      <c r="B707" s="16" t="str">
        <f t="shared" si="53"/>
        <v>MAA DURGA STONE CRUSHING COMPANY</v>
      </c>
      <c r="C707" s="16" t="str">
        <f t="shared" si="54"/>
        <v>CHADWAS(Chadwas/Bidasar/Sujangarh)</v>
      </c>
      <c r="D707" s="4" t="s">
        <v>3032</v>
      </c>
      <c r="E707" s="4" t="s">
        <v>3119</v>
      </c>
      <c r="F707" s="5">
        <v>46026.999664351853</v>
      </c>
      <c r="G707" s="16" t="str">
        <f t="shared" si="55"/>
        <v>MasonaryStone (Gitti)</v>
      </c>
      <c r="H707" s="4" t="s">
        <v>2524</v>
      </c>
      <c r="I707" s="18" t="str" cm="1">
        <f t="array" ref="I707">_xlfn.LET(_xlpm.text, D707,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7" s="18" t="str" cm="1">
        <f t="array" ref="J707">_xlfn.LET(_xlpm.text, E707,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7" s="14">
        <f t="shared" ref="K707:K770" si="56">F707+(29/86400)</f>
        <v>46027</v>
      </c>
      <c r="L707" s="14">
        <f t="shared" ref="L707:L770" si="57">F707+(15/24)</f>
        <v>46027.624664351853</v>
      </c>
      <c r="N707" s="12"/>
    </row>
    <row r="708" spans="1:14" x14ac:dyDescent="0.25">
      <c r="A708" s="4" t="s">
        <v>737</v>
      </c>
      <c r="B708" s="16" t="str">
        <f t="shared" si="53"/>
        <v>MAA DURGA STONE CRUSHING COMPANY</v>
      </c>
      <c r="C708" s="16" t="str">
        <f t="shared" si="54"/>
        <v>CHADWAS(Chadwas/Bidasar/Sujangarh)</v>
      </c>
      <c r="D708" s="4" t="s">
        <v>3032</v>
      </c>
      <c r="E708" s="4" t="s">
        <v>3119</v>
      </c>
      <c r="F708" s="5">
        <v>46026.999664351853</v>
      </c>
      <c r="G708" s="16" t="str">
        <f t="shared" si="55"/>
        <v>MasonaryStone (Gitti)</v>
      </c>
      <c r="H708" s="4" t="s">
        <v>2525</v>
      </c>
      <c r="I708" s="18" t="str" cm="1">
        <f t="array" ref="I708">_xlfn.LET(_xlpm.text, D708,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8" s="18" t="str" cm="1">
        <f t="array" ref="J708">_xlfn.LET(_xlpm.text, E708,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8" s="14">
        <f t="shared" si="56"/>
        <v>46027</v>
      </c>
      <c r="L708" s="14">
        <f t="shared" si="57"/>
        <v>46027.624664351853</v>
      </c>
      <c r="N708" s="12"/>
    </row>
    <row r="709" spans="1:14" x14ac:dyDescent="0.25">
      <c r="A709" s="4" t="s">
        <v>738</v>
      </c>
      <c r="B709" s="16" t="str">
        <f t="shared" si="53"/>
        <v>MAA DURGA STONE CRUSHING COMPANY</v>
      </c>
      <c r="C709" s="16" t="str">
        <f t="shared" si="54"/>
        <v>CHADWAS(Chadwas/Bidasar/Sujangarh)</v>
      </c>
      <c r="D709" s="4" t="s">
        <v>3032</v>
      </c>
      <c r="E709" s="4" t="s">
        <v>3119</v>
      </c>
      <c r="F709" s="5">
        <v>46026.999664351853</v>
      </c>
      <c r="G709" s="16" t="str">
        <f t="shared" si="55"/>
        <v>MasonaryStone (Gitti)</v>
      </c>
      <c r="H709" s="4" t="s">
        <v>2257</v>
      </c>
      <c r="I709" s="18" t="str" cm="1">
        <f t="array" ref="I709">_xlfn.LET(_xlpm.text, D709,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09" s="18" t="str" cm="1">
        <f t="array" ref="J709">_xlfn.LET(_xlpm.text, E709,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09" s="14">
        <f t="shared" si="56"/>
        <v>46027</v>
      </c>
      <c r="L709" s="14">
        <f t="shared" si="57"/>
        <v>46027.624664351853</v>
      </c>
      <c r="N709" s="12"/>
    </row>
    <row r="710" spans="1:14" x14ac:dyDescent="0.25">
      <c r="A710" s="4" t="s">
        <v>739</v>
      </c>
      <c r="B710" s="16" t="str">
        <f t="shared" si="53"/>
        <v>M/s Sidhi Vinayak Aggregates Private Limated</v>
      </c>
      <c r="C710" s="16" t="str">
        <f t="shared" si="54"/>
        <v>Barsingo Ka Bas Lohawat()</v>
      </c>
      <c r="D710" s="4" t="s">
        <v>1382</v>
      </c>
      <c r="E710" s="4" t="s">
        <v>3119</v>
      </c>
      <c r="F710" s="5">
        <v>46026.999664351853</v>
      </c>
      <c r="G710" s="16" t="str">
        <f t="shared" si="55"/>
        <v>MasonaryStone (Gitti)</v>
      </c>
      <c r="H710" s="4" t="s">
        <v>2526</v>
      </c>
      <c r="I710" s="18" t="str" cm="1">
        <f t="array" ref="I710">_xlfn.LET(_xlpm.text, D710,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710" s="18" t="str" cm="1">
        <f t="array" ref="J710">_xlfn.LET(_xlpm.text, E710,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0" s="14">
        <f t="shared" si="56"/>
        <v>46027</v>
      </c>
      <c r="L710" s="14">
        <f t="shared" si="57"/>
        <v>46027.624664351853</v>
      </c>
      <c r="N710" s="12"/>
    </row>
    <row r="711" spans="1:14" x14ac:dyDescent="0.25">
      <c r="A711" s="4" t="s">
        <v>740</v>
      </c>
      <c r="B711" s="16" t="str">
        <f t="shared" si="53"/>
        <v>MAA DURGA STONE CRUSHING COMPANY</v>
      </c>
      <c r="C711" s="16" t="str">
        <f t="shared" si="54"/>
        <v>CHADWAS(Chadwas/Bidasar/Sujangarh)</v>
      </c>
      <c r="D711" s="4" t="s">
        <v>3032</v>
      </c>
      <c r="E711" s="4" t="s">
        <v>3119</v>
      </c>
      <c r="F711" s="5">
        <v>46027.999664351853</v>
      </c>
      <c r="G711" s="16" t="str">
        <f t="shared" si="55"/>
        <v>MasonaryStone (Gitti)</v>
      </c>
      <c r="H711" s="4" t="s">
        <v>2527</v>
      </c>
      <c r="I711" s="18" t="str" cm="1">
        <f t="array" ref="I711">_xlfn.LET(_xlpm.text, D711,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11" s="18" t="str" cm="1">
        <f t="array" ref="J711">_xlfn.LET(_xlpm.text, E711,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1" s="14">
        <f t="shared" si="56"/>
        <v>46028</v>
      </c>
      <c r="L711" s="14">
        <f t="shared" si="57"/>
        <v>46028.624664351853</v>
      </c>
      <c r="N711" s="12"/>
    </row>
    <row r="712" spans="1:14" x14ac:dyDescent="0.25">
      <c r="A712" s="4" t="s">
        <v>741</v>
      </c>
      <c r="B712" s="16" t="str">
        <f t="shared" si="53"/>
        <v>MAA DURGA STONE CRUSHING COMPANY</v>
      </c>
      <c r="C712" s="16" t="str">
        <f t="shared" si="54"/>
        <v>CHADWAS(Chadwas/Bidasar/Sujangarh)</v>
      </c>
      <c r="D712" s="4" t="s">
        <v>3032</v>
      </c>
      <c r="E712" s="4" t="s">
        <v>3119</v>
      </c>
      <c r="F712" s="5">
        <v>46027.999664351853</v>
      </c>
      <c r="G712" s="16" t="str">
        <f t="shared" si="55"/>
        <v>MasonaryStone (Gitti)</v>
      </c>
      <c r="H712" s="4" t="s">
        <v>2497</v>
      </c>
      <c r="I712" s="18" t="str" cm="1">
        <f t="array" ref="I712">_xlfn.LET(_xlpm.text, D712,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712" s="18" t="str" cm="1">
        <f t="array" ref="J712">_xlfn.LET(_xlpm.text, E712,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2" s="14">
        <f t="shared" si="56"/>
        <v>46028</v>
      </c>
      <c r="L712" s="14">
        <f t="shared" si="57"/>
        <v>46028.624664351853</v>
      </c>
      <c r="N712" s="12"/>
    </row>
    <row r="713" spans="1:14" x14ac:dyDescent="0.25">
      <c r="A713" s="4" t="s">
        <v>742</v>
      </c>
      <c r="B713" s="16" t="str">
        <f t="shared" si="53"/>
        <v>Jagdamba Stone Crusher</v>
      </c>
      <c r="C713" s="16" t="str">
        <f t="shared" si="54"/>
        <v>Jagdamba Stone Crusher(Kodasar Bidavtaan/Sujangarh/Churu)</v>
      </c>
      <c r="D713" s="4" t="s">
        <v>3033</v>
      </c>
      <c r="E713" s="4" t="s">
        <v>3119</v>
      </c>
      <c r="F713" s="5">
        <v>46028.999664351853</v>
      </c>
      <c r="G713" s="16" t="str">
        <f t="shared" si="55"/>
        <v>MasonaryStone (Gitti)</v>
      </c>
      <c r="H713" s="4" t="s">
        <v>2528</v>
      </c>
      <c r="I713" s="18" t="str" cm="1">
        <f t="array" ref="I713">_xlfn.LET(_xlpm.text, D713,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13" s="18" t="str" cm="1">
        <f t="array" ref="J713">_xlfn.LET(_xlpm.text, E713,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3" s="14">
        <f t="shared" si="56"/>
        <v>46029</v>
      </c>
      <c r="L713" s="14">
        <f t="shared" si="57"/>
        <v>46029.624664351853</v>
      </c>
      <c r="N713" s="12"/>
    </row>
    <row r="714" spans="1:14" x14ac:dyDescent="0.25">
      <c r="A714" s="4" t="s">
        <v>743</v>
      </c>
      <c r="B714" s="16" t="str">
        <f t="shared" si="53"/>
        <v>Jagdamba Stone Crusher</v>
      </c>
      <c r="C714" s="16" t="str">
        <f t="shared" si="54"/>
        <v>Jagdamba Stone Crusher(Kodasar Bidavtaan/Sujangarh/Churu)</v>
      </c>
      <c r="D714" s="4" t="s">
        <v>3033</v>
      </c>
      <c r="E714" s="4" t="s">
        <v>3119</v>
      </c>
      <c r="F714" s="5">
        <v>46028.999664351853</v>
      </c>
      <c r="G714" s="16" t="str">
        <f t="shared" si="55"/>
        <v>MasonaryStone (Gitti)</v>
      </c>
      <c r="H714" s="4" t="s">
        <v>2529</v>
      </c>
      <c r="I714" s="18" t="str" cm="1">
        <f t="array" ref="I714">_xlfn.LET(_xlpm.text, D714,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14" s="18" t="str" cm="1">
        <f t="array" ref="J714">_xlfn.LET(_xlpm.text, E714,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4" s="14">
        <f t="shared" si="56"/>
        <v>46029</v>
      </c>
      <c r="L714" s="14">
        <f t="shared" si="57"/>
        <v>46029.624664351853</v>
      </c>
      <c r="N714" s="12"/>
    </row>
    <row r="715" spans="1:14" x14ac:dyDescent="0.25">
      <c r="A715" s="4" t="s">
        <v>744</v>
      </c>
      <c r="B715" s="16" t="str">
        <f t="shared" si="53"/>
        <v>Jagdamba Stone Crusher</v>
      </c>
      <c r="C715" s="16" t="str">
        <f t="shared" si="54"/>
        <v>Jagdamba Stone Crusher(Kodasar Bidavtaan/Sujangarh/Churu)</v>
      </c>
      <c r="D715" s="4" t="s">
        <v>3033</v>
      </c>
      <c r="E715" s="4" t="s">
        <v>3119</v>
      </c>
      <c r="F715" s="5">
        <v>46029.999664351853</v>
      </c>
      <c r="G715" s="16" t="str">
        <f t="shared" si="55"/>
        <v>MasonaryStone (Gitti)</v>
      </c>
      <c r="H715" s="4" t="s">
        <v>2530</v>
      </c>
      <c r="I715" s="18" t="str" cm="1">
        <f t="array" ref="I715">_xlfn.LET(_xlpm.text, D715,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15" s="18" t="str" cm="1">
        <f t="array" ref="J715">_xlfn.LET(_xlpm.text, E715,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5" s="14">
        <f t="shared" si="56"/>
        <v>46030</v>
      </c>
      <c r="L715" s="14">
        <f t="shared" si="57"/>
        <v>46030.624664351853</v>
      </c>
      <c r="N715" s="12"/>
    </row>
    <row r="716" spans="1:14" x14ac:dyDescent="0.25">
      <c r="A716" s="4" t="s">
        <v>745</v>
      </c>
      <c r="B716" s="16" t="str">
        <f t="shared" si="53"/>
        <v>MAA DURGA STONE CRUSHING COMPANY</v>
      </c>
      <c r="C716" s="16" t="str">
        <f t="shared" si="54"/>
        <v>CHADWAS(Chadwas/Bidasar/Sujangarh)</v>
      </c>
      <c r="D716" s="4" t="s">
        <v>3034</v>
      </c>
      <c r="E716" s="4" t="s">
        <v>3119</v>
      </c>
      <c r="F716" s="5">
        <v>46031.999664351853</v>
      </c>
      <c r="G716" s="16" t="str">
        <f t="shared" si="55"/>
        <v>MasonaryStone (Gitti)</v>
      </c>
      <c r="H716" s="4" t="s">
        <v>2531</v>
      </c>
      <c r="I716" s="18" t="str" cm="1">
        <f t="array" ref="I716">_xlfn.LET(_xlpm.text, D716,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16" s="18" t="str" cm="1">
        <f t="array" ref="J716">_xlfn.LET(_xlpm.text, E716,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6" s="14">
        <f t="shared" si="56"/>
        <v>46032</v>
      </c>
      <c r="L716" s="14">
        <f t="shared" si="57"/>
        <v>46032.624664351853</v>
      </c>
      <c r="N716" s="12"/>
    </row>
    <row r="717" spans="1:14" x14ac:dyDescent="0.25">
      <c r="A717" s="4" t="s">
        <v>746</v>
      </c>
      <c r="B717" s="16" t="str">
        <f t="shared" si="53"/>
        <v>MAA DURGA STONE CRUSHING COMPANY</v>
      </c>
      <c r="C717" s="16" t="str">
        <f t="shared" si="54"/>
        <v>CHADWAS(Chadwas/Bidasar/Sujangarh)</v>
      </c>
      <c r="D717" s="4" t="s">
        <v>3034</v>
      </c>
      <c r="E717" s="4" t="s">
        <v>3119</v>
      </c>
      <c r="F717" s="5">
        <v>46032.999664351853</v>
      </c>
      <c r="G717" s="16" t="str">
        <f t="shared" si="55"/>
        <v>MasonaryStone (Gitti)</v>
      </c>
      <c r="H717" s="4" t="s">
        <v>2532</v>
      </c>
      <c r="I717" s="18" t="str" cm="1">
        <f t="array" ref="I717">_xlfn.LET(_xlpm.text, D717,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17" s="18" t="str" cm="1">
        <f t="array" ref="J717">_xlfn.LET(_xlpm.text, E717,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7" s="14">
        <f t="shared" si="56"/>
        <v>46033</v>
      </c>
      <c r="L717" s="14">
        <f t="shared" si="57"/>
        <v>46033.624664351853</v>
      </c>
      <c r="N717" s="12"/>
    </row>
    <row r="718" spans="1:14" x14ac:dyDescent="0.25">
      <c r="A718" s="4" t="s">
        <v>747</v>
      </c>
      <c r="B718" s="16" t="str">
        <f t="shared" si="53"/>
        <v>MAA DURGA STONE CRUSHING COMPANY</v>
      </c>
      <c r="C718" s="16" t="str">
        <f t="shared" si="54"/>
        <v>CHADWAS(Chadwas/Bidasar/Sujangarh)</v>
      </c>
      <c r="D718" s="4" t="s">
        <v>3034</v>
      </c>
      <c r="E718" s="4" t="s">
        <v>3119</v>
      </c>
      <c r="F718" s="5">
        <v>46032.999664351853</v>
      </c>
      <c r="G718" s="16" t="str">
        <f t="shared" si="55"/>
        <v>MasonaryStone (Gitti)</v>
      </c>
      <c r="H718" s="4" t="s">
        <v>2533</v>
      </c>
      <c r="I718" s="18" t="str" cm="1">
        <f t="array" ref="I718">_xlfn.LET(_xlpm.text, D718,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18" s="18" t="str" cm="1">
        <f t="array" ref="J718">_xlfn.LET(_xlpm.text, E718,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8" s="14">
        <f t="shared" si="56"/>
        <v>46033</v>
      </c>
      <c r="L718" s="14">
        <f t="shared" si="57"/>
        <v>46033.624664351853</v>
      </c>
      <c r="N718" s="12"/>
    </row>
    <row r="719" spans="1:14" x14ac:dyDescent="0.25">
      <c r="A719" s="4" t="s">
        <v>748</v>
      </c>
      <c r="B719" s="16" t="str">
        <f t="shared" si="53"/>
        <v>MAA DURGA STONE CRUSHING COMPANY</v>
      </c>
      <c r="C719" s="16" t="str">
        <f t="shared" si="54"/>
        <v>CHADWAS(Chadwas/Bidasar/Sujangarh)</v>
      </c>
      <c r="D719" s="4" t="s">
        <v>3034</v>
      </c>
      <c r="E719" s="4" t="s">
        <v>3119</v>
      </c>
      <c r="F719" s="5">
        <v>46024.999664351853</v>
      </c>
      <c r="G719" s="16" t="str">
        <f t="shared" si="55"/>
        <v>MasonaryStone (Gitti)</v>
      </c>
      <c r="H719" s="4" t="s">
        <v>2534</v>
      </c>
      <c r="I719" s="18" t="str" cm="1">
        <f t="array" ref="I719">_xlfn.LET(_xlpm.text, D719,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19" s="18" t="str" cm="1">
        <f t="array" ref="J719">_xlfn.LET(_xlpm.text, E719,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19" s="14">
        <f t="shared" si="56"/>
        <v>46025</v>
      </c>
      <c r="L719" s="14">
        <f t="shared" si="57"/>
        <v>46025.624664351853</v>
      </c>
      <c r="N719" s="12"/>
    </row>
    <row r="720" spans="1:14" x14ac:dyDescent="0.25">
      <c r="A720" s="4" t="s">
        <v>749</v>
      </c>
      <c r="B720" s="16" t="str">
        <f t="shared" si="53"/>
        <v>MAA DURGA STONE CRUSHING COMPANY</v>
      </c>
      <c r="C720" s="16" t="str">
        <f t="shared" si="54"/>
        <v>CHADWAS(Chadwas/Bidasar/Sujangarh)</v>
      </c>
      <c r="D720" s="4" t="s">
        <v>3034</v>
      </c>
      <c r="E720" s="4" t="s">
        <v>3119</v>
      </c>
      <c r="F720" s="5">
        <v>46025.999664351853</v>
      </c>
      <c r="G720" s="16" t="str">
        <f t="shared" si="55"/>
        <v>MasonaryStone (Gitti)</v>
      </c>
      <c r="H720" s="4" t="s">
        <v>2535</v>
      </c>
      <c r="I720" s="18" t="str" cm="1">
        <f t="array" ref="I720">_xlfn.LET(_xlpm.text, D720,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0" s="18" t="str" cm="1">
        <f t="array" ref="J720">_xlfn.LET(_xlpm.text, E720,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0" s="14">
        <f t="shared" si="56"/>
        <v>46026</v>
      </c>
      <c r="L720" s="14">
        <f t="shared" si="57"/>
        <v>46026.624664351853</v>
      </c>
      <c r="N720" s="12"/>
    </row>
    <row r="721" spans="1:14" x14ac:dyDescent="0.25">
      <c r="A721" s="4" t="s">
        <v>750</v>
      </c>
      <c r="B721" s="16" t="str">
        <f t="shared" si="53"/>
        <v>MAA DURGA STONE CRUSHING COMPANY</v>
      </c>
      <c r="C721" s="16" t="str">
        <f t="shared" si="54"/>
        <v>CHADWAS(Chadwas/Bidasar/Sujangarh)</v>
      </c>
      <c r="D721" s="4" t="s">
        <v>3034</v>
      </c>
      <c r="E721" s="4" t="s">
        <v>3119</v>
      </c>
      <c r="F721" s="5">
        <v>46031.999664351853</v>
      </c>
      <c r="G721" s="16" t="str">
        <f t="shared" si="55"/>
        <v>MasonaryStone (Gitti)</v>
      </c>
      <c r="H721" s="4" t="s">
        <v>2536</v>
      </c>
      <c r="I721" s="18" t="str" cm="1">
        <f t="array" ref="I721">_xlfn.LET(_xlpm.text, D721,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1" s="18" t="str" cm="1">
        <f t="array" ref="J721">_xlfn.LET(_xlpm.text, E721,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1" s="14">
        <f t="shared" si="56"/>
        <v>46032</v>
      </c>
      <c r="L721" s="14">
        <f t="shared" si="57"/>
        <v>46032.624664351853</v>
      </c>
      <c r="N721" s="12"/>
    </row>
    <row r="722" spans="1:14" x14ac:dyDescent="0.25">
      <c r="A722" s="4" t="s">
        <v>751</v>
      </c>
      <c r="B722" s="16" t="str">
        <f t="shared" si="53"/>
        <v>MAA DURGA STONE CRUSHING COMPANY</v>
      </c>
      <c r="C722" s="16" t="str">
        <f t="shared" si="54"/>
        <v>CHADWAS(Chadwas/Bidasar/Sujangarh)</v>
      </c>
      <c r="D722" s="4" t="s">
        <v>3034</v>
      </c>
      <c r="E722" s="4" t="s">
        <v>3119</v>
      </c>
      <c r="F722" s="5">
        <v>46030.999664351853</v>
      </c>
      <c r="G722" s="16" t="str">
        <f t="shared" si="55"/>
        <v>MasonaryStone (Gitti)</v>
      </c>
      <c r="H722" s="4" t="s">
        <v>2430</v>
      </c>
      <c r="I722" s="18" t="str" cm="1">
        <f t="array" ref="I722">_xlfn.LET(_xlpm.text, D722,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2" s="18" t="str" cm="1">
        <f t="array" ref="J722">_xlfn.LET(_xlpm.text, E722,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2" s="14">
        <f t="shared" si="56"/>
        <v>46031</v>
      </c>
      <c r="L722" s="14">
        <f t="shared" si="57"/>
        <v>46031.624664351853</v>
      </c>
      <c r="N722" s="12"/>
    </row>
    <row r="723" spans="1:14" x14ac:dyDescent="0.25">
      <c r="A723" s="4" t="s">
        <v>752</v>
      </c>
      <c r="B723" s="16" t="str">
        <f t="shared" si="53"/>
        <v>MAA DURGA STONE CRUSHING COMPANY</v>
      </c>
      <c r="C723" s="16" t="str">
        <f t="shared" si="54"/>
        <v>CHADWAS(Chadwas/Bidasar/Sujangarh)</v>
      </c>
      <c r="D723" s="4" t="s">
        <v>3034</v>
      </c>
      <c r="E723" s="4" t="s">
        <v>3119</v>
      </c>
      <c r="F723" s="5">
        <v>46030.999664351853</v>
      </c>
      <c r="G723" s="16" t="str">
        <f t="shared" si="55"/>
        <v>MasonaryStone (Gitti)</v>
      </c>
      <c r="H723" s="4" t="s">
        <v>2537</v>
      </c>
      <c r="I723" s="18" t="str" cm="1">
        <f t="array" ref="I723">_xlfn.LET(_xlpm.text, D723,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3" s="18" t="str" cm="1">
        <f t="array" ref="J723">_xlfn.LET(_xlpm.text, E723,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3" s="14">
        <f t="shared" si="56"/>
        <v>46031</v>
      </c>
      <c r="L723" s="14">
        <f t="shared" si="57"/>
        <v>46031.624664351853</v>
      </c>
      <c r="N723" s="12"/>
    </row>
    <row r="724" spans="1:14" x14ac:dyDescent="0.25">
      <c r="A724" s="4" t="s">
        <v>753</v>
      </c>
      <c r="B724" s="16" t="str">
        <f t="shared" si="53"/>
        <v>MAA DURGA STONE CRUSHING COMPANY</v>
      </c>
      <c r="C724" s="16" t="str">
        <f t="shared" si="54"/>
        <v>CHADWAS(Chadwas/Bidasar/Sujangarh)</v>
      </c>
      <c r="D724" s="4" t="s">
        <v>3034</v>
      </c>
      <c r="E724" s="4" t="s">
        <v>3119</v>
      </c>
      <c r="F724" s="5">
        <v>46029.999664351853</v>
      </c>
      <c r="G724" s="16" t="str">
        <f t="shared" si="55"/>
        <v>MasonaryStone (Gitti)</v>
      </c>
      <c r="H724" s="4" t="s">
        <v>2538</v>
      </c>
      <c r="I724" s="18" t="str" cm="1">
        <f t="array" ref="I724">_xlfn.LET(_xlpm.text, D724,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4" s="18" t="str" cm="1">
        <f t="array" ref="J724">_xlfn.LET(_xlpm.text, E724,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4" s="14">
        <f t="shared" si="56"/>
        <v>46030</v>
      </c>
      <c r="L724" s="14">
        <f t="shared" si="57"/>
        <v>46030.624664351853</v>
      </c>
      <c r="N724" s="12"/>
    </row>
    <row r="725" spans="1:14" x14ac:dyDescent="0.25">
      <c r="A725" s="4" t="s">
        <v>754</v>
      </c>
      <c r="B725" s="16" t="str">
        <f t="shared" si="53"/>
        <v>MAA DURGA STONE CRUSHING COMPANY</v>
      </c>
      <c r="C725" s="16" t="str">
        <f t="shared" si="54"/>
        <v>CHADWAS(Chadwas/Bidasar/Sujangarh)</v>
      </c>
      <c r="D725" s="4" t="s">
        <v>3034</v>
      </c>
      <c r="E725" s="4" t="s">
        <v>3119</v>
      </c>
      <c r="F725" s="5">
        <v>46027.999664351853</v>
      </c>
      <c r="G725" s="16" t="str">
        <f t="shared" si="55"/>
        <v>MasonaryStone (Gitti)</v>
      </c>
      <c r="H725" s="4" t="s">
        <v>2539</v>
      </c>
      <c r="I725" s="18" t="str" cm="1">
        <f t="array" ref="I725">_xlfn.LET(_xlpm.text, D725,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5" s="18" t="str" cm="1">
        <f t="array" ref="J725">_xlfn.LET(_xlpm.text, E725,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5" s="14">
        <f t="shared" si="56"/>
        <v>46028</v>
      </c>
      <c r="L725" s="14">
        <f t="shared" si="57"/>
        <v>46028.624664351853</v>
      </c>
      <c r="N725" s="12"/>
    </row>
    <row r="726" spans="1:14" x14ac:dyDescent="0.25">
      <c r="A726" s="4" t="s">
        <v>755</v>
      </c>
      <c r="B726" s="16" t="str">
        <f t="shared" si="53"/>
        <v>MAA DURGA STONE CRUSHING COMPANY</v>
      </c>
      <c r="C726" s="16" t="str">
        <f t="shared" si="54"/>
        <v>CHADWAS(Chadwas/Bidasar/Sujangarh)</v>
      </c>
      <c r="D726" s="4" t="s">
        <v>3034</v>
      </c>
      <c r="E726" s="4" t="s">
        <v>3119</v>
      </c>
      <c r="F726" s="5">
        <v>46026.999664351853</v>
      </c>
      <c r="G726" s="16" t="str">
        <f t="shared" si="55"/>
        <v>MasonaryStone (Gitti)</v>
      </c>
      <c r="H726" s="4" t="s">
        <v>2540</v>
      </c>
      <c r="I726" s="18" t="str" cm="1">
        <f t="array" ref="I726">_xlfn.LET(_xlpm.text, D726,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6" s="18" t="str" cm="1">
        <f t="array" ref="J726">_xlfn.LET(_xlpm.text, E726,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6" s="14">
        <f t="shared" si="56"/>
        <v>46027</v>
      </c>
      <c r="L726" s="14">
        <f t="shared" si="57"/>
        <v>46027.624664351853</v>
      </c>
      <c r="N726" s="12"/>
    </row>
    <row r="727" spans="1:14" x14ac:dyDescent="0.25">
      <c r="A727" s="4" t="s">
        <v>756</v>
      </c>
      <c r="B727" s="16" t="str">
        <f t="shared" si="53"/>
        <v>MAA DURGA STONE CRUSHING COMPANY</v>
      </c>
      <c r="C727" s="16" t="str">
        <f t="shared" si="54"/>
        <v>CHADWAS(Chadwas/Bidasar/Sujangarh)</v>
      </c>
      <c r="D727" s="4" t="s">
        <v>3034</v>
      </c>
      <c r="E727" s="4" t="s">
        <v>3119</v>
      </c>
      <c r="F727" s="5">
        <v>46021.999664351853</v>
      </c>
      <c r="G727" s="16" t="str">
        <f t="shared" si="55"/>
        <v>MasonaryStone (Gitti)</v>
      </c>
      <c r="H727" s="4" t="s">
        <v>2541</v>
      </c>
      <c r="I727" s="18" t="str" cm="1">
        <f t="array" ref="I727">_xlfn.LET(_xlpm.text, D727,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7" s="18" t="str" cm="1">
        <f t="array" ref="J727">_xlfn.LET(_xlpm.text, E727,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7" s="14">
        <f t="shared" si="56"/>
        <v>46022</v>
      </c>
      <c r="L727" s="14">
        <f t="shared" si="57"/>
        <v>46022.624664351853</v>
      </c>
      <c r="N727" s="12"/>
    </row>
    <row r="728" spans="1:14" x14ac:dyDescent="0.25">
      <c r="A728" s="4" t="s">
        <v>757</v>
      </c>
      <c r="B728" s="16" t="str">
        <f t="shared" si="53"/>
        <v>MAA DURGA STONE CRUSHING COMPANY</v>
      </c>
      <c r="C728" s="16" t="str">
        <f t="shared" si="54"/>
        <v>CHADWAS(Chadwas/Bidasar/Sujangarh)</v>
      </c>
      <c r="D728" s="4" t="s">
        <v>3034</v>
      </c>
      <c r="E728" s="4" t="s">
        <v>3119</v>
      </c>
      <c r="F728" s="5">
        <v>46021.999664351853</v>
      </c>
      <c r="G728" s="16" t="str">
        <f t="shared" si="55"/>
        <v>MasonaryStone (Gitti)</v>
      </c>
      <c r="H728" s="4" t="s">
        <v>2542</v>
      </c>
      <c r="I728" s="18" t="str" cm="1">
        <f t="array" ref="I728">_xlfn.LET(_xlpm.text, D728,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8" s="18" t="str" cm="1">
        <f t="array" ref="J728">_xlfn.LET(_xlpm.text, E728,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8" s="14">
        <f t="shared" si="56"/>
        <v>46022</v>
      </c>
      <c r="L728" s="14">
        <f t="shared" si="57"/>
        <v>46022.624664351853</v>
      </c>
      <c r="N728" s="12"/>
    </row>
    <row r="729" spans="1:14" x14ac:dyDescent="0.25">
      <c r="A729" s="4" t="s">
        <v>758</v>
      </c>
      <c r="B729" s="16" t="str">
        <f t="shared" si="53"/>
        <v>MAA DURGA STONE CRUSHING COMPANY</v>
      </c>
      <c r="C729" s="16" t="str">
        <f t="shared" si="54"/>
        <v>CHADWAS(Chadwas/Bidasar/Sujangarh)</v>
      </c>
      <c r="D729" s="4" t="s">
        <v>3034</v>
      </c>
      <c r="E729" s="4" t="s">
        <v>3119</v>
      </c>
      <c r="F729" s="5">
        <v>46021.999664351853</v>
      </c>
      <c r="G729" s="16" t="str">
        <f t="shared" si="55"/>
        <v>MasonaryStone (Gitti)</v>
      </c>
      <c r="H729" s="4" t="s">
        <v>427</v>
      </c>
      <c r="I729" s="18" t="str" cm="1">
        <f t="array" ref="I729">_xlfn.LET(_xlpm.text, D729,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29" s="18" t="str" cm="1">
        <f t="array" ref="J729">_xlfn.LET(_xlpm.text, E729,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29" s="14">
        <f t="shared" si="56"/>
        <v>46022</v>
      </c>
      <c r="L729" s="14">
        <f t="shared" si="57"/>
        <v>46022.624664351853</v>
      </c>
      <c r="N729" s="12"/>
    </row>
    <row r="730" spans="1:14" x14ac:dyDescent="0.25">
      <c r="A730" s="4" t="s">
        <v>759</v>
      </c>
      <c r="B730" s="16" t="str">
        <f t="shared" si="53"/>
        <v>MAA DURGA STONE CRUSHING COMPANY</v>
      </c>
      <c r="C730" s="16" t="str">
        <f t="shared" si="54"/>
        <v>CHADWAS(Chadwas/Bidasar/Sujangarh)</v>
      </c>
      <c r="D730" s="4" t="s">
        <v>3034</v>
      </c>
      <c r="E730" s="4" t="s">
        <v>3119</v>
      </c>
      <c r="F730" s="5">
        <v>46020.999664351853</v>
      </c>
      <c r="G730" s="16" t="str">
        <f t="shared" si="55"/>
        <v>MasonaryStone (Gitti)</v>
      </c>
      <c r="H730" s="4" t="s">
        <v>2450</v>
      </c>
      <c r="I730" s="18" t="str" cm="1">
        <f t="array" ref="I730">_xlfn.LET(_xlpm.text, D730,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0" s="18" t="str" cm="1">
        <f t="array" ref="J730">_xlfn.LET(_xlpm.text, E730,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0" s="14">
        <f t="shared" si="56"/>
        <v>46021</v>
      </c>
      <c r="L730" s="14">
        <f t="shared" si="57"/>
        <v>46021.624664351853</v>
      </c>
      <c r="N730" s="12"/>
    </row>
    <row r="731" spans="1:14" x14ac:dyDescent="0.25">
      <c r="A731" s="4" t="s">
        <v>760</v>
      </c>
      <c r="B731" s="16" t="str">
        <f t="shared" si="53"/>
        <v>MAA DURGA STONE CRUSHING COMPANY</v>
      </c>
      <c r="C731" s="16" t="str">
        <f t="shared" si="54"/>
        <v>CHADWAS(Chadwas/Bidasar/Sujangarh)</v>
      </c>
      <c r="D731" s="4" t="s">
        <v>3034</v>
      </c>
      <c r="E731" s="4" t="s">
        <v>3119</v>
      </c>
      <c r="F731" s="5">
        <v>46016.999664351853</v>
      </c>
      <c r="G731" s="16" t="str">
        <f t="shared" si="55"/>
        <v>MasonaryStone (Gitti)</v>
      </c>
      <c r="H731" s="4" t="s">
        <v>6</v>
      </c>
      <c r="I731" s="18" t="str" cm="1">
        <f t="array" ref="I731">_xlfn.LET(_xlpm.text, D731,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1" s="18" t="str" cm="1">
        <f t="array" ref="J731">_xlfn.LET(_xlpm.text, E731,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1" s="14">
        <f t="shared" si="56"/>
        <v>46017</v>
      </c>
      <c r="L731" s="14">
        <f t="shared" si="57"/>
        <v>46017.624664351853</v>
      </c>
      <c r="N731" s="12"/>
    </row>
    <row r="732" spans="1:14" x14ac:dyDescent="0.25">
      <c r="A732" s="4" t="s">
        <v>761</v>
      </c>
      <c r="B732" s="16" t="str">
        <f t="shared" si="53"/>
        <v>MAA DURGA STONE CRUSHING COMPANY</v>
      </c>
      <c r="C732" s="16" t="str">
        <f t="shared" si="54"/>
        <v>CHADWAS(Chadwas/Bidasar/Sujangarh)</v>
      </c>
      <c r="D732" s="4" t="s">
        <v>3034</v>
      </c>
      <c r="E732" s="4" t="s">
        <v>3119</v>
      </c>
      <c r="F732" s="5">
        <v>46019.999664351853</v>
      </c>
      <c r="G732" s="16" t="str">
        <f t="shared" si="55"/>
        <v>MasonaryStone (Gitti)</v>
      </c>
      <c r="H732" s="4" t="s">
        <v>2339</v>
      </c>
      <c r="I732" s="18" t="str" cm="1">
        <f t="array" ref="I732">_xlfn.LET(_xlpm.text, D732,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2" s="18" t="str" cm="1">
        <f t="array" ref="J732">_xlfn.LET(_xlpm.text, E732,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2" s="14">
        <f t="shared" si="56"/>
        <v>46020</v>
      </c>
      <c r="L732" s="14">
        <f t="shared" si="57"/>
        <v>46020.624664351853</v>
      </c>
      <c r="N732" s="12"/>
    </row>
    <row r="733" spans="1:14" x14ac:dyDescent="0.25">
      <c r="A733" s="4" t="s">
        <v>762</v>
      </c>
      <c r="B733" s="16" t="str">
        <f t="shared" si="53"/>
        <v>MAA DURGA STONE CRUSHING COMPANY</v>
      </c>
      <c r="C733" s="16" t="str">
        <f t="shared" si="54"/>
        <v>CHADWAS(Chadwas/Bidasar/Sujangarh)</v>
      </c>
      <c r="D733" s="4" t="s">
        <v>3034</v>
      </c>
      <c r="E733" s="4" t="s">
        <v>3119</v>
      </c>
      <c r="F733" s="5">
        <v>46019.999664351853</v>
      </c>
      <c r="G733" s="16" t="str">
        <f t="shared" si="55"/>
        <v>MasonaryStone (Gitti)</v>
      </c>
      <c r="H733" s="4" t="s">
        <v>2543</v>
      </c>
      <c r="I733" s="18" t="str" cm="1">
        <f t="array" ref="I733">_xlfn.LET(_xlpm.text, D733,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3" s="18" t="str" cm="1">
        <f t="array" ref="J733">_xlfn.LET(_xlpm.text, E733,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3" s="14">
        <f t="shared" si="56"/>
        <v>46020</v>
      </c>
      <c r="L733" s="14">
        <f t="shared" si="57"/>
        <v>46020.624664351853</v>
      </c>
      <c r="N733" s="12"/>
    </row>
    <row r="734" spans="1:14" x14ac:dyDescent="0.25">
      <c r="A734" s="4" t="s">
        <v>763</v>
      </c>
      <c r="B734" s="16" t="str">
        <f t="shared" si="53"/>
        <v>MAA DURGA STONE CRUSHING COMPANY</v>
      </c>
      <c r="C734" s="16" t="str">
        <f t="shared" si="54"/>
        <v>CHADWAS(Chadwas/Bidasar/Sujangarh)</v>
      </c>
      <c r="D734" s="4" t="s">
        <v>3034</v>
      </c>
      <c r="E734" s="4" t="s">
        <v>3119</v>
      </c>
      <c r="F734" s="5">
        <v>46018.999664351853</v>
      </c>
      <c r="G734" s="16" t="str">
        <f t="shared" si="55"/>
        <v>MasonaryStone (Gitti)</v>
      </c>
      <c r="H734" s="4" t="s">
        <v>2544</v>
      </c>
      <c r="I734" s="18" t="str" cm="1">
        <f t="array" ref="I734">_xlfn.LET(_xlpm.text, D734,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4" s="18" t="str" cm="1">
        <f t="array" ref="J734">_xlfn.LET(_xlpm.text, E734,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4" s="14">
        <f t="shared" si="56"/>
        <v>46019</v>
      </c>
      <c r="L734" s="14">
        <f t="shared" si="57"/>
        <v>46019.624664351853</v>
      </c>
      <c r="N734" s="12"/>
    </row>
    <row r="735" spans="1:14" x14ac:dyDescent="0.25">
      <c r="A735" s="4" t="s">
        <v>764</v>
      </c>
      <c r="B735" s="16" t="str">
        <f t="shared" si="53"/>
        <v>MAA DURGA STONE CRUSHING COMPANY</v>
      </c>
      <c r="C735" s="16" t="str">
        <f t="shared" si="54"/>
        <v>CHADWAS(Chadwas/Bidasar/Sujangarh)</v>
      </c>
      <c r="D735" s="4" t="s">
        <v>3034</v>
      </c>
      <c r="E735" s="4" t="s">
        <v>3119</v>
      </c>
      <c r="F735" s="5">
        <v>46018.999664351853</v>
      </c>
      <c r="G735" s="16" t="str">
        <f t="shared" si="55"/>
        <v>MasonaryStone (Gitti)</v>
      </c>
      <c r="H735" s="4" t="s">
        <v>2545</v>
      </c>
      <c r="I735" s="18" t="str" cm="1">
        <f t="array" ref="I735">_xlfn.LET(_xlpm.text, D735,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5" s="18" t="str" cm="1">
        <f t="array" ref="J735">_xlfn.LET(_xlpm.text, E735,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5" s="14">
        <f t="shared" si="56"/>
        <v>46019</v>
      </c>
      <c r="L735" s="14">
        <f t="shared" si="57"/>
        <v>46019.624664351853</v>
      </c>
      <c r="N735" s="12"/>
    </row>
    <row r="736" spans="1:14" x14ac:dyDescent="0.25">
      <c r="A736" s="4" t="s">
        <v>765</v>
      </c>
      <c r="B736" s="16" t="str">
        <f t="shared" si="53"/>
        <v>MAA DURGA STONE CRUSHING COMPANY</v>
      </c>
      <c r="C736" s="16" t="str">
        <f t="shared" si="54"/>
        <v>CHADWAS(Chadwas/Bidasar/Sujangarh)</v>
      </c>
      <c r="D736" s="4" t="s">
        <v>3034</v>
      </c>
      <c r="E736" s="4" t="s">
        <v>3119</v>
      </c>
      <c r="F736" s="5">
        <v>46018.999664351853</v>
      </c>
      <c r="G736" s="16" t="str">
        <f t="shared" si="55"/>
        <v>MasonaryStone (Gitti)</v>
      </c>
      <c r="H736" s="4" t="s">
        <v>2486</v>
      </c>
      <c r="I736" s="18" t="str" cm="1">
        <f t="array" ref="I736">_xlfn.LET(_xlpm.text, D736,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6" s="18" t="str" cm="1">
        <f t="array" ref="J736">_xlfn.LET(_xlpm.text, E736,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6" s="14">
        <f t="shared" si="56"/>
        <v>46019</v>
      </c>
      <c r="L736" s="14">
        <f t="shared" si="57"/>
        <v>46019.624664351853</v>
      </c>
      <c r="N736" s="12"/>
    </row>
    <row r="737" spans="1:14" x14ac:dyDescent="0.25">
      <c r="A737" s="4" t="s">
        <v>766</v>
      </c>
      <c r="B737" s="16" t="str">
        <f t="shared" si="53"/>
        <v>MAA DURGA STONE CRUSHING COMPANY</v>
      </c>
      <c r="C737" s="16" t="str">
        <f t="shared" si="54"/>
        <v>CHADWAS(Chadwas/Bidasar/Sujangarh)</v>
      </c>
      <c r="D737" s="4" t="s">
        <v>3034</v>
      </c>
      <c r="E737" s="4" t="s">
        <v>3119</v>
      </c>
      <c r="F737" s="5">
        <v>46017.999664351853</v>
      </c>
      <c r="G737" s="16" t="str">
        <f t="shared" si="55"/>
        <v>MasonaryStone (Gitti)</v>
      </c>
      <c r="H737" s="4" t="s">
        <v>2546</v>
      </c>
      <c r="I737" s="18" t="str" cm="1">
        <f t="array" ref="I737">_xlfn.LET(_xlpm.text, D737,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7" s="18" t="str" cm="1">
        <f t="array" ref="J737">_xlfn.LET(_xlpm.text, E737,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7" s="14">
        <f t="shared" si="56"/>
        <v>46018</v>
      </c>
      <c r="L737" s="14">
        <f t="shared" si="57"/>
        <v>46018.624664351853</v>
      </c>
      <c r="N737" s="12"/>
    </row>
    <row r="738" spans="1:14" x14ac:dyDescent="0.25">
      <c r="A738" s="4" t="s">
        <v>767</v>
      </c>
      <c r="B738" s="16" t="str">
        <f t="shared" si="53"/>
        <v>MAA DURGA STONE CRUSHING COMPANY</v>
      </c>
      <c r="C738" s="16" t="str">
        <f t="shared" si="54"/>
        <v>CHADWAS(Chadwas/Bidasar/Sujangarh)</v>
      </c>
      <c r="D738" s="4" t="s">
        <v>3034</v>
      </c>
      <c r="E738" s="4" t="s">
        <v>3119</v>
      </c>
      <c r="F738" s="5">
        <v>46017.999664351853</v>
      </c>
      <c r="G738" s="16" t="str">
        <f t="shared" si="55"/>
        <v>MasonaryStone (Gitti)</v>
      </c>
      <c r="H738" s="4" t="s">
        <v>2547</v>
      </c>
      <c r="I738" s="18" t="str" cm="1">
        <f t="array" ref="I738">_xlfn.LET(_xlpm.text, D738,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8" s="18" t="str" cm="1">
        <f t="array" ref="J738">_xlfn.LET(_xlpm.text, E738,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8" s="14">
        <f t="shared" si="56"/>
        <v>46018</v>
      </c>
      <c r="L738" s="14">
        <f t="shared" si="57"/>
        <v>46018.624664351853</v>
      </c>
      <c r="N738" s="12"/>
    </row>
    <row r="739" spans="1:14" x14ac:dyDescent="0.25">
      <c r="A739" s="4" t="s">
        <v>768</v>
      </c>
      <c r="B739" s="16" t="str">
        <f t="shared" si="53"/>
        <v>MAA DURGA STONE CRUSHING COMPANY</v>
      </c>
      <c r="C739" s="16" t="str">
        <f t="shared" si="54"/>
        <v>CHADWAS(Chadwas/Bidasar/Sujangarh)</v>
      </c>
      <c r="D739" s="4" t="s">
        <v>3034</v>
      </c>
      <c r="E739" s="4" t="s">
        <v>3119</v>
      </c>
      <c r="F739" s="5">
        <v>46017.999664351853</v>
      </c>
      <c r="G739" s="16" t="str">
        <f t="shared" si="55"/>
        <v>MasonaryStone (Gitti)</v>
      </c>
      <c r="H739" s="4" t="s">
        <v>2548</v>
      </c>
      <c r="I739" s="18" t="str" cm="1">
        <f t="array" ref="I739">_xlfn.LET(_xlpm.text, D739,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39" s="18" t="str" cm="1">
        <f t="array" ref="J739">_xlfn.LET(_xlpm.text, E739,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39" s="14">
        <f t="shared" si="56"/>
        <v>46018</v>
      </c>
      <c r="L739" s="14">
        <f t="shared" si="57"/>
        <v>46018.624664351853</v>
      </c>
      <c r="N739" s="12"/>
    </row>
    <row r="740" spans="1:14" x14ac:dyDescent="0.25">
      <c r="A740" s="4" t="s">
        <v>769</v>
      </c>
      <c r="B740" s="16" t="str">
        <f t="shared" si="53"/>
        <v>MAA DURGA STONE CRUSHING COMPANY</v>
      </c>
      <c r="C740" s="16" t="str">
        <f t="shared" si="54"/>
        <v>CHADWAS(Chadwas/Bidasar/Sujangarh)</v>
      </c>
      <c r="D740" s="4" t="s">
        <v>3034</v>
      </c>
      <c r="E740" s="4" t="s">
        <v>3119</v>
      </c>
      <c r="F740" s="5">
        <v>46017.999664351853</v>
      </c>
      <c r="G740" s="16" t="str">
        <f t="shared" si="55"/>
        <v>MasonaryStone (Gitti)</v>
      </c>
      <c r="H740" s="4" t="s">
        <v>2261</v>
      </c>
      <c r="I740" s="18" t="str" cm="1">
        <f t="array" ref="I740">_xlfn.LET(_xlpm.text, D740,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0" s="18" t="str" cm="1">
        <f t="array" ref="J740">_xlfn.LET(_xlpm.text, E740,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0" s="14">
        <f t="shared" si="56"/>
        <v>46018</v>
      </c>
      <c r="L740" s="14">
        <f t="shared" si="57"/>
        <v>46018.624664351853</v>
      </c>
      <c r="N740" s="12"/>
    </row>
    <row r="741" spans="1:14" x14ac:dyDescent="0.25">
      <c r="A741" s="4" t="s">
        <v>770</v>
      </c>
      <c r="B741" s="16" t="str">
        <f t="shared" si="53"/>
        <v>MAA DURGA STONE CRUSHING COMPANY</v>
      </c>
      <c r="C741" s="16" t="str">
        <f t="shared" si="54"/>
        <v>CHADWAS(Chadwas/Bidasar/Sujangarh)</v>
      </c>
      <c r="D741" s="4" t="s">
        <v>3034</v>
      </c>
      <c r="E741" s="4" t="s">
        <v>3119</v>
      </c>
      <c r="F741" s="5">
        <v>46015.999664351853</v>
      </c>
      <c r="G741" s="16" t="str">
        <f t="shared" si="55"/>
        <v>MasonaryStone (Gitti)</v>
      </c>
      <c r="H741" s="4" t="s">
        <v>2451</v>
      </c>
      <c r="I741" s="18" t="str" cm="1">
        <f t="array" ref="I741">_xlfn.LET(_xlpm.text, D741,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1" s="18" t="str" cm="1">
        <f t="array" ref="J741">_xlfn.LET(_xlpm.text, E741,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1" s="14">
        <f t="shared" si="56"/>
        <v>46016</v>
      </c>
      <c r="L741" s="14">
        <f t="shared" si="57"/>
        <v>46016.624664351853</v>
      </c>
      <c r="N741" s="12"/>
    </row>
    <row r="742" spans="1:14" x14ac:dyDescent="0.25">
      <c r="A742" s="4" t="s">
        <v>771</v>
      </c>
      <c r="B742" s="16" t="str">
        <f t="shared" si="53"/>
        <v>MAA DURGA STONE CRUSHING COMPANY</v>
      </c>
      <c r="C742" s="16" t="str">
        <f t="shared" si="54"/>
        <v>CHADWAS(Chadwas/Bidasar/Sujangarh)</v>
      </c>
      <c r="D742" s="4" t="s">
        <v>3034</v>
      </c>
      <c r="E742" s="4" t="s">
        <v>3119</v>
      </c>
      <c r="F742" s="5">
        <v>46022.999664351853</v>
      </c>
      <c r="G742" s="16" t="str">
        <f t="shared" si="55"/>
        <v>MasonaryStone (Gitti)</v>
      </c>
      <c r="H742" s="4" t="s">
        <v>2549</v>
      </c>
      <c r="I742" s="18" t="str" cm="1">
        <f t="array" ref="I742">_xlfn.LET(_xlpm.text, D742,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2" s="18" t="str" cm="1">
        <f t="array" ref="J742">_xlfn.LET(_xlpm.text, E742,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2" s="14">
        <f t="shared" si="56"/>
        <v>46023</v>
      </c>
      <c r="L742" s="14">
        <f t="shared" si="57"/>
        <v>46023.624664351853</v>
      </c>
      <c r="N742" s="12"/>
    </row>
    <row r="743" spans="1:14" x14ac:dyDescent="0.25">
      <c r="A743" s="4" t="s">
        <v>772</v>
      </c>
      <c r="B743" s="16" t="str">
        <f t="shared" si="53"/>
        <v>MAA DURGA STONE CRUSHING COMPANY</v>
      </c>
      <c r="C743" s="16" t="str">
        <f t="shared" si="54"/>
        <v>CHADWAS(Chadwas/Bidasar/Sujangarh)</v>
      </c>
      <c r="D743" s="4" t="s">
        <v>3034</v>
      </c>
      <c r="E743" s="4" t="s">
        <v>3119</v>
      </c>
      <c r="F743" s="5">
        <v>46011.999664351853</v>
      </c>
      <c r="G743" s="16" t="str">
        <f t="shared" si="55"/>
        <v>MasonaryStone (Gitti)</v>
      </c>
      <c r="H743" s="4" t="s">
        <v>2550</v>
      </c>
      <c r="I743" s="18" t="str" cm="1">
        <f t="array" ref="I743">_xlfn.LET(_xlpm.text, D743,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3" s="18" t="str" cm="1">
        <f t="array" ref="J743">_xlfn.LET(_xlpm.text, E743,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3" s="14">
        <f t="shared" si="56"/>
        <v>46012</v>
      </c>
      <c r="L743" s="14">
        <f t="shared" si="57"/>
        <v>46012.624664351853</v>
      </c>
      <c r="N743" s="12"/>
    </row>
    <row r="744" spans="1:14" x14ac:dyDescent="0.25">
      <c r="A744" s="4" t="s">
        <v>773</v>
      </c>
      <c r="B744" s="16" t="str">
        <f t="shared" si="53"/>
        <v>MAA DURGA STONE CRUSHING COMPANY</v>
      </c>
      <c r="C744" s="16" t="str">
        <f t="shared" si="54"/>
        <v>CHADWAS(Chadwas/Bidasar/Sujangarh)</v>
      </c>
      <c r="D744" s="4" t="s">
        <v>3034</v>
      </c>
      <c r="E744" s="4" t="s">
        <v>3119</v>
      </c>
      <c r="F744" s="5">
        <v>46013.999664351853</v>
      </c>
      <c r="G744" s="16" t="str">
        <f t="shared" si="55"/>
        <v>MasonaryStone (Gitti)</v>
      </c>
      <c r="H744" s="4" t="s">
        <v>2551</v>
      </c>
      <c r="I744" s="18" t="str" cm="1">
        <f t="array" ref="I744">_xlfn.LET(_xlpm.text, D744,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4" s="18" t="str" cm="1">
        <f t="array" ref="J744">_xlfn.LET(_xlpm.text, E744,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4" s="14">
        <f t="shared" si="56"/>
        <v>46014</v>
      </c>
      <c r="L744" s="14">
        <f t="shared" si="57"/>
        <v>46014.624664351853</v>
      </c>
      <c r="N744" s="12"/>
    </row>
    <row r="745" spans="1:14" x14ac:dyDescent="0.25">
      <c r="A745" s="4" t="s">
        <v>774</v>
      </c>
      <c r="B745" s="16" t="str">
        <f t="shared" si="53"/>
        <v>MAA DURGA STONE CRUSHING COMPANY</v>
      </c>
      <c r="C745" s="16" t="str">
        <f t="shared" si="54"/>
        <v>CHADWAS(Chadwas/Bidasar/Sujangarh)</v>
      </c>
      <c r="D745" s="4" t="s">
        <v>3034</v>
      </c>
      <c r="E745" s="4" t="s">
        <v>3119</v>
      </c>
      <c r="F745" s="5">
        <v>46013.999664351853</v>
      </c>
      <c r="G745" s="16" t="str">
        <f t="shared" si="55"/>
        <v>MasonaryStone (Gitti)</v>
      </c>
      <c r="H745" s="4" t="s">
        <v>2552</v>
      </c>
      <c r="I745" s="18" t="str" cm="1">
        <f t="array" ref="I745">_xlfn.LET(_xlpm.text, D745,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5" s="18" t="str" cm="1">
        <f t="array" ref="J745">_xlfn.LET(_xlpm.text, E745,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5" s="14">
        <f t="shared" si="56"/>
        <v>46014</v>
      </c>
      <c r="L745" s="14">
        <f t="shared" si="57"/>
        <v>46014.624664351853</v>
      </c>
      <c r="N745" s="12"/>
    </row>
    <row r="746" spans="1:14" x14ac:dyDescent="0.25">
      <c r="A746" s="4" t="s">
        <v>775</v>
      </c>
      <c r="B746" s="16" t="str">
        <f t="shared" si="53"/>
        <v>MAA DURGA STONE CRUSHING COMPANY</v>
      </c>
      <c r="C746" s="16" t="str">
        <f t="shared" si="54"/>
        <v>CHADWAS(Chadwas/Bidasar/Sujangarh)</v>
      </c>
      <c r="D746" s="4" t="s">
        <v>3034</v>
      </c>
      <c r="E746" s="4" t="s">
        <v>3119</v>
      </c>
      <c r="F746" s="5">
        <v>46014.999664351853</v>
      </c>
      <c r="G746" s="16" t="str">
        <f t="shared" si="55"/>
        <v>MasonaryStone (Gitti)</v>
      </c>
      <c r="H746" s="4" t="s">
        <v>2553</v>
      </c>
      <c r="I746" s="18" t="str" cm="1">
        <f t="array" ref="I746">_xlfn.LET(_xlpm.text, D746,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6" s="18" t="str" cm="1">
        <f t="array" ref="J746">_xlfn.LET(_xlpm.text, E746,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6" s="14">
        <f t="shared" si="56"/>
        <v>46015</v>
      </c>
      <c r="L746" s="14">
        <f t="shared" si="57"/>
        <v>46015.624664351853</v>
      </c>
      <c r="N746" s="12"/>
    </row>
    <row r="747" spans="1:14" x14ac:dyDescent="0.25">
      <c r="A747" s="4" t="s">
        <v>776</v>
      </c>
      <c r="B747" s="16" t="str">
        <f t="shared" si="53"/>
        <v>MAA DURGA STONE CRUSHING COMPANY</v>
      </c>
      <c r="C747" s="16" t="str">
        <f t="shared" si="54"/>
        <v>CHADWAS(Chadwas/Bidasar/Sujangarh)</v>
      </c>
      <c r="D747" s="4" t="s">
        <v>3034</v>
      </c>
      <c r="E747" s="4" t="s">
        <v>3119</v>
      </c>
      <c r="F747" s="5">
        <v>46014.999664351853</v>
      </c>
      <c r="G747" s="16" t="str">
        <f t="shared" si="55"/>
        <v>MasonaryStone (Gitti)</v>
      </c>
      <c r="H747" s="4" t="s">
        <v>2554</v>
      </c>
      <c r="I747" s="18" t="str" cm="1">
        <f t="array" ref="I747">_xlfn.LET(_xlpm.text, D747,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7" s="18" t="str" cm="1">
        <f t="array" ref="J747">_xlfn.LET(_xlpm.text, E747,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7" s="14">
        <f t="shared" si="56"/>
        <v>46015</v>
      </c>
      <c r="L747" s="14">
        <f t="shared" si="57"/>
        <v>46015.624664351853</v>
      </c>
      <c r="N747" s="12"/>
    </row>
    <row r="748" spans="1:14" x14ac:dyDescent="0.25">
      <c r="A748" s="4" t="s">
        <v>777</v>
      </c>
      <c r="B748" s="16" t="str">
        <f t="shared" si="53"/>
        <v>MAA DURGA STONE CRUSHING COMPANY</v>
      </c>
      <c r="C748" s="16" t="str">
        <f t="shared" si="54"/>
        <v>CHADWAS(Chadwas/Bidasar/Sujangarh)</v>
      </c>
      <c r="D748" s="4" t="s">
        <v>3034</v>
      </c>
      <c r="E748" s="4" t="s">
        <v>3119</v>
      </c>
      <c r="F748" s="5">
        <v>46014.999664351853</v>
      </c>
      <c r="G748" s="16" t="str">
        <f t="shared" si="55"/>
        <v>MasonaryStone (Gitti)</v>
      </c>
      <c r="H748" s="4" t="s">
        <v>2555</v>
      </c>
      <c r="I748" s="18" t="str" cm="1">
        <f t="array" ref="I748">_xlfn.LET(_xlpm.text, D748,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8" s="18" t="str" cm="1">
        <f t="array" ref="J748">_xlfn.LET(_xlpm.text, E748,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8" s="14">
        <f t="shared" si="56"/>
        <v>46015</v>
      </c>
      <c r="L748" s="14">
        <f t="shared" si="57"/>
        <v>46015.624664351853</v>
      </c>
      <c r="N748" s="12"/>
    </row>
    <row r="749" spans="1:14" x14ac:dyDescent="0.25">
      <c r="A749" s="4" t="s">
        <v>778</v>
      </c>
      <c r="B749" s="16" t="str">
        <f t="shared" si="53"/>
        <v>MAA DURGA STONE CRUSHING COMPANY</v>
      </c>
      <c r="C749" s="16" t="str">
        <f t="shared" si="54"/>
        <v>CHADWAS(Chadwas/Bidasar/Sujangarh)</v>
      </c>
      <c r="D749" s="4" t="s">
        <v>3034</v>
      </c>
      <c r="E749" s="4" t="s">
        <v>3119</v>
      </c>
      <c r="F749" s="5">
        <v>46015.999664351853</v>
      </c>
      <c r="G749" s="16" t="str">
        <f t="shared" si="55"/>
        <v>MasonaryStone (Gitti)</v>
      </c>
      <c r="H749" s="4" t="s">
        <v>2556</v>
      </c>
      <c r="I749" s="18" t="str" cm="1">
        <f t="array" ref="I749">_xlfn.LET(_xlpm.text, D749,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49" s="18" t="str" cm="1">
        <f t="array" ref="J749">_xlfn.LET(_xlpm.text, E749,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49" s="14">
        <f t="shared" si="56"/>
        <v>46016</v>
      </c>
      <c r="L749" s="14">
        <f t="shared" si="57"/>
        <v>46016.624664351853</v>
      </c>
      <c r="N749" s="12"/>
    </row>
    <row r="750" spans="1:14" x14ac:dyDescent="0.25">
      <c r="A750" s="4" t="s">
        <v>779</v>
      </c>
      <c r="B750" s="16" t="str">
        <f t="shared" si="53"/>
        <v>MAA DURGA STONE CRUSHING COMPANY</v>
      </c>
      <c r="C750" s="16" t="str">
        <f t="shared" si="54"/>
        <v>CHADWAS(Chadwas/Bidasar/Sujangarh)</v>
      </c>
      <c r="D750" s="4" t="s">
        <v>3034</v>
      </c>
      <c r="E750" s="4" t="s">
        <v>3119</v>
      </c>
      <c r="F750" s="5">
        <v>46016.999664351853</v>
      </c>
      <c r="G750" s="16" t="str">
        <f t="shared" si="55"/>
        <v>MasonaryStone (Gitti)</v>
      </c>
      <c r="H750" s="4" t="s">
        <v>2557</v>
      </c>
      <c r="I750" s="18" t="str" cm="1">
        <f t="array" ref="I750">_xlfn.LET(_xlpm.text, D750,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0" s="18" t="str" cm="1">
        <f t="array" ref="J750">_xlfn.LET(_xlpm.text, E750,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0" s="14">
        <f t="shared" si="56"/>
        <v>46017</v>
      </c>
      <c r="L750" s="14">
        <f t="shared" si="57"/>
        <v>46017.624664351853</v>
      </c>
      <c r="N750" s="12"/>
    </row>
    <row r="751" spans="1:14" x14ac:dyDescent="0.25">
      <c r="A751" s="4" t="s">
        <v>780</v>
      </c>
      <c r="B751" s="16" t="str">
        <f t="shared" si="53"/>
        <v>MAA DURGA STONE CRUSHING COMPANY</v>
      </c>
      <c r="C751" s="16" t="str">
        <f t="shared" si="54"/>
        <v>CHADWAS(Chadwas/Bidasar/Sujangarh)</v>
      </c>
      <c r="D751" s="4" t="s">
        <v>3034</v>
      </c>
      <c r="E751" s="4" t="s">
        <v>3119</v>
      </c>
      <c r="F751" s="5">
        <v>46033.999664351853</v>
      </c>
      <c r="G751" s="16" t="str">
        <f t="shared" si="55"/>
        <v>MasonaryStone (Gitti)</v>
      </c>
      <c r="H751" s="4" t="s">
        <v>2558</v>
      </c>
      <c r="I751" s="18" t="str" cm="1">
        <f t="array" ref="I751">_xlfn.LET(_xlpm.text, D751,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1" s="18" t="str" cm="1">
        <f t="array" ref="J751">_xlfn.LET(_xlpm.text, E751,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1" s="14">
        <f t="shared" si="56"/>
        <v>46034</v>
      </c>
      <c r="L751" s="14">
        <f t="shared" si="57"/>
        <v>46034.624664351853</v>
      </c>
      <c r="N751" s="12"/>
    </row>
    <row r="752" spans="1:14" x14ac:dyDescent="0.25">
      <c r="A752" s="4" t="s">
        <v>781</v>
      </c>
      <c r="B752" s="16" t="str">
        <f t="shared" si="53"/>
        <v>MAA DURGA STONE CRUSHING COMPANY</v>
      </c>
      <c r="C752" s="16" t="str">
        <f t="shared" si="54"/>
        <v>CHADWAS(Chadwas/Bidasar/Sujangarh)</v>
      </c>
      <c r="D752" s="4" t="s">
        <v>3034</v>
      </c>
      <c r="E752" s="4" t="s">
        <v>3119</v>
      </c>
      <c r="F752" s="5">
        <v>46033.999664351853</v>
      </c>
      <c r="G752" s="16" t="str">
        <f t="shared" si="55"/>
        <v>MasonaryStone (Gitti)</v>
      </c>
      <c r="H752" s="4" t="s">
        <v>2559</v>
      </c>
      <c r="I752" s="18" t="str" cm="1">
        <f t="array" ref="I752">_xlfn.LET(_xlpm.text, D752,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2" s="18" t="str" cm="1">
        <f t="array" ref="J752">_xlfn.LET(_xlpm.text, E752,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2" s="14">
        <f t="shared" si="56"/>
        <v>46034</v>
      </c>
      <c r="L752" s="14">
        <f t="shared" si="57"/>
        <v>46034.624664351853</v>
      </c>
      <c r="N752" s="12"/>
    </row>
    <row r="753" spans="1:14" x14ac:dyDescent="0.25">
      <c r="A753" s="4" t="s">
        <v>782</v>
      </c>
      <c r="B753" s="16" t="str">
        <f t="shared" si="53"/>
        <v>MAA DURGA STONE CRUSHING COMPANY</v>
      </c>
      <c r="C753" s="16" t="str">
        <f t="shared" si="54"/>
        <v>CHADWAS(Chadwas/Bidasar/Sujangarh)</v>
      </c>
      <c r="D753" s="4" t="s">
        <v>3034</v>
      </c>
      <c r="E753" s="4" t="s">
        <v>3119</v>
      </c>
      <c r="F753" s="5">
        <v>46033.999664351853</v>
      </c>
      <c r="G753" s="16" t="str">
        <f t="shared" si="55"/>
        <v>MasonaryStone (Gitti)</v>
      </c>
      <c r="H753" s="4" t="s">
        <v>2560</v>
      </c>
      <c r="I753" s="18" t="str" cm="1">
        <f t="array" ref="I753">_xlfn.LET(_xlpm.text, D753,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3" s="18" t="str" cm="1">
        <f t="array" ref="J753">_xlfn.LET(_xlpm.text, E753,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3" s="14">
        <f t="shared" si="56"/>
        <v>46034</v>
      </c>
      <c r="L753" s="14">
        <f t="shared" si="57"/>
        <v>46034.624664351853</v>
      </c>
      <c r="N753" s="12"/>
    </row>
    <row r="754" spans="1:14" x14ac:dyDescent="0.25">
      <c r="A754" s="4" t="s">
        <v>783</v>
      </c>
      <c r="B754" s="16" t="str">
        <f t="shared" si="53"/>
        <v>MAA DURGA STONE CRUSHING COMPANY</v>
      </c>
      <c r="C754" s="16" t="str">
        <f t="shared" si="54"/>
        <v>CHADWAS(Chadwas/Bidasar/Sujangarh)</v>
      </c>
      <c r="D754" s="4" t="s">
        <v>3034</v>
      </c>
      <c r="E754" s="4" t="s">
        <v>3119</v>
      </c>
      <c r="F754" s="5">
        <v>46033.999664351853</v>
      </c>
      <c r="G754" s="16" t="str">
        <f t="shared" si="55"/>
        <v>MasonaryStone (Gitti)</v>
      </c>
      <c r="H754" s="4" t="s">
        <v>2561</v>
      </c>
      <c r="I754" s="18" t="str" cm="1">
        <f t="array" ref="I754">_xlfn.LET(_xlpm.text, D754,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4" s="18" t="str" cm="1">
        <f t="array" ref="J754">_xlfn.LET(_xlpm.text, E754,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4" s="14">
        <f t="shared" si="56"/>
        <v>46034</v>
      </c>
      <c r="L754" s="14">
        <f t="shared" si="57"/>
        <v>46034.624664351853</v>
      </c>
      <c r="N754" s="12"/>
    </row>
    <row r="755" spans="1:14" x14ac:dyDescent="0.25">
      <c r="A755" s="4" t="s">
        <v>784</v>
      </c>
      <c r="B755" s="16" t="str">
        <f t="shared" si="53"/>
        <v>MAA DURGA STONE CRUSHING COMPANY</v>
      </c>
      <c r="C755" s="16" t="str">
        <f t="shared" si="54"/>
        <v>CHADWAS(Chadwas/Bidasar/Sujangarh)</v>
      </c>
      <c r="D755" s="4" t="s">
        <v>3034</v>
      </c>
      <c r="E755" s="4" t="s">
        <v>3119</v>
      </c>
      <c r="F755" s="5">
        <v>46014.999664351853</v>
      </c>
      <c r="G755" s="16" t="str">
        <f t="shared" si="55"/>
        <v>MasonaryStone (Gitti)</v>
      </c>
      <c r="H755" s="4" t="s">
        <v>2562</v>
      </c>
      <c r="I755" s="18" t="str" cm="1">
        <f t="array" ref="I755">_xlfn.LET(_xlpm.text, D755,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5" s="18" t="str" cm="1">
        <f t="array" ref="J755">_xlfn.LET(_xlpm.text, E755,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5" s="14">
        <f t="shared" si="56"/>
        <v>46015</v>
      </c>
      <c r="L755" s="14">
        <f t="shared" si="57"/>
        <v>46015.624664351853</v>
      </c>
      <c r="N755" s="12"/>
    </row>
    <row r="756" spans="1:14" x14ac:dyDescent="0.25">
      <c r="A756" s="4" t="s">
        <v>785</v>
      </c>
      <c r="B756" s="16" t="str">
        <f t="shared" si="53"/>
        <v>MAA DURGA STONE CRUSHING COMPANY</v>
      </c>
      <c r="C756" s="16" t="str">
        <f t="shared" si="54"/>
        <v>CHADWAS(Chadwas/Bidasar/Sujangarh)</v>
      </c>
      <c r="D756" s="4" t="s">
        <v>3034</v>
      </c>
      <c r="E756" s="4" t="s">
        <v>3119</v>
      </c>
      <c r="F756" s="5">
        <v>46014.999664351853</v>
      </c>
      <c r="G756" s="16" t="str">
        <f t="shared" si="55"/>
        <v>MasonaryStone (Gitti)</v>
      </c>
      <c r="H756" s="4" t="s">
        <v>2563</v>
      </c>
      <c r="I756" s="18" t="str" cm="1">
        <f t="array" ref="I756">_xlfn.LET(_xlpm.text, D756,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6" s="18" t="str" cm="1">
        <f t="array" ref="J756">_xlfn.LET(_xlpm.text, E756,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6" s="14">
        <f t="shared" si="56"/>
        <v>46015</v>
      </c>
      <c r="L756" s="14">
        <f t="shared" si="57"/>
        <v>46015.624664351853</v>
      </c>
      <c r="N756" s="12"/>
    </row>
    <row r="757" spans="1:14" x14ac:dyDescent="0.25">
      <c r="A757" s="4" t="s">
        <v>786</v>
      </c>
      <c r="B757" s="16" t="str">
        <f t="shared" si="53"/>
        <v>MAA DURGA STONE CRUSHING COMPANY</v>
      </c>
      <c r="C757" s="16" t="str">
        <f t="shared" si="54"/>
        <v>CHADWAS(Chadwas/Bidasar/Sujangarh)</v>
      </c>
      <c r="D757" s="4" t="s">
        <v>3034</v>
      </c>
      <c r="E757" s="4" t="s">
        <v>3119</v>
      </c>
      <c r="F757" s="5">
        <v>46014.999664351853</v>
      </c>
      <c r="G757" s="16" t="str">
        <f t="shared" si="55"/>
        <v>MasonaryStone (Gitti)</v>
      </c>
      <c r="H757" s="4" t="s">
        <v>2564</v>
      </c>
      <c r="I757" s="18" t="str" cm="1">
        <f t="array" ref="I757">_xlfn.LET(_xlpm.text, D757,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7" s="18" t="str" cm="1">
        <f t="array" ref="J757">_xlfn.LET(_xlpm.text, E757,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7" s="14">
        <f t="shared" si="56"/>
        <v>46015</v>
      </c>
      <c r="L757" s="14">
        <f t="shared" si="57"/>
        <v>46015.624664351853</v>
      </c>
      <c r="N757" s="12"/>
    </row>
    <row r="758" spans="1:14" x14ac:dyDescent="0.25">
      <c r="A758" s="4" t="s">
        <v>787</v>
      </c>
      <c r="B758" s="16" t="str">
        <f t="shared" si="53"/>
        <v>MAA DURGA STONE CRUSHING COMPANY</v>
      </c>
      <c r="C758" s="16" t="str">
        <f t="shared" si="54"/>
        <v>CHADWAS(Chadwas/Bidasar/Sujangarh)</v>
      </c>
      <c r="D758" s="4" t="s">
        <v>3034</v>
      </c>
      <c r="E758" s="4" t="s">
        <v>3119</v>
      </c>
      <c r="F758" s="5">
        <v>46014.999664351853</v>
      </c>
      <c r="G758" s="16" t="str">
        <f t="shared" si="55"/>
        <v>MasonaryStone (Gitti)</v>
      </c>
      <c r="H758" s="4" t="s">
        <v>2565</v>
      </c>
      <c r="I758" s="18" t="str" cm="1">
        <f t="array" ref="I758">_xlfn.LET(_xlpm.text, D758,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8" s="18" t="str" cm="1">
        <f t="array" ref="J758">_xlfn.LET(_xlpm.text, E758,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8" s="14">
        <f t="shared" si="56"/>
        <v>46015</v>
      </c>
      <c r="L758" s="14">
        <f t="shared" si="57"/>
        <v>46015.624664351853</v>
      </c>
      <c r="N758" s="12"/>
    </row>
    <row r="759" spans="1:14" x14ac:dyDescent="0.25">
      <c r="A759" s="4" t="s">
        <v>788</v>
      </c>
      <c r="B759" s="16" t="str">
        <f t="shared" si="53"/>
        <v>MAA DURGA STONE CRUSHING COMPANY</v>
      </c>
      <c r="C759" s="16" t="str">
        <f t="shared" si="54"/>
        <v>CHADWAS(Chadwas/Bidasar/Sujangarh)</v>
      </c>
      <c r="D759" s="4" t="s">
        <v>3034</v>
      </c>
      <c r="E759" s="4" t="s">
        <v>3119</v>
      </c>
      <c r="F759" s="5">
        <v>46014.999664351853</v>
      </c>
      <c r="G759" s="16" t="str">
        <f t="shared" si="55"/>
        <v>MasonaryStone (Gitti)</v>
      </c>
      <c r="H759" s="4" t="s">
        <v>2566</v>
      </c>
      <c r="I759" s="18" t="str" cm="1">
        <f t="array" ref="I759">_xlfn.LET(_xlpm.text, D759,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59" s="18" t="str" cm="1">
        <f t="array" ref="J759">_xlfn.LET(_xlpm.text, E759,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59" s="14">
        <f t="shared" si="56"/>
        <v>46015</v>
      </c>
      <c r="L759" s="14">
        <f t="shared" si="57"/>
        <v>46015.624664351853</v>
      </c>
      <c r="N759" s="12"/>
    </row>
    <row r="760" spans="1:14" x14ac:dyDescent="0.25">
      <c r="A760" s="4" t="s">
        <v>789</v>
      </c>
      <c r="B760" s="16" t="str">
        <f t="shared" si="53"/>
        <v>MAA DURGA STONE CRUSHING COMPANY</v>
      </c>
      <c r="C760" s="16" t="str">
        <f t="shared" si="54"/>
        <v>CHADWAS(Chadwas/Bidasar/Sujangarh)</v>
      </c>
      <c r="D760" s="4" t="s">
        <v>3034</v>
      </c>
      <c r="E760" s="4" t="s">
        <v>3119</v>
      </c>
      <c r="F760" s="5">
        <v>46014.999664351853</v>
      </c>
      <c r="G760" s="16" t="str">
        <f t="shared" si="55"/>
        <v>MasonaryStone (Gitti)</v>
      </c>
      <c r="H760" s="4" t="s">
        <v>2567</v>
      </c>
      <c r="I760" s="18" t="str" cm="1">
        <f t="array" ref="I760">_xlfn.LET(_xlpm.text, D760,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0" s="18" t="str" cm="1">
        <f t="array" ref="J760">_xlfn.LET(_xlpm.text, E760,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0" s="14">
        <f t="shared" si="56"/>
        <v>46015</v>
      </c>
      <c r="L760" s="14">
        <f t="shared" si="57"/>
        <v>46015.624664351853</v>
      </c>
      <c r="N760" s="12"/>
    </row>
    <row r="761" spans="1:14" x14ac:dyDescent="0.25">
      <c r="A761" s="4" t="s">
        <v>790</v>
      </c>
      <c r="B761" s="16" t="str">
        <f t="shared" si="53"/>
        <v>MAA DURGA STONE CRUSHING COMPANY</v>
      </c>
      <c r="C761" s="16" t="str">
        <f t="shared" si="54"/>
        <v>CHADWAS(Chadwas/Bidasar/Sujangarh)</v>
      </c>
      <c r="D761" s="4" t="s">
        <v>3034</v>
      </c>
      <c r="E761" s="4" t="s">
        <v>3119</v>
      </c>
      <c r="F761" s="5">
        <v>46014.999664351853</v>
      </c>
      <c r="G761" s="16" t="str">
        <f t="shared" si="55"/>
        <v>MasonaryStone (Gitti)</v>
      </c>
      <c r="H761" s="4" t="s">
        <v>2568</v>
      </c>
      <c r="I761" s="18" t="str" cm="1">
        <f t="array" ref="I761">_xlfn.LET(_xlpm.text, D761,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1" s="18" t="str" cm="1">
        <f t="array" ref="J761">_xlfn.LET(_xlpm.text, E761,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1" s="14">
        <f t="shared" si="56"/>
        <v>46015</v>
      </c>
      <c r="L761" s="14">
        <f t="shared" si="57"/>
        <v>46015.624664351853</v>
      </c>
      <c r="N761" s="12"/>
    </row>
    <row r="762" spans="1:14" x14ac:dyDescent="0.25">
      <c r="A762" s="4" t="s">
        <v>791</v>
      </c>
      <c r="B762" s="16" t="str">
        <f t="shared" si="53"/>
        <v>MAA DURGA STONE CRUSHING COMPANY</v>
      </c>
      <c r="C762" s="16" t="str">
        <f t="shared" si="54"/>
        <v>CHADWAS(Chadwas/Bidasar/Sujangarh)</v>
      </c>
      <c r="D762" s="4" t="s">
        <v>3034</v>
      </c>
      <c r="E762" s="4" t="s">
        <v>3119</v>
      </c>
      <c r="F762" s="5">
        <v>46014.999664351853</v>
      </c>
      <c r="G762" s="16" t="str">
        <f t="shared" si="55"/>
        <v>MasonaryStone (Gitti)</v>
      </c>
      <c r="H762" s="4" t="s">
        <v>2569</v>
      </c>
      <c r="I762" s="18" t="str" cm="1">
        <f t="array" ref="I762">_xlfn.LET(_xlpm.text, D762,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2" s="18" t="str" cm="1">
        <f t="array" ref="J762">_xlfn.LET(_xlpm.text, E762,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2" s="14">
        <f t="shared" si="56"/>
        <v>46015</v>
      </c>
      <c r="L762" s="14">
        <f t="shared" si="57"/>
        <v>46015.624664351853</v>
      </c>
      <c r="N762" s="12"/>
    </row>
    <row r="763" spans="1:14" x14ac:dyDescent="0.25">
      <c r="A763" s="4" t="s">
        <v>792</v>
      </c>
      <c r="B763" s="16" t="str">
        <f t="shared" si="53"/>
        <v>MAA DURGA STONE CRUSHING COMPANY</v>
      </c>
      <c r="C763" s="16" t="str">
        <f t="shared" si="54"/>
        <v>CHADWAS(Chadwas/Bidasar/Sujangarh)</v>
      </c>
      <c r="D763" s="4" t="s">
        <v>3034</v>
      </c>
      <c r="E763" s="4" t="s">
        <v>3119</v>
      </c>
      <c r="F763" s="5">
        <v>46014.999664351853</v>
      </c>
      <c r="G763" s="16" t="str">
        <f t="shared" si="55"/>
        <v>MasonaryStone (Gitti)</v>
      </c>
      <c r="H763" s="4" t="s">
        <v>2570</v>
      </c>
      <c r="I763" s="18" t="str" cm="1">
        <f t="array" ref="I763">_xlfn.LET(_xlpm.text, D763,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3" s="18" t="str" cm="1">
        <f t="array" ref="J763">_xlfn.LET(_xlpm.text, E763,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3" s="14">
        <f t="shared" si="56"/>
        <v>46015</v>
      </c>
      <c r="L763" s="14">
        <f t="shared" si="57"/>
        <v>46015.624664351853</v>
      </c>
      <c r="N763" s="12"/>
    </row>
    <row r="764" spans="1:14" x14ac:dyDescent="0.25">
      <c r="A764" s="4" t="s">
        <v>793</v>
      </c>
      <c r="B764" s="16" t="str">
        <f t="shared" si="53"/>
        <v>MAA DURGA STONE CRUSHING COMPANY</v>
      </c>
      <c r="C764" s="16" t="str">
        <f t="shared" si="54"/>
        <v>CHADWAS(Chadwas/Bidasar/Sujangarh)</v>
      </c>
      <c r="D764" s="4" t="s">
        <v>3034</v>
      </c>
      <c r="E764" s="4" t="s">
        <v>3119</v>
      </c>
      <c r="F764" s="5">
        <v>46014.999664351853</v>
      </c>
      <c r="G764" s="16" t="str">
        <f t="shared" si="55"/>
        <v>MasonaryStone (Gitti)</v>
      </c>
      <c r="H764" s="4" t="s">
        <v>2571</v>
      </c>
      <c r="I764" s="18" t="str" cm="1">
        <f t="array" ref="I764">_xlfn.LET(_xlpm.text, D764,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4" s="18" t="str" cm="1">
        <f t="array" ref="J764">_xlfn.LET(_xlpm.text, E764,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4" s="14">
        <f t="shared" si="56"/>
        <v>46015</v>
      </c>
      <c r="L764" s="14">
        <f t="shared" si="57"/>
        <v>46015.624664351853</v>
      </c>
      <c r="N764" s="12"/>
    </row>
    <row r="765" spans="1:14" x14ac:dyDescent="0.25">
      <c r="A765" s="4" t="s">
        <v>794</v>
      </c>
      <c r="B765" s="16" t="str">
        <f t="shared" si="53"/>
        <v>MAA DURGA STONE CRUSHING COMPANY</v>
      </c>
      <c r="C765" s="16" t="str">
        <f t="shared" si="54"/>
        <v>CHADWAS(Chadwas/Bidasar/Sujangarh)</v>
      </c>
      <c r="D765" s="4" t="s">
        <v>3034</v>
      </c>
      <c r="E765" s="4" t="s">
        <v>3119</v>
      </c>
      <c r="F765" s="5">
        <v>46014.999664351853</v>
      </c>
      <c r="G765" s="16" t="str">
        <f t="shared" si="55"/>
        <v>MasonaryStone (Gitti)</v>
      </c>
      <c r="H765" s="4" t="s">
        <v>2572</v>
      </c>
      <c r="I765" s="18" t="str" cm="1">
        <f t="array" ref="I765">_xlfn.LET(_xlpm.text, D765,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5" s="18" t="str" cm="1">
        <f t="array" ref="J765">_xlfn.LET(_xlpm.text, E765,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5" s="14">
        <f t="shared" si="56"/>
        <v>46015</v>
      </c>
      <c r="L765" s="14">
        <f t="shared" si="57"/>
        <v>46015.624664351853</v>
      </c>
      <c r="N765" s="12"/>
    </row>
    <row r="766" spans="1:14" x14ac:dyDescent="0.25">
      <c r="A766" s="4" t="s">
        <v>795</v>
      </c>
      <c r="B766" s="16" t="str">
        <f t="shared" si="53"/>
        <v>MAA DURGA STONE CRUSHING COMPANY</v>
      </c>
      <c r="C766" s="16" t="str">
        <f t="shared" si="54"/>
        <v>CHADWAS(Chadwas/Bidasar/Sujangarh)</v>
      </c>
      <c r="D766" s="4" t="s">
        <v>3034</v>
      </c>
      <c r="E766" s="4" t="s">
        <v>3119</v>
      </c>
      <c r="F766" s="5">
        <v>46014.999664351853</v>
      </c>
      <c r="G766" s="16" t="str">
        <f t="shared" si="55"/>
        <v>MasonaryStone (Gitti)</v>
      </c>
      <c r="H766" s="4" t="s">
        <v>2573</v>
      </c>
      <c r="I766" s="18" t="str" cm="1">
        <f t="array" ref="I766">_xlfn.LET(_xlpm.text, D766,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6" s="18" t="str" cm="1">
        <f t="array" ref="J766">_xlfn.LET(_xlpm.text, E766,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6" s="14">
        <f t="shared" si="56"/>
        <v>46015</v>
      </c>
      <c r="L766" s="14">
        <f t="shared" si="57"/>
        <v>46015.624664351853</v>
      </c>
      <c r="N766" s="12"/>
    </row>
    <row r="767" spans="1:14" x14ac:dyDescent="0.25">
      <c r="A767" s="4" t="s">
        <v>796</v>
      </c>
      <c r="B767" s="16" t="str">
        <f t="shared" si="53"/>
        <v>MAA DURGA STONE CRUSHING COMPANY</v>
      </c>
      <c r="C767" s="16" t="str">
        <f t="shared" si="54"/>
        <v>CHADWAS(Chadwas/Bidasar/Sujangarh)</v>
      </c>
      <c r="D767" s="4" t="s">
        <v>3034</v>
      </c>
      <c r="E767" s="4" t="s">
        <v>3119</v>
      </c>
      <c r="F767" s="5">
        <v>46014.999664351853</v>
      </c>
      <c r="G767" s="16" t="str">
        <f t="shared" si="55"/>
        <v>MasonaryStone (Gitti)</v>
      </c>
      <c r="H767" s="4" t="s">
        <v>2574</v>
      </c>
      <c r="I767" s="18" t="str" cm="1">
        <f t="array" ref="I767">_xlfn.LET(_xlpm.text, D767,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7" s="18" t="str" cm="1">
        <f t="array" ref="J767">_xlfn.LET(_xlpm.text, E767,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7" s="14">
        <f t="shared" si="56"/>
        <v>46015</v>
      </c>
      <c r="L767" s="14">
        <f t="shared" si="57"/>
        <v>46015.624664351853</v>
      </c>
      <c r="N767" s="12"/>
    </row>
    <row r="768" spans="1:14" x14ac:dyDescent="0.25">
      <c r="A768" s="4" t="s">
        <v>797</v>
      </c>
      <c r="B768" s="16" t="str">
        <f t="shared" si="53"/>
        <v>MAA DURGA STONE CRUSHING COMPANY</v>
      </c>
      <c r="C768" s="16" t="str">
        <f t="shared" si="54"/>
        <v>CHADWAS(Chadwas/Bidasar/Sujangarh)</v>
      </c>
      <c r="D768" s="4" t="s">
        <v>3034</v>
      </c>
      <c r="E768" s="4" t="s">
        <v>3119</v>
      </c>
      <c r="F768" s="5">
        <v>46014.999664351853</v>
      </c>
      <c r="G768" s="16" t="str">
        <f t="shared" si="55"/>
        <v>MasonaryStone (Gitti)</v>
      </c>
      <c r="H768" s="4" t="s">
        <v>2574</v>
      </c>
      <c r="I768" s="18" t="str" cm="1">
        <f t="array" ref="I768">_xlfn.LET(_xlpm.text, D768,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8" s="18" t="str" cm="1">
        <f t="array" ref="J768">_xlfn.LET(_xlpm.text, E768,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8" s="14">
        <f t="shared" si="56"/>
        <v>46015</v>
      </c>
      <c r="L768" s="14">
        <f t="shared" si="57"/>
        <v>46015.624664351853</v>
      </c>
      <c r="N768" s="12"/>
    </row>
    <row r="769" spans="1:14" x14ac:dyDescent="0.25">
      <c r="A769" s="4" t="s">
        <v>798</v>
      </c>
      <c r="B769" s="16" t="str">
        <f t="shared" si="53"/>
        <v>MAA DURGA STONE CRUSHING COMPANY</v>
      </c>
      <c r="C769" s="16" t="str">
        <f t="shared" si="54"/>
        <v>CHADWAS(Chadwas/Bidasar/Sujangarh)</v>
      </c>
      <c r="D769" s="4" t="s">
        <v>3034</v>
      </c>
      <c r="E769" s="4" t="s">
        <v>3119</v>
      </c>
      <c r="F769" s="5">
        <v>46014.999664351853</v>
      </c>
      <c r="G769" s="16" t="str">
        <f t="shared" si="55"/>
        <v>MasonaryStone (Gitti)</v>
      </c>
      <c r="H769" s="4" t="s">
        <v>2575</v>
      </c>
      <c r="I769" s="18" t="str" cm="1">
        <f t="array" ref="I769">_xlfn.LET(_xlpm.text, D769,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69" s="18" t="str" cm="1">
        <f t="array" ref="J769">_xlfn.LET(_xlpm.text, E769,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69" s="14">
        <f t="shared" si="56"/>
        <v>46015</v>
      </c>
      <c r="L769" s="14">
        <f t="shared" si="57"/>
        <v>46015.624664351853</v>
      </c>
      <c r="N769" s="12"/>
    </row>
    <row r="770" spans="1:14" x14ac:dyDescent="0.25">
      <c r="A770" s="4" t="s">
        <v>799</v>
      </c>
      <c r="B770" s="16" t="str">
        <f t="shared" ref="B770:B833" si="58">VLOOKUP(LEFT($A770,4)&amp;"*",$O$3:$R$17, 2, FALSE)</f>
        <v>MAA DURGA STONE CRUSHING COMPANY</v>
      </c>
      <c r="C770" s="16" t="str">
        <f t="shared" ref="C770:C833" si="59">VLOOKUP(LEFT($A770,4)&amp;"*",$O$3:$R$17, 3, FALSE)</f>
        <v>CHADWAS(Chadwas/Bidasar/Sujangarh)</v>
      </c>
      <c r="D770" s="4" t="s">
        <v>3034</v>
      </c>
      <c r="E770" s="4" t="s">
        <v>3119</v>
      </c>
      <c r="F770" s="5">
        <v>46014.999664351853</v>
      </c>
      <c r="G770" s="16" t="str">
        <f t="shared" ref="G770:G833" si="60">VLOOKUP(LEFT($A770,4)&amp;"*",$O$3:$R$17, 4, FALSE)</f>
        <v>MasonaryStone (Gitti)</v>
      </c>
      <c r="H770" s="4" t="s">
        <v>2572</v>
      </c>
      <c r="I770" s="18" t="str" cm="1">
        <f t="array" ref="I770">_xlfn.LET(_xlpm.text, D770,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0" s="18" t="str" cm="1">
        <f t="array" ref="J770">_xlfn.LET(_xlpm.text, E770,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0" s="14">
        <f t="shared" si="56"/>
        <v>46015</v>
      </c>
      <c r="L770" s="14">
        <f t="shared" si="57"/>
        <v>46015.624664351853</v>
      </c>
      <c r="N770" s="12"/>
    </row>
    <row r="771" spans="1:14" x14ac:dyDescent="0.25">
      <c r="A771" s="4" t="s">
        <v>800</v>
      </c>
      <c r="B771" s="16" t="str">
        <f t="shared" si="58"/>
        <v>MAA DURGA STONE CRUSHING COMPANY</v>
      </c>
      <c r="C771" s="16" t="str">
        <f t="shared" si="59"/>
        <v>CHADWAS(Chadwas/Bidasar/Sujangarh)</v>
      </c>
      <c r="D771" s="4" t="s">
        <v>3034</v>
      </c>
      <c r="E771" s="4" t="s">
        <v>3119</v>
      </c>
      <c r="F771" s="5">
        <v>46014.999664351853</v>
      </c>
      <c r="G771" s="16" t="str">
        <f t="shared" si="60"/>
        <v>MasonaryStone (Gitti)</v>
      </c>
      <c r="H771" s="4" t="s">
        <v>2576</v>
      </c>
      <c r="I771" s="18" t="str" cm="1">
        <f t="array" ref="I771">_xlfn.LET(_xlpm.text, D771,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1" s="18" t="str" cm="1">
        <f t="array" ref="J771">_xlfn.LET(_xlpm.text, E771,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1" s="14">
        <f t="shared" ref="K771:K834" si="61">F771+(29/86400)</f>
        <v>46015</v>
      </c>
      <c r="L771" s="14">
        <f t="shared" ref="L771:L834" si="62">F771+(15/24)</f>
        <v>46015.624664351853</v>
      </c>
      <c r="N771" s="12"/>
    </row>
    <row r="772" spans="1:14" x14ac:dyDescent="0.25">
      <c r="A772" s="4" t="s">
        <v>801</v>
      </c>
      <c r="B772" s="16" t="str">
        <f t="shared" si="58"/>
        <v>MAA DURGA STONE CRUSHING COMPANY</v>
      </c>
      <c r="C772" s="16" t="str">
        <f t="shared" si="59"/>
        <v>CHADWAS(Chadwas/Bidasar/Sujangarh)</v>
      </c>
      <c r="D772" s="4" t="s">
        <v>3034</v>
      </c>
      <c r="E772" s="4" t="s">
        <v>3119</v>
      </c>
      <c r="F772" s="5">
        <v>46014.999664351853</v>
      </c>
      <c r="G772" s="16" t="str">
        <f t="shared" si="60"/>
        <v>MasonaryStone (Gitti)</v>
      </c>
      <c r="H772" s="4" t="s">
        <v>2577</v>
      </c>
      <c r="I772" s="18" t="str" cm="1">
        <f t="array" ref="I772">_xlfn.LET(_xlpm.text, D772,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2" s="18" t="str" cm="1">
        <f t="array" ref="J772">_xlfn.LET(_xlpm.text, E772,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2" s="14">
        <f t="shared" si="61"/>
        <v>46015</v>
      </c>
      <c r="L772" s="14">
        <f t="shared" si="62"/>
        <v>46015.624664351853</v>
      </c>
      <c r="N772" s="12"/>
    </row>
    <row r="773" spans="1:14" x14ac:dyDescent="0.25">
      <c r="A773" s="4" t="s">
        <v>802</v>
      </c>
      <c r="B773" s="16" t="str">
        <f t="shared" si="58"/>
        <v>MAA DURGA STONE CRUSHING COMPANY</v>
      </c>
      <c r="C773" s="16" t="str">
        <f t="shared" si="59"/>
        <v>CHADWAS(Chadwas/Bidasar/Sujangarh)</v>
      </c>
      <c r="D773" s="4" t="s">
        <v>3034</v>
      </c>
      <c r="E773" s="4" t="s">
        <v>3119</v>
      </c>
      <c r="F773" s="5">
        <v>46014.999664351853</v>
      </c>
      <c r="G773" s="16" t="str">
        <f t="shared" si="60"/>
        <v>MasonaryStone (Gitti)</v>
      </c>
      <c r="H773" s="4" t="s">
        <v>2576</v>
      </c>
      <c r="I773" s="18" t="str" cm="1">
        <f t="array" ref="I773">_xlfn.LET(_xlpm.text, D773,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3" s="18" t="str" cm="1">
        <f t="array" ref="J773">_xlfn.LET(_xlpm.text, E773,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3" s="14">
        <f t="shared" si="61"/>
        <v>46015</v>
      </c>
      <c r="L773" s="14">
        <f t="shared" si="62"/>
        <v>46015.624664351853</v>
      </c>
      <c r="N773" s="12"/>
    </row>
    <row r="774" spans="1:14" x14ac:dyDescent="0.25">
      <c r="A774" s="4" t="s">
        <v>803</v>
      </c>
      <c r="B774" s="16" t="str">
        <f t="shared" si="58"/>
        <v>MAA DURGA STONE CRUSHING COMPANY</v>
      </c>
      <c r="C774" s="16" t="str">
        <f t="shared" si="59"/>
        <v>CHADWAS(Chadwas/Bidasar/Sujangarh)</v>
      </c>
      <c r="D774" s="4" t="s">
        <v>3034</v>
      </c>
      <c r="E774" s="4" t="s">
        <v>3119</v>
      </c>
      <c r="F774" s="5">
        <v>46014.999664351853</v>
      </c>
      <c r="G774" s="16" t="str">
        <f t="shared" si="60"/>
        <v>MasonaryStone (Gitti)</v>
      </c>
      <c r="H774" s="4" t="s">
        <v>2578</v>
      </c>
      <c r="I774" s="18" t="str" cm="1">
        <f t="array" ref="I774">_xlfn.LET(_xlpm.text, D774,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4" s="18" t="str" cm="1">
        <f t="array" ref="J774">_xlfn.LET(_xlpm.text, E774,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4" s="14">
        <f t="shared" si="61"/>
        <v>46015</v>
      </c>
      <c r="L774" s="14">
        <f t="shared" si="62"/>
        <v>46015.624664351853</v>
      </c>
      <c r="N774" s="12"/>
    </row>
    <row r="775" spans="1:14" x14ac:dyDescent="0.25">
      <c r="A775" s="4" t="s">
        <v>804</v>
      </c>
      <c r="B775" s="16" t="str">
        <f t="shared" si="58"/>
        <v>MAA DURGA STONE CRUSHING COMPANY</v>
      </c>
      <c r="C775" s="16" t="str">
        <f t="shared" si="59"/>
        <v>CHADWAS(Chadwas/Bidasar/Sujangarh)</v>
      </c>
      <c r="D775" s="4" t="s">
        <v>3034</v>
      </c>
      <c r="E775" s="4" t="s">
        <v>3119</v>
      </c>
      <c r="F775" s="5">
        <v>46014.999664351853</v>
      </c>
      <c r="G775" s="16" t="str">
        <f t="shared" si="60"/>
        <v>MasonaryStone (Gitti)</v>
      </c>
      <c r="H775" s="4" t="s">
        <v>2576</v>
      </c>
      <c r="I775" s="18" t="str" cm="1">
        <f t="array" ref="I775">_xlfn.LET(_xlpm.text, D775,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5" s="18" t="str" cm="1">
        <f t="array" ref="J775">_xlfn.LET(_xlpm.text, E775,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5" s="14">
        <f t="shared" si="61"/>
        <v>46015</v>
      </c>
      <c r="L775" s="14">
        <f t="shared" si="62"/>
        <v>46015.624664351853</v>
      </c>
      <c r="N775" s="12"/>
    </row>
    <row r="776" spans="1:14" x14ac:dyDescent="0.25">
      <c r="A776" s="4" t="s">
        <v>805</v>
      </c>
      <c r="B776" s="16" t="str">
        <f t="shared" si="58"/>
        <v>MAA DURGA STONE CRUSHING COMPANY</v>
      </c>
      <c r="C776" s="16" t="str">
        <f t="shared" si="59"/>
        <v>CHADWAS(Chadwas/Bidasar/Sujangarh)</v>
      </c>
      <c r="D776" s="4" t="s">
        <v>3034</v>
      </c>
      <c r="E776" s="4" t="s">
        <v>3119</v>
      </c>
      <c r="F776" s="5">
        <v>46014.999664351853</v>
      </c>
      <c r="G776" s="16" t="str">
        <f t="shared" si="60"/>
        <v>MasonaryStone (Gitti)</v>
      </c>
      <c r="H776" s="4" t="s">
        <v>2579</v>
      </c>
      <c r="I776" s="18" t="str" cm="1">
        <f t="array" ref="I776">_xlfn.LET(_xlpm.text, D776,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776" s="18" t="str" cm="1">
        <f t="array" ref="J776">_xlfn.LET(_xlpm.text, E776,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6" s="14">
        <f t="shared" si="61"/>
        <v>46015</v>
      </c>
      <c r="L776" s="14">
        <f t="shared" si="62"/>
        <v>46015.624664351853</v>
      </c>
      <c r="N776" s="12"/>
    </row>
    <row r="777" spans="1:14" x14ac:dyDescent="0.25">
      <c r="A777" s="4" t="s">
        <v>806</v>
      </c>
      <c r="B777" s="16" t="str">
        <f t="shared" si="58"/>
        <v>MAA DURGA STONE CRUSHING COMPANY</v>
      </c>
      <c r="C777" s="16" t="str">
        <f t="shared" si="59"/>
        <v>CHADWAS(Chadwas/Bidasar/Sujangarh)</v>
      </c>
      <c r="D777" s="4" t="s">
        <v>3031</v>
      </c>
      <c r="E777" s="4" t="s">
        <v>3119</v>
      </c>
      <c r="F777" s="5">
        <v>46037.999664351853</v>
      </c>
      <c r="G777" s="16" t="str">
        <f t="shared" si="60"/>
        <v>MasonaryStone (Gitti)</v>
      </c>
      <c r="H777" s="4" t="s">
        <v>2580</v>
      </c>
      <c r="I777" s="18" t="str" cm="1">
        <f t="array" ref="I777">_xlfn.LET(_xlpm.text, D777,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77" s="18" t="str" cm="1">
        <f t="array" ref="J777">_xlfn.LET(_xlpm.text, E777,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7" s="14">
        <f t="shared" si="61"/>
        <v>46038</v>
      </c>
      <c r="L777" s="14">
        <f t="shared" si="62"/>
        <v>46038.624664351853</v>
      </c>
      <c r="N777" s="12"/>
    </row>
    <row r="778" spans="1:14" x14ac:dyDescent="0.25">
      <c r="A778" s="4" t="s">
        <v>807</v>
      </c>
      <c r="B778" s="16" t="str">
        <f t="shared" si="58"/>
        <v>MAA DURGA STONE CRUSHING COMPANY</v>
      </c>
      <c r="C778" s="16" t="str">
        <f t="shared" si="59"/>
        <v>CHADWAS(Chadwas/Bidasar/Sujangarh)</v>
      </c>
      <c r="D778" s="4" t="s">
        <v>3031</v>
      </c>
      <c r="E778" s="4" t="s">
        <v>3119</v>
      </c>
      <c r="F778" s="5">
        <v>46038.999664351853</v>
      </c>
      <c r="G778" s="16" t="str">
        <f t="shared" si="60"/>
        <v>MasonaryStone (Gitti)</v>
      </c>
      <c r="H778" s="4" t="s">
        <v>2581</v>
      </c>
      <c r="I778" s="18" t="str" cm="1">
        <f t="array" ref="I778">_xlfn.LET(_xlpm.text, D778,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78" s="18" t="str" cm="1">
        <f t="array" ref="J778">_xlfn.LET(_xlpm.text, E778,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8" s="14">
        <f t="shared" si="61"/>
        <v>46039</v>
      </c>
      <c r="L778" s="14">
        <f t="shared" si="62"/>
        <v>46039.624664351853</v>
      </c>
      <c r="N778" s="12"/>
    </row>
    <row r="779" spans="1:14" x14ac:dyDescent="0.25">
      <c r="A779" s="4" t="s">
        <v>808</v>
      </c>
      <c r="B779" s="16" t="str">
        <f t="shared" si="58"/>
        <v>MAA DURGA STONE CRUSHING COMPANY</v>
      </c>
      <c r="C779" s="16" t="str">
        <f t="shared" si="59"/>
        <v>CHADWAS(Chadwas/Bidasar/Sujangarh)</v>
      </c>
      <c r="D779" s="4" t="s">
        <v>3031</v>
      </c>
      <c r="E779" s="4" t="s">
        <v>3119</v>
      </c>
      <c r="F779" s="5">
        <v>46036.999664351853</v>
      </c>
      <c r="G779" s="16" t="str">
        <f t="shared" si="60"/>
        <v>MasonaryStone (Gitti)</v>
      </c>
      <c r="H779" s="4" t="s">
        <v>2582</v>
      </c>
      <c r="I779" s="18" t="str" cm="1">
        <f t="array" ref="I779">_xlfn.LET(_xlpm.text, D779,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79" s="18" t="str" cm="1">
        <f t="array" ref="J779">_xlfn.LET(_xlpm.text, E779,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79" s="14">
        <f t="shared" si="61"/>
        <v>46037</v>
      </c>
      <c r="L779" s="14">
        <f t="shared" si="62"/>
        <v>46037.624664351853</v>
      </c>
      <c r="N779" s="12"/>
    </row>
    <row r="780" spans="1:14" x14ac:dyDescent="0.25">
      <c r="A780" s="4" t="s">
        <v>809</v>
      </c>
      <c r="B780" s="16" t="str">
        <f t="shared" si="58"/>
        <v>MAA DURGA STONE CRUSHING COMPANY</v>
      </c>
      <c r="C780" s="16" t="str">
        <f t="shared" si="59"/>
        <v>CHADWAS(Chadwas/Bidasar/Sujangarh)</v>
      </c>
      <c r="D780" s="4" t="s">
        <v>3031</v>
      </c>
      <c r="E780" s="4" t="s">
        <v>3119</v>
      </c>
      <c r="F780" s="5">
        <v>46036.999664351853</v>
      </c>
      <c r="G780" s="16" t="str">
        <f t="shared" si="60"/>
        <v>MasonaryStone (Gitti)</v>
      </c>
      <c r="H780" s="4" t="s">
        <v>2583</v>
      </c>
      <c r="I780" s="18" t="str" cm="1">
        <f t="array" ref="I780">_xlfn.LET(_xlpm.text, D780,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0" s="18" t="str" cm="1">
        <f t="array" ref="J780">_xlfn.LET(_xlpm.text, E780,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0" s="14">
        <f t="shared" si="61"/>
        <v>46037</v>
      </c>
      <c r="L780" s="14">
        <f t="shared" si="62"/>
        <v>46037.624664351853</v>
      </c>
      <c r="N780" s="12"/>
    </row>
    <row r="781" spans="1:14" x14ac:dyDescent="0.25">
      <c r="A781" s="4" t="s">
        <v>810</v>
      </c>
      <c r="B781" s="16" t="str">
        <f t="shared" si="58"/>
        <v>MAA DURGA STONE CRUSHING COMPANY</v>
      </c>
      <c r="C781" s="16" t="str">
        <f t="shared" si="59"/>
        <v>CHADWAS(Chadwas/Bidasar/Sujangarh)</v>
      </c>
      <c r="D781" s="4" t="s">
        <v>3031</v>
      </c>
      <c r="E781" s="4" t="s">
        <v>3119</v>
      </c>
      <c r="F781" s="5">
        <v>46036.999664351853</v>
      </c>
      <c r="G781" s="16" t="str">
        <f t="shared" si="60"/>
        <v>MasonaryStone (Gitti)</v>
      </c>
      <c r="H781" s="4" t="s">
        <v>2265</v>
      </c>
      <c r="I781" s="18" t="str" cm="1">
        <f t="array" ref="I781">_xlfn.LET(_xlpm.text, D781,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1" s="18" t="str" cm="1">
        <f t="array" ref="J781">_xlfn.LET(_xlpm.text, E781,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1" s="14">
        <f t="shared" si="61"/>
        <v>46037</v>
      </c>
      <c r="L781" s="14">
        <f t="shared" si="62"/>
        <v>46037.624664351853</v>
      </c>
      <c r="N781" s="12"/>
    </row>
    <row r="782" spans="1:14" x14ac:dyDescent="0.25">
      <c r="A782" s="4" t="s">
        <v>811</v>
      </c>
      <c r="B782" s="16" t="str">
        <f t="shared" si="58"/>
        <v>MAA DURGA STONE CRUSHING COMPANY</v>
      </c>
      <c r="C782" s="16" t="str">
        <f t="shared" si="59"/>
        <v>CHADWAS(Chadwas/Bidasar/Sujangarh)</v>
      </c>
      <c r="D782" s="4" t="s">
        <v>3031</v>
      </c>
      <c r="E782" s="4" t="s">
        <v>3119</v>
      </c>
      <c r="F782" s="5">
        <v>46036.999664351853</v>
      </c>
      <c r="G782" s="16" t="str">
        <f t="shared" si="60"/>
        <v>MasonaryStone (Gitti)</v>
      </c>
      <c r="H782" s="4" t="s">
        <v>2584</v>
      </c>
      <c r="I782" s="18" t="str" cm="1">
        <f t="array" ref="I782">_xlfn.LET(_xlpm.text, D782,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2" s="18" t="str" cm="1">
        <f t="array" ref="J782">_xlfn.LET(_xlpm.text, E782,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2" s="14">
        <f t="shared" si="61"/>
        <v>46037</v>
      </c>
      <c r="L782" s="14">
        <f t="shared" si="62"/>
        <v>46037.624664351853</v>
      </c>
      <c r="N782" s="12"/>
    </row>
    <row r="783" spans="1:14" x14ac:dyDescent="0.25">
      <c r="A783" s="4" t="s">
        <v>812</v>
      </c>
      <c r="B783" s="16" t="str">
        <f t="shared" si="58"/>
        <v>MAA DURGA STONE CRUSHING COMPANY</v>
      </c>
      <c r="C783" s="16" t="str">
        <f t="shared" si="59"/>
        <v>CHADWAS(Chadwas/Bidasar/Sujangarh)</v>
      </c>
      <c r="D783" s="4" t="s">
        <v>3031</v>
      </c>
      <c r="E783" s="4" t="s">
        <v>3119</v>
      </c>
      <c r="F783" s="5">
        <v>46037.999664351853</v>
      </c>
      <c r="G783" s="16" t="str">
        <f t="shared" si="60"/>
        <v>MasonaryStone (Gitti)</v>
      </c>
      <c r="H783" s="4" t="s">
        <v>415</v>
      </c>
      <c r="I783" s="18" t="str" cm="1">
        <f t="array" ref="I783">_xlfn.LET(_xlpm.text, D783,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3" s="18" t="str" cm="1">
        <f t="array" ref="J783">_xlfn.LET(_xlpm.text, E783,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3" s="14">
        <f t="shared" si="61"/>
        <v>46038</v>
      </c>
      <c r="L783" s="14">
        <f t="shared" si="62"/>
        <v>46038.624664351853</v>
      </c>
      <c r="N783" s="12"/>
    </row>
    <row r="784" spans="1:14" x14ac:dyDescent="0.25">
      <c r="A784" s="4" t="s">
        <v>813</v>
      </c>
      <c r="B784" s="16" t="str">
        <f t="shared" si="58"/>
        <v>MAA DURGA STONE CRUSHING COMPANY</v>
      </c>
      <c r="C784" s="16" t="str">
        <f t="shared" si="59"/>
        <v>CHADWAS(Chadwas/Bidasar/Sujangarh)</v>
      </c>
      <c r="D784" s="4" t="s">
        <v>3031</v>
      </c>
      <c r="E784" s="4" t="s">
        <v>3119</v>
      </c>
      <c r="F784" s="5">
        <v>46034.999664351853</v>
      </c>
      <c r="G784" s="16" t="str">
        <f t="shared" si="60"/>
        <v>MasonaryStone (Gitti)</v>
      </c>
      <c r="H784" s="4" t="s">
        <v>2315</v>
      </c>
      <c r="I784" s="18" t="str" cm="1">
        <f t="array" ref="I784">_xlfn.LET(_xlpm.text, D784,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4" s="18" t="str" cm="1">
        <f t="array" ref="J784">_xlfn.LET(_xlpm.text, E784,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4" s="14">
        <f t="shared" si="61"/>
        <v>46035</v>
      </c>
      <c r="L784" s="14">
        <f t="shared" si="62"/>
        <v>46035.624664351853</v>
      </c>
      <c r="N784" s="12"/>
    </row>
    <row r="785" spans="1:14" x14ac:dyDescent="0.25">
      <c r="A785" s="4" t="s">
        <v>814</v>
      </c>
      <c r="B785" s="16" t="str">
        <f t="shared" si="58"/>
        <v>MAA DURGA STONE CRUSHING COMPANY</v>
      </c>
      <c r="C785" s="16" t="str">
        <f t="shared" si="59"/>
        <v>CHADWAS(Chadwas/Bidasar/Sujangarh)</v>
      </c>
      <c r="D785" s="4" t="s">
        <v>3031</v>
      </c>
      <c r="E785" s="4" t="s">
        <v>3119</v>
      </c>
      <c r="F785" s="5">
        <v>46034.999664351853</v>
      </c>
      <c r="G785" s="16" t="str">
        <f t="shared" si="60"/>
        <v>MasonaryStone (Gitti)</v>
      </c>
      <c r="H785" s="4" t="s">
        <v>2585</v>
      </c>
      <c r="I785" s="18" t="str" cm="1">
        <f t="array" ref="I785">_xlfn.LET(_xlpm.text, D785,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5" s="18" t="str" cm="1">
        <f t="array" ref="J785">_xlfn.LET(_xlpm.text, E785,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5" s="14">
        <f t="shared" si="61"/>
        <v>46035</v>
      </c>
      <c r="L785" s="14">
        <f t="shared" si="62"/>
        <v>46035.624664351853</v>
      </c>
      <c r="N785" s="12"/>
    </row>
    <row r="786" spans="1:14" x14ac:dyDescent="0.25">
      <c r="A786" s="4" t="s">
        <v>815</v>
      </c>
      <c r="B786" s="16" t="str">
        <f t="shared" si="58"/>
        <v>MAA DURGA STONE CRUSHING COMPANY</v>
      </c>
      <c r="C786" s="16" t="str">
        <f t="shared" si="59"/>
        <v>CHADWAS(Chadwas/Bidasar/Sujangarh)</v>
      </c>
      <c r="D786" s="4" t="s">
        <v>3031</v>
      </c>
      <c r="E786" s="4" t="s">
        <v>3119</v>
      </c>
      <c r="F786" s="5">
        <v>46032.999664351853</v>
      </c>
      <c r="G786" s="16" t="str">
        <f t="shared" si="60"/>
        <v>MasonaryStone (Gitti)</v>
      </c>
      <c r="H786" s="4" t="s">
        <v>2586</v>
      </c>
      <c r="I786" s="18" t="str" cm="1">
        <f t="array" ref="I786">_xlfn.LET(_xlpm.text, D786,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6" s="18" t="str" cm="1">
        <f t="array" ref="J786">_xlfn.LET(_xlpm.text, E786,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6" s="14">
        <f t="shared" si="61"/>
        <v>46033</v>
      </c>
      <c r="L786" s="14">
        <f t="shared" si="62"/>
        <v>46033.624664351853</v>
      </c>
      <c r="N786" s="12"/>
    </row>
    <row r="787" spans="1:14" x14ac:dyDescent="0.25">
      <c r="A787" s="4" t="s">
        <v>816</v>
      </c>
      <c r="B787" s="16" t="str">
        <f t="shared" si="58"/>
        <v>MAA DURGA STONE CRUSHING COMPANY</v>
      </c>
      <c r="C787" s="16" t="str">
        <f t="shared" si="59"/>
        <v>CHADWAS(Chadwas/Bidasar/Sujangarh)</v>
      </c>
      <c r="D787" s="4" t="s">
        <v>3031</v>
      </c>
      <c r="E787" s="4" t="s">
        <v>3119</v>
      </c>
      <c r="F787" s="5">
        <v>46032.999664351853</v>
      </c>
      <c r="G787" s="16" t="str">
        <f t="shared" si="60"/>
        <v>MasonaryStone (Gitti)</v>
      </c>
      <c r="H787" s="4" t="s">
        <v>2521</v>
      </c>
      <c r="I787" s="18" t="str" cm="1">
        <f t="array" ref="I787">_xlfn.LET(_xlpm.text, D787,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7" s="18" t="str" cm="1">
        <f t="array" ref="J787">_xlfn.LET(_xlpm.text, E787,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7" s="14">
        <f t="shared" si="61"/>
        <v>46033</v>
      </c>
      <c r="L787" s="14">
        <f t="shared" si="62"/>
        <v>46033.624664351853</v>
      </c>
      <c r="N787" s="12"/>
    </row>
    <row r="788" spans="1:14" x14ac:dyDescent="0.25">
      <c r="A788" s="4" t="s">
        <v>817</v>
      </c>
      <c r="B788" s="16" t="str">
        <f t="shared" si="58"/>
        <v>MAA DURGA STONE CRUSHING COMPANY</v>
      </c>
      <c r="C788" s="16" t="str">
        <f t="shared" si="59"/>
        <v>CHADWAS(Chadwas/Bidasar/Sujangarh)</v>
      </c>
      <c r="D788" s="4" t="s">
        <v>3031</v>
      </c>
      <c r="E788" s="4" t="s">
        <v>3119</v>
      </c>
      <c r="F788" s="5">
        <v>46031.999664351853</v>
      </c>
      <c r="G788" s="16" t="str">
        <f t="shared" si="60"/>
        <v>MasonaryStone (Gitti)</v>
      </c>
      <c r="H788" s="4" t="s">
        <v>2587</v>
      </c>
      <c r="I788" s="18" t="str" cm="1">
        <f t="array" ref="I788">_xlfn.LET(_xlpm.text, D788,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8" s="18" t="str" cm="1">
        <f t="array" ref="J788">_xlfn.LET(_xlpm.text, E788,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8" s="14">
        <f t="shared" si="61"/>
        <v>46032</v>
      </c>
      <c r="L788" s="14">
        <f t="shared" si="62"/>
        <v>46032.624664351853</v>
      </c>
      <c r="N788" s="12"/>
    </row>
    <row r="789" spans="1:14" x14ac:dyDescent="0.25">
      <c r="A789" s="4" t="s">
        <v>818</v>
      </c>
      <c r="B789" s="16" t="str">
        <f t="shared" si="58"/>
        <v>MAA DURGA STONE CRUSHING COMPANY</v>
      </c>
      <c r="C789" s="16" t="str">
        <f t="shared" si="59"/>
        <v>CHADWAS(Chadwas/Bidasar/Sujangarh)</v>
      </c>
      <c r="D789" s="4" t="s">
        <v>3031</v>
      </c>
      <c r="E789" s="4" t="s">
        <v>3119</v>
      </c>
      <c r="F789" s="5">
        <v>46030.999664351853</v>
      </c>
      <c r="G789" s="16" t="str">
        <f t="shared" si="60"/>
        <v>MasonaryStone (Gitti)</v>
      </c>
      <c r="H789" s="4" t="s">
        <v>2474</v>
      </c>
      <c r="I789" s="18" t="str" cm="1">
        <f t="array" ref="I789">_xlfn.LET(_xlpm.text, D789,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89" s="18" t="str" cm="1">
        <f t="array" ref="J789">_xlfn.LET(_xlpm.text, E789,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89" s="14">
        <f t="shared" si="61"/>
        <v>46031</v>
      </c>
      <c r="L789" s="14">
        <f t="shared" si="62"/>
        <v>46031.624664351853</v>
      </c>
      <c r="N789" s="12"/>
    </row>
    <row r="790" spans="1:14" x14ac:dyDescent="0.25">
      <c r="A790" s="4" t="s">
        <v>819</v>
      </c>
      <c r="B790" s="16" t="str">
        <f t="shared" si="58"/>
        <v>MAA DURGA STONE CRUSHING COMPANY</v>
      </c>
      <c r="C790" s="16" t="str">
        <f t="shared" si="59"/>
        <v>CHADWAS(Chadwas/Bidasar/Sujangarh)</v>
      </c>
      <c r="D790" s="4" t="s">
        <v>3031</v>
      </c>
      <c r="E790" s="4" t="s">
        <v>3119</v>
      </c>
      <c r="F790" s="5">
        <v>46030.999664351853</v>
      </c>
      <c r="G790" s="16" t="str">
        <f t="shared" si="60"/>
        <v>MasonaryStone (Gitti)</v>
      </c>
      <c r="H790" s="4" t="s">
        <v>2588</v>
      </c>
      <c r="I790" s="18" t="str" cm="1">
        <f t="array" ref="I790">_xlfn.LET(_xlpm.text, D790,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90" s="18" t="str" cm="1">
        <f t="array" ref="J790">_xlfn.LET(_xlpm.text, E790,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0" s="14">
        <f t="shared" si="61"/>
        <v>46031</v>
      </c>
      <c r="L790" s="14">
        <f t="shared" si="62"/>
        <v>46031.624664351853</v>
      </c>
      <c r="N790" s="12"/>
    </row>
    <row r="791" spans="1:14" x14ac:dyDescent="0.25">
      <c r="A791" s="4" t="s">
        <v>820</v>
      </c>
      <c r="B791" s="16" t="str">
        <f t="shared" si="58"/>
        <v>MAA DURGA STONE CRUSHING COMPANY</v>
      </c>
      <c r="C791" s="16" t="str">
        <f t="shared" si="59"/>
        <v>CHADWAS(Chadwas/Bidasar/Sujangarh)</v>
      </c>
      <c r="D791" s="4" t="s">
        <v>3031</v>
      </c>
      <c r="E791" s="4" t="s">
        <v>3119</v>
      </c>
      <c r="F791" s="5">
        <v>46028.999664351853</v>
      </c>
      <c r="G791" s="16" t="str">
        <f t="shared" si="60"/>
        <v>MasonaryStone (Gitti)</v>
      </c>
      <c r="H791" s="4" t="s">
        <v>2482</v>
      </c>
      <c r="I791" s="18" t="str" cm="1">
        <f t="array" ref="I791">_xlfn.LET(_xlpm.text, D791,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91" s="18" t="str" cm="1">
        <f t="array" ref="J791">_xlfn.LET(_xlpm.text, E791,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1" s="14">
        <f t="shared" si="61"/>
        <v>46029</v>
      </c>
      <c r="L791" s="14">
        <f t="shared" si="62"/>
        <v>46029.624664351853</v>
      </c>
      <c r="N791" s="12"/>
    </row>
    <row r="792" spans="1:14" x14ac:dyDescent="0.25">
      <c r="A792" s="4" t="s">
        <v>821</v>
      </c>
      <c r="B792" s="16" t="str">
        <f t="shared" si="58"/>
        <v>MAA DURGA STONE CRUSHING COMPANY</v>
      </c>
      <c r="C792" s="16" t="str">
        <f t="shared" si="59"/>
        <v>CHADWAS(Chadwas/Bidasar/Sujangarh)</v>
      </c>
      <c r="D792" s="4" t="s">
        <v>3031</v>
      </c>
      <c r="E792" s="4" t="s">
        <v>3119</v>
      </c>
      <c r="F792" s="5">
        <v>46028.999664351853</v>
      </c>
      <c r="G792" s="16" t="str">
        <f t="shared" si="60"/>
        <v>MasonaryStone (Gitti)</v>
      </c>
      <c r="H792" s="4" t="s">
        <v>2589</v>
      </c>
      <c r="I792" s="18" t="str" cm="1">
        <f t="array" ref="I792">_xlfn.LET(_xlpm.text, D792,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792" s="18" t="str" cm="1">
        <f t="array" ref="J792">_xlfn.LET(_xlpm.text, E792,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2" s="14">
        <f t="shared" si="61"/>
        <v>46029</v>
      </c>
      <c r="L792" s="14">
        <f t="shared" si="62"/>
        <v>46029.624664351853</v>
      </c>
      <c r="N792" s="12"/>
    </row>
    <row r="793" spans="1:14" x14ac:dyDescent="0.25">
      <c r="A793" s="4" t="s">
        <v>822</v>
      </c>
      <c r="B793" s="16" t="str">
        <f t="shared" si="58"/>
        <v>ADWAITH AGGREGATE SOLUTIONS</v>
      </c>
      <c r="C793" s="16" t="str">
        <f t="shared" si="59"/>
        <v>KHASRA NO. 942/779 HANUMAN NAGAR (Hanuman Nagar/Nagaur/Nagaur)</v>
      </c>
      <c r="D793" s="4" t="s">
        <v>3033</v>
      </c>
      <c r="E793" s="4" t="s">
        <v>3119</v>
      </c>
      <c r="F793" s="5">
        <v>46037.999664351853</v>
      </c>
      <c r="G793" s="16" t="str">
        <f t="shared" si="60"/>
        <v>MasonaryStone (Gitti)</v>
      </c>
      <c r="H793" s="4" t="s">
        <v>2477</v>
      </c>
      <c r="I793" s="18" t="str" cm="1">
        <f t="array" ref="I793">_xlfn.LET(_xlpm.text, D793,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3" s="18" t="str" cm="1">
        <f t="array" ref="J793">_xlfn.LET(_xlpm.text, E793,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3" s="14">
        <f t="shared" si="61"/>
        <v>46038</v>
      </c>
      <c r="L793" s="14">
        <f t="shared" si="62"/>
        <v>46038.624664351853</v>
      </c>
      <c r="N793" s="12"/>
    </row>
    <row r="794" spans="1:14" x14ac:dyDescent="0.25">
      <c r="A794" s="4" t="s">
        <v>823</v>
      </c>
      <c r="B794" s="16" t="str">
        <f t="shared" si="58"/>
        <v>ADWAITH AGGREGATE SOLUTIONS</v>
      </c>
      <c r="C794" s="16" t="str">
        <f t="shared" si="59"/>
        <v>KHASRA NO. 942/779 HANUMAN NAGAR (Hanuman Nagar/Nagaur/Nagaur)</v>
      </c>
      <c r="D794" s="4" t="s">
        <v>3033</v>
      </c>
      <c r="E794" s="4" t="s">
        <v>3119</v>
      </c>
      <c r="F794" s="5">
        <v>46042.999664351853</v>
      </c>
      <c r="G794" s="16" t="str">
        <f t="shared" si="60"/>
        <v>MasonaryStone (Gitti)</v>
      </c>
      <c r="H794" s="4" t="s">
        <v>2590</v>
      </c>
      <c r="I794" s="18" t="str" cm="1">
        <f t="array" ref="I794">_xlfn.LET(_xlpm.text, D794,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4" s="18" t="str" cm="1">
        <f t="array" ref="J794">_xlfn.LET(_xlpm.text, E794,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4" s="14">
        <f t="shared" si="61"/>
        <v>46043</v>
      </c>
      <c r="L794" s="14">
        <f t="shared" si="62"/>
        <v>46043.624664351853</v>
      </c>
      <c r="N794" s="12"/>
    </row>
    <row r="795" spans="1:14" x14ac:dyDescent="0.25">
      <c r="A795" s="4" t="s">
        <v>824</v>
      </c>
      <c r="B795" s="16" t="str">
        <f t="shared" si="58"/>
        <v>ADWAITH AGGREGATE SOLUTIONS</v>
      </c>
      <c r="C795" s="16" t="str">
        <f t="shared" si="59"/>
        <v>KHASRA NO. 942/779 HANUMAN NAGAR (Hanuman Nagar/Nagaur/Nagaur)</v>
      </c>
      <c r="D795" s="4" t="s">
        <v>3033</v>
      </c>
      <c r="E795" s="4" t="s">
        <v>3119</v>
      </c>
      <c r="F795" s="5">
        <v>46037.999664351853</v>
      </c>
      <c r="G795" s="16" t="str">
        <f t="shared" si="60"/>
        <v>MasonaryStone (Gitti)</v>
      </c>
      <c r="H795" s="4" t="s">
        <v>2437</v>
      </c>
      <c r="I795" s="18" t="str" cm="1">
        <f t="array" ref="I795">_xlfn.LET(_xlpm.text, D795,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5" s="18" t="str" cm="1">
        <f t="array" ref="J795">_xlfn.LET(_xlpm.text, E795,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5" s="14">
        <f t="shared" si="61"/>
        <v>46038</v>
      </c>
      <c r="L795" s="14">
        <f t="shared" si="62"/>
        <v>46038.624664351853</v>
      </c>
      <c r="N795" s="12"/>
    </row>
    <row r="796" spans="1:14" x14ac:dyDescent="0.25">
      <c r="A796" s="4" t="s">
        <v>825</v>
      </c>
      <c r="B796" s="16" t="str">
        <f t="shared" si="58"/>
        <v>MAA DURGA STONE CRUSHING COMPANY</v>
      </c>
      <c r="C796" s="16" t="str">
        <f t="shared" si="59"/>
        <v>CHADWAS(Chadwas/Bidasar/Sujangarh)</v>
      </c>
      <c r="D796" s="4" t="s">
        <v>3033</v>
      </c>
      <c r="E796" s="4" t="s">
        <v>3119</v>
      </c>
      <c r="F796" s="5">
        <v>46037.999664351853</v>
      </c>
      <c r="G796" s="16" t="str">
        <f t="shared" si="60"/>
        <v>MasonaryStone (Gitti)</v>
      </c>
      <c r="H796" s="4" t="s">
        <v>2591</v>
      </c>
      <c r="I796" s="18" t="str" cm="1">
        <f t="array" ref="I796">_xlfn.LET(_xlpm.text, D796,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6" s="18" t="str" cm="1">
        <f t="array" ref="J796">_xlfn.LET(_xlpm.text, E796,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6" s="14">
        <f t="shared" si="61"/>
        <v>46038</v>
      </c>
      <c r="L796" s="14">
        <f t="shared" si="62"/>
        <v>46038.624664351853</v>
      </c>
      <c r="N796" s="12"/>
    </row>
    <row r="797" spans="1:14" x14ac:dyDescent="0.25">
      <c r="A797" s="4" t="s">
        <v>826</v>
      </c>
      <c r="B797" s="16" t="str">
        <f t="shared" si="58"/>
        <v>ADWAITH AGGREGATE SOLUTIONS</v>
      </c>
      <c r="C797" s="16" t="str">
        <f t="shared" si="59"/>
        <v>KHASRA NO. 942/779 HANUMAN NAGAR (Hanuman Nagar/Nagaur/Nagaur)</v>
      </c>
      <c r="D797" s="4" t="s">
        <v>3033</v>
      </c>
      <c r="E797" s="4" t="s">
        <v>3119</v>
      </c>
      <c r="F797" s="5">
        <v>46035.999664351853</v>
      </c>
      <c r="G797" s="16" t="str">
        <f t="shared" si="60"/>
        <v>MasonaryStone (Gitti)</v>
      </c>
      <c r="H797" s="4" t="s">
        <v>2282</v>
      </c>
      <c r="I797" s="18" t="str" cm="1">
        <f t="array" ref="I797">_xlfn.LET(_xlpm.text, D797,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7" s="18" t="str" cm="1">
        <f t="array" ref="J797">_xlfn.LET(_xlpm.text, E797,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7" s="14">
        <f t="shared" si="61"/>
        <v>46036</v>
      </c>
      <c r="L797" s="14">
        <f t="shared" si="62"/>
        <v>46036.624664351853</v>
      </c>
      <c r="N797" s="12"/>
    </row>
    <row r="798" spans="1:14" x14ac:dyDescent="0.25">
      <c r="A798" s="4" t="s">
        <v>827</v>
      </c>
      <c r="B798" s="16" t="str">
        <f t="shared" si="58"/>
        <v>ADWAITH AGGREGATE SOLUTIONS</v>
      </c>
      <c r="C798" s="16" t="str">
        <f t="shared" si="59"/>
        <v>KHASRA NO. 942/779 HANUMAN NAGAR (Hanuman Nagar/Nagaur/Nagaur)</v>
      </c>
      <c r="D798" s="4" t="s">
        <v>3033</v>
      </c>
      <c r="E798" s="4" t="s">
        <v>3119</v>
      </c>
      <c r="F798" s="5">
        <v>46038.999664351853</v>
      </c>
      <c r="G798" s="16" t="str">
        <f t="shared" si="60"/>
        <v>MasonaryStone (Gitti)</v>
      </c>
      <c r="H798" s="4" t="s">
        <v>2592</v>
      </c>
      <c r="I798" s="18" t="str" cm="1">
        <f t="array" ref="I798">_xlfn.LET(_xlpm.text, D798,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8" s="18" t="str" cm="1">
        <f t="array" ref="J798">_xlfn.LET(_xlpm.text, E798,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8" s="14">
        <f t="shared" si="61"/>
        <v>46039</v>
      </c>
      <c r="L798" s="14">
        <f t="shared" si="62"/>
        <v>46039.624664351853</v>
      </c>
      <c r="N798" s="12"/>
    </row>
    <row r="799" spans="1:14" x14ac:dyDescent="0.25">
      <c r="A799" s="4" t="s">
        <v>828</v>
      </c>
      <c r="B799" s="16" t="str">
        <f t="shared" si="58"/>
        <v>Jagdamba Stone Crusher</v>
      </c>
      <c r="C799" s="16" t="str">
        <f t="shared" si="59"/>
        <v>Jagdamba Stone Crusher(Kodasar Bidavtaan/Sujangarh/Churu)</v>
      </c>
      <c r="D799" s="4" t="s">
        <v>3033</v>
      </c>
      <c r="E799" s="4" t="s">
        <v>3119</v>
      </c>
      <c r="F799" s="5">
        <v>46030.999664351853</v>
      </c>
      <c r="G799" s="16" t="str">
        <f t="shared" si="60"/>
        <v>MasonaryStone (Gitti)</v>
      </c>
      <c r="H799" s="4" t="s">
        <v>2286</v>
      </c>
      <c r="I799" s="18" t="str" cm="1">
        <f t="array" ref="I799">_xlfn.LET(_xlpm.text, D799,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799" s="18" t="str" cm="1">
        <f t="array" ref="J799">_xlfn.LET(_xlpm.text, E799,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799" s="14">
        <f t="shared" si="61"/>
        <v>46031</v>
      </c>
      <c r="L799" s="14">
        <f t="shared" si="62"/>
        <v>46031.624664351853</v>
      </c>
      <c r="N799" s="12"/>
    </row>
    <row r="800" spans="1:14" x14ac:dyDescent="0.25">
      <c r="A800" s="4" t="s">
        <v>829</v>
      </c>
      <c r="B800" s="16" t="str">
        <f t="shared" si="58"/>
        <v>ADWAITH AGGREGATE SOLUTIONS</v>
      </c>
      <c r="C800" s="16" t="str">
        <f t="shared" si="59"/>
        <v>KHASRA NO. 942/779 HANUMAN NAGAR (Hanuman Nagar/Nagaur/Nagaur)</v>
      </c>
      <c r="D800" s="4" t="s">
        <v>3033</v>
      </c>
      <c r="E800" s="4" t="s">
        <v>3119</v>
      </c>
      <c r="F800" s="5">
        <v>46034.999664351853</v>
      </c>
      <c r="G800" s="16" t="str">
        <f t="shared" si="60"/>
        <v>MasonaryStone (Gitti)</v>
      </c>
      <c r="H800" s="4" t="s">
        <v>2593</v>
      </c>
      <c r="I800" s="18" t="str" cm="1">
        <f t="array" ref="I800">_xlfn.LET(_xlpm.text, D800,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0" s="18" t="str" cm="1">
        <f t="array" ref="J800">_xlfn.LET(_xlpm.text, E800,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0" s="14">
        <f t="shared" si="61"/>
        <v>46035</v>
      </c>
      <c r="L800" s="14">
        <f t="shared" si="62"/>
        <v>46035.624664351853</v>
      </c>
      <c r="N800" s="12"/>
    </row>
    <row r="801" spans="1:14" x14ac:dyDescent="0.25">
      <c r="A801" s="4" t="s">
        <v>830</v>
      </c>
      <c r="B801" s="16" t="str">
        <f t="shared" si="58"/>
        <v>Jagdamba Stone Crusher</v>
      </c>
      <c r="C801" s="16" t="str">
        <f t="shared" si="59"/>
        <v>Jagdamba Stone Crusher(Kodasar Bidavtaan/Sujangarh/Churu)</v>
      </c>
      <c r="D801" s="4" t="s">
        <v>3033</v>
      </c>
      <c r="E801" s="4" t="s">
        <v>3119</v>
      </c>
      <c r="F801" s="5">
        <v>46030.999664351853</v>
      </c>
      <c r="G801" s="16" t="str">
        <f t="shared" si="60"/>
        <v>MasonaryStone (Gitti)</v>
      </c>
      <c r="H801" s="4" t="s">
        <v>2594</v>
      </c>
      <c r="I801" s="18" t="str" cm="1">
        <f t="array" ref="I801">_xlfn.LET(_xlpm.text, D801,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1" s="18" t="str" cm="1">
        <f t="array" ref="J801">_xlfn.LET(_xlpm.text, E801,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1" s="14">
        <f t="shared" si="61"/>
        <v>46031</v>
      </c>
      <c r="L801" s="14">
        <f t="shared" si="62"/>
        <v>46031.624664351853</v>
      </c>
      <c r="N801" s="12"/>
    </row>
    <row r="802" spans="1:14" x14ac:dyDescent="0.25">
      <c r="A802" s="4" t="s">
        <v>831</v>
      </c>
      <c r="B802" s="16" t="str">
        <f t="shared" si="58"/>
        <v>ADWAITH AGGREGATE SOLUTIONS</v>
      </c>
      <c r="C802" s="16" t="str">
        <f t="shared" si="59"/>
        <v>KHASRA NO. 942/779 HANUMAN NAGAR (Hanuman Nagar/Nagaur/Nagaur)</v>
      </c>
      <c r="D802" s="4" t="s">
        <v>3033</v>
      </c>
      <c r="E802" s="4" t="s">
        <v>3119</v>
      </c>
      <c r="F802" s="5">
        <v>46034.999664351853</v>
      </c>
      <c r="G802" s="16" t="str">
        <f t="shared" si="60"/>
        <v>MasonaryStone (Gitti)</v>
      </c>
      <c r="H802" s="4" t="s">
        <v>2420</v>
      </c>
      <c r="I802" s="18" t="str" cm="1">
        <f t="array" ref="I802">_xlfn.LET(_xlpm.text, D802,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2" s="18" t="str" cm="1">
        <f t="array" ref="J802">_xlfn.LET(_xlpm.text, E802,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2" s="14">
        <f t="shared" si="61"/>
        <v>46035</v>
      </c>
      <c r="L802" s="14">
        <f t="shared" si="62"/>
        <v>46035.624664351853</v>
      </c>
      <c r="N802" s="12"/>
    </row>
    <row r="803" spans="1:14" x14ac:dyDescent="0.25">
      <c r="A803" s="4" t="s">
        <v>832</v>
      </c>
      <c r="B803" s="16" t="str">
        <f t="shared" si="58"/>
        <v>Jagdamba Stone Crusher</v>
      </c>
      <c r="C803" s="16" t="str">
        <f t="shared" si="59"/>
        <v>Jagdamba Stone Crusher(Kodasar Bidavtaan/Sujangarh/Churu)</v>
      </c>
      <c r="D803" s="4" t="s">
        <v>3033</v>
      </c>
      <c r="E803" s="4" t="s">
        <v>3119</v>
      </c>
      <c r="F803" s="5">
        <v>46030.999664351853</v>
      </c>
      <c r="G803" s="16" t="str">
        <f t="shared" si="60"/>
        <v>MasonaryStone (Gitti)</v>
      </c>
      <c r="H803" s="4" t="s">
        <v>2595</v>
      </c>
      <c r="I803" s="18" t="str" cm="1">
        <f t="array" ref="I803">_xlfn.LET(_xlpm.text, D803,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3" s="18" t="str" cm="1">
        <f t="array" ref="J803">_xlfn.LET(_xlpm.text, E803,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3" s="14">
        <f t="shared" si="61"/>
        <v>46031</v>
      </c>
      <c r="L803" s="14">
        <f t="shared" si="62"/>
        <v>46031.624664351853</v>
      </c>
      <c r="N803" s="12"/>
    </row>
    <row r="804" spans="1:14" x14ac:dyDescent="0.25">
      <c r="A804" s="4" t="s">
        <v>833</v>
      </c>
      <c r="B804" s="16" t="str">
        <f t="shared" si="58"/>
        <v>Jagdamba Stone Crusher</v>
      </c>
      <c r="C804" s="16" t="str">
        <f t="shared" si="59"/>
        <v>Jagdamba Stone Crusher(Kodasar Bidavtaan/Sujangarh/Churu)</v>
      </c>
      <c r="D804" s="4" t="s">
        <v>3033</v>
      </c>
      <c r="E804" s="4" t="s">
        <v>3119</v>
      </c>
      <c r="F804" s="5">
        <v>46030.999664351853</v>
      </c>
      <c r="G804" s="16" t="str">
        <f t="shared" si="60"/>
        <v>MasonaryStone (Gitti)</v>
      </c>
      <c r="H804" s="4" t="s">
        <v>2412</v>
      </c>
      <c r="I804" s="18" t="str" cm="1">
        <f t="array" ref="I804">_xlfn.LET(_xlpm.text, D804,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4" s="18" t="str" cm="1">
        <f t="array" ref="J804">_xlfn.LET(_xlpm.text, E804,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4" s="14">
        <f t="shared" si="61"/>
        <v>46031</v>
      </c>
      <c r="L804" s="14">
        <f t="shared" si="62"/>
        <v>46031.624664351853</v>
      </c>
      <c r="N804" s="12"/>
    </row>
    <row r="805" spans="1:14" x14ac:dyDescent="0.25">
      <c r="A805" s="4" t="s">
        <v>834</v>
      </c>
      <c r="B805" s="16" t="str">
        <f t="shared" si="58"/>
        <v>Jagdamba Stone Crusher</v>
      </c>
      <c r="C805" s="16" t="str">
        <f t="shared" si="59"/>
        <v>Jagdamba Stone Crusher(Kodasar Bidavtaan/Sujangarh/Churu)</v>
      </c>
      <c r="D805" s="4" t="s">
        <v>3033</v>
      </c>
      <c r="E805" s="4" t="s">
        <v>3119</v>
      </c>
      <c r="F805" s="5">
        <v>46030.999664351853</v>
      </c>
      <c r="G805" s="16" t="str">
        <f t="shared" si="60"/>
        <v>MasonaryStone (Gitti)</v>
      </c>
      <c r="H805" s="4" t="s">
        <v>2596</v>
      </c>
      <c r="I805" s="18" t="str" cm="1">
        <f t="array" ref="I805">_xlfn.LET(_xlpm.text, D805,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5" s="18" t="str" cm="1">
        <f t="array" ref="J805">_xlfn.LET(_xlpm.text, E805,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5" s="14">
        <f t="shared" si="61"/>
        <v>46031</v>
      </c>
      <c r="L805" s="14">
        <f t="shared" si="62"/>
        <v>46031.624664351853</v>
      </c>
      <c r="N805" s="12"/>
    </row>
    <row r="806" spans="1:14" x14ac:dyDescent="0.25">
      <c r="A806" s="4" t="s">
        <v>835</v>
      </c>
      <c r="B806" s="16" t="str">
        <f t="shared" si="58"/>
        <v>ADWAITH AGGREGATE SOLUTIONS</v>
      </c>
      <c r="C806" s="16" t="str">
        <f t="shared" si="59"/>
        <v>KHASRA NO. 942/779 HANUMAN NAGAR (Hanuman Nagar/Nagaur/Nagaur)</v>
      </c>
      <c r="D806" s="4" t="s">
        <v>3033</v>
      </c>
      <c r="E806" s="4" t="s">
        <v>3119</v>
      </c>
      <c r="F806" s="5">
        <v>46039.999664351853</v>
      </c>
      <c r="G806" s="16" t="str">
        <f t="shared" si="60"/>
        <v>MasonaryStone (Gitti)</v>
      </c>
      <c r="H806" s="4" t="s">
        <v>2597</v>
      </c>
      <c r="I806" s="18" t="str" cm="1">
        <f t="array" ref="I806">_xlfn.LET(_xlpm.text, D806,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6" s="18" t="str" cm="1">
        <f t="array" ref="J806">_xlfn.LET(_xlpm.text, E806,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6" s="14">
        <f t="shared" si="61"/>
        <v>46040</v>
      </c>
      <c r="L806" s="14">
        <f t="shared" si="62"/>
        <v>46040.624664351853</v>
      </c>
      <c r="N806" s="12"/>
    </row>
    <row r="807" spans="1:14" x14ac:dyDescent="0.25">
      <c r="A807" s="4" t="s">
        <v>836</v>
      </c>
      <c r="B807" s="16" t="str">
        <f t="shared" si="58"/>
        <v>ADWAITH AGGREGATE SOLUTIONS</v>
      </c>
      <c r="C807" s="16" t="str">
        <f t="shared" si="59"/>
        <v>KHASRA NO. 942/779 HANUMAN NAGAR (Hanuman Nagar/Nagaur/Nagaur)</v>
      </c>
      <c r="D807" s="4" t="s">
        <v>3033</v>
      </c>
      <c r="E807" s="4" t="s">
        <v>3119</v>
      </c>
      <c r="F807" s="5">
        <v>46042.999664351853</v>
      </c>
      <c r="G807" s="16" t="str">
        <f t="shared" si="60"/>
        <v>MasonaryStone (Gitti)</v>
      </c>
      <c r="H807" s="4" t="s">
        <v>2598</v>
      </c>
      <c r="I807" s="18" t="str" cm="1">
        <f t="array" ref="I807">_xlfn.LET(_xlpm.text, D807,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07" s="18" t="str" cm="1">
        <f t="array" ref="J807">_xlfn.LET(_xlpm.text, E807,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7" s="14">
        <f t="shared" si="61"/>
        <v>46043</v>
      </c>
      <c r="L807" s="14">
        <f t="shared" si="62"/>
        <v>46043.624664351853</v>
      </c>
      <c r="N807" s="12"/>
    </row>
    <row r="808" spans="1:14" x14ac:dyDescent="0.25">
      <c r="A808" s="4" t="s">
        <v>837</v>
      </c>
      <c r="B808" s="16" t="str">
        <f t="shared" si="58"/>
        <v>Jagdamba Stone Crusher</v>
      </c>
      <c r="C808" s="16" t="str">
        <f t="shared" si="59"/>
        <v>Jagdamba Stone Crusher(Kodasar Bidavtaan/Sujangarh/Churu)</v>
      </c>
      <c r="D808" s="4" t="s">
        <v>1382</v>
      </c>
      <c r="E808" s="4" t="s">
        <v>3119</v>
      </c>
      <c r="F808" s="5">
        <v>46028.999664351853</v>
      </c>
      <c r="G808" s="16" t="str">
        <f t="shared" si="60"/>
        <v>MasonaryStone (Gitti)</v>
      </c>
      <c r="H808" s="4" t="s">
        <v>2599</v>
      </c>
      <c r="I808" s="18" t="str" cm="1">
        <f t="array" ref="I808">_xlfn.LET(_xlpm.text, D808,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08" s="18" t="str" cm="1">
        <f t="array" ref="J808">_xlfn.LET(_xlpm.text, E808,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8" s="14">
        <f t="shared" si="61"/>
        <v>46029</v>
      </c>
      <c r="L808" s="14">
        <f t="shared" si="62"/>
        <v>46029.624664351853</v>
      </c>
      <c r="N808" s="12"/>
    </row>
    <row r="809" spans="1:14" x14ac:dyDescent="0.25">
      <c r="A809" s="4" t="s">
        <v>838</v>
      </c>
      <c r="B809" s="16" t="str">
        <f t="shared" si="58"/>
        <v>ADWAITH AGGREGATE SOLUTIONS</v>
      </c>
      <c r="C809" s="16" t="str">
        <f t="shared" si="59"/>
        <v>KHASRA NO. 910/801 HANUMAN NAGAR (Hanuman Nagar/Nagaur/Nagaur)</v>
      </c>
      <c r="D809" s="4" t="s">
        <v>1382</v>
      </c>
      <c r="E809" s="4" t="s">
        <v>3119</v>
      </c>
      <c r="F809" s="5">
        <v>46003.999664351853</v>
      </c>
      <c r="G809" s="16" t="str">
        <f t="shared" si="60"/>
        <v>MasonaryStone (Gitti)</v>
      </c>
      <c r="H809" s="4" t="s">
        <v>2537</v>
      </c>
      <c r="I809" s="18" t="str" cm="1">
        <f t="array" ref="I809">_xlfn.LET(_xlpm.text, D809,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09" s="18" t="str" cm="1">
        <f t="array" ref="J809">_xlfn.LET(_xlpm.text, E809,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09" s="14">
        <f t="shared" si="61"/>
        <v>46004</v>
      </c>
      <c r="L809" s="14">
        <f t="shared" si="62"/>
        <v>46004.624664351853</v>
      </c>
      <c r="N809" s="12"/>
    </row>
    <row r="810" spans="1:14" x14ac:dyDescent="0.25">
      <c r="A810" s="4" t="s">
        <v>839</v>
      </c>
      <c r="B810" s="16" t="str">
        <f t="shared" si="58"/>
        <v>Jagdamba Stone Crusher</v>
      </c>
      <c r="C810" s="16" t="str">
        <f t="shared" si="59"/>
        <v>Jagdamba Stone Crusher(Kodasar Bidavtaan/Sujangarh/Churu)</v>
      </c>
      <c r="D810" s="4" t="s">
        <v>1382</v>
      </c>
      <c r="E810" s="4" t="s">
        <v>3119</v>
      </c>
      <c r="F810" s="5">
        <v>46028.999664351853</v>
      </c>
      <c r="G810" s="16" t="str">
        <f t="shared" si="60"/>
        <v>MasonaryStone (Gitti)</v>
      </c>
      <c r="H810" s="4" t="s">
        <v>2542</v>
      </c>
      <c r="I810" s="18" t="str" cm="1">
        <f t="array" ref="I810">_xlfn.LET(_xlpm.text, D810,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0" s="18" t="str" cm="1">
        <f t="array" ref="J810">_xlfn.LET(_xlpm.text, E810,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0" s="14">
        <f t="shared" si="61"/>
        <v>46029</v>
      </c>
      <c r="L810" s="14">
        <f t="shared" si="62"/>
        <v>46029.624664351853</v>
      </c>
      <c r="N810" s="12"/>
    </row>
    <row r="811" spans="1:14" x14ac:dyDescent="0.25">
      <c r="A811" s="4" t="s">
        <v>840</v>
      </c>
      <c r="B811" s="16" t="str">
        <f t="shared" si="58"/>
        <v>Jagdamba Stone Crusher</v>
      </c>
      <c r="C811" s="16" t="str">
        <f t="shared" si="59"/>
        <v>Jagdamba Stone Crusher(Kodasar Bidavtaan/Sujangarh/Churu)</v>
      </c>
      <c r="D811" s="4" t="s">
        <v>1382</v>
      </c>
      <c r="E811" s="4" t="s">
        <v>3119</v>
      </c>
      <c r="F811" s="5">
        <v>46028.999664351853</v>
      </c>
      <c r="G811" s="16" t="str">
        <f t="shared" si="60"/>
        <v>MasonaryStone (Gitti)</v>
      </c>
      <c r="H811" s="4" t="s">
        <v>2600</v>
      </c>
      <c r="I811" s="18" t="str" cm="1">
        <f t="array" ref="I811">_xlfn.LET(_xlpm.text, D811,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1" s="18" t="str" cm="1">
        <f t="array" ref="J811">_xlfn.LET(_xlpm.text, E811,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1" s="14">
        <f t="shared" si="61"/>
        <v>46029</v>
      </c>
      <c r="L811" s="14">
        <f t="shared" si="62"/>
        <v>46029.624664351853</v>
      </c>
      <c r="N811" s="12"/>
    </row>
    <row r="812" spans="1:14" x14ac:dyDescent="0.25">
      <c r="A812" s="4" t="s">
        <v>841</v>
      </c>
      <c r="B812" s="16" t="str">
        <f t="shared" si="58"/>
        <v>M/s Sidhi Vinayak Aggregates Private Limated</v>
      </c>
      <c r="C812" s="16" t="str">
        <f t="shared" si="59"/>
        <v>Barsingo Ka Bas Lohawat()</v>
      </c>
      <c r="D812" s="4" t="s">
        <v>1382</v>
      </c>
      <c r="E812" s="4" t="s">
        <v>3119</v>
      </c>
      <c r="F812" s="5">
        <v>46027.999664351853</v>
      </c>
      <c r="G812" s="16" t="str">
        <f t="shared" si="60"/>
        <v>MasonaryStone (Gitti)</v>
      </c>
      <c r="H812" s="4" t="s">
        <v>2601</v>
      </c>
      <c r="I812" s="18" t="str" cm="1">
        <f t="array" ref="I812">_xlfn.LET(_xlpm.text, D812,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2" s="18" t="str" cm="1">
        <f t="array" ref="J812">_xlfn.LET(_xlpm.text, E812,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2" s="14">
        <f t="shared" si="61"/>
        <v>46028</v>
      </c>
      <c r="L812" s="14">
        <f t="shared" si="62"/>
        <v>46028.624664351853</v>
      </c>
      <c r="N812" s="12"/>
    </row>
    <row r="813" spans="1:14" x14ac:dyDescent="0.25">
      <c r="A813" s="4" t="s">
        <v>842</v>
      </c>
      <c r="B813" s="16" t="str">
        <f t="shared" si="58"/>
        <v>M/s Sidhi Vinayak Aggregates Private Limated</v>
      </c>
      <c r="C813" s="16" t="str">
        <f t="shared" si="59"/>
        <v>Barsingo Ka Bas Lohawat()</v>
      </c>
      <c r="D813" s="4" t="s">
        <v>1382</v>
      </c>
      <c r="E813" s="4" t="s">
        <v>3119</v>
      </c>
      <c r="F813" s="5">
        <v>46027.999664351853</v>
      </c>
      <c r="G813" s="16" t="str">
        <f t="shared" si="60"/>
        <v>MasonaryStone (Gitti)</v>
      </c>
      <c r="H813" s="4" t="s">
        <v>2602</v>
      </c>
      <c r="I813" s="18" t="str" cm="1">
        <f t="array" ref="I813">_xlfn.LET(_xlpm.text, D813,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3" s="18" t="str" cm="1">
        <f t="array" ref="J813">_xlfn.LET(_xlpm.text, E813,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3" s="14">
        <f t="shared" si="61"/>
        <v>46028</v>
      </c>
      <c r="L813" s="14">
        <f t="shared" si="62"/>
        <v>46028.624664351853</v>
      </c>
      <c r="N813" s="12"/>
    </row>
    <row r="814" spans="1:14" x14ac:dyDescent="0.25">
      <c r="A814" s="4" t="s">
        <v>843</v>
      </c>
      <c r="B814" s="16" t="str">
        <f t="shared" si="58"/>
        <v>M/s Sidhi Vinayak Aggregates Private Limated</v>
      </c>
      <c r="C814" s="16" t="str">
        <f t="shared" si="59"/>
        <v>Barsingo Ka Bas Lohawat()</v>
      </c>
      <c r="D814" s="4" t="s">
        <v>1382</v>
      </c>
      <c r="E814" s="4" t="s">
        <v>3119</v>
      </c>
      <c r="F814" s="5">
        <v>46029.999664351853</v>
      </c>
      <c r="G814" s="16" t="str">
        <f t="shared" si="60"/>
        <v>MasonaryStone (Gitti)</v>
      </c>
      <c r="H814" s="4" t="s">
        <v>2603</v>
      </c>
      <c r="I814" s="18" t="str" cm="1">
        <f t="array" ref="I814">_xlfn.LET(_xlpm.text, D814,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4" s="18" t="str" cm="1">
        <f t="array" ref="J814">_xlfn.LET(_xlpm.text, E814,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4" s="14">
        <f t="shared" si="61"/>
        <v>46030</v>
      </c>
      <c r="L814" s="14">
        <f t="shared" si="62"/>
        <v>46030.624664351853</v>
      </c>
      <c r="N814" s="12"/>
    </row>
    <row r="815" spans="1:14" x14ac:dyDescent="0.25">
      <c r="A815" s="4" t="s">
        <v>844</v>
      </c>
      <c r="B815" s="16" t="str">
        <f t="shared" si="58"/>
        <v>M/s Sidhi Vinayak Aggregates Private Limated</v>
      </c>
      <c r="C815" s="16" t="str">
        <f t="shared" si="59"/>
        <v>Barsingo Ka Bas Lohawat()</v>
      </c>
      <c r="D815" s="4" t="s">
        <v>1382</v>
      </c>
      <c r="E815" s="4" t="s">
        <v>3119</v>
      </c>
      <c r="F815" s="5">
        <v>46039.999664351853</v>
      </c>
      <c r="G815" s="16" t="str">
        <f t="shared" si="60"/>
        <v>MasonaryStone (Gitti)</v>
      </c>
      <c r="H815" s="4" t="s">
        <v>2604</v>
      </c>
      <c r="I815" s="18" t="str" cm="1">
        <f t="array" ref="I815">_xlfn.LET(_xlpm.text, D815,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5" s="18" t="str" cm="1">
        <f t="array" ref="J815">_xlfn.LET(_xlpm.text, E815,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5" s="14">
        <f t="shared" si="61"/>
        <v>46040</v>
      </c>
      <c r="L815" s="14">
        <f t="shared" si="62"/>
        <v>46040.624664351853</v>
      </c>
      <c r="N815" s="12"/>
    </row>
    <row r="816" spans="1:14" x14ac:dyDescent="0.25">
      <c r="A816" s="4" t="s">
        <v>845</v>
      </c>
      <c r="B816" s="16" t="str">
        <f t="shared" si="58"/>
        <v>M/s Sidhi Vinayak Aggregates Private Limated</v>
      </c>
      <c r="C816" s="16" t="str">
        <f t="shared" si="59"/>
        <v>Barsingo Ka Bas Lohawat()</v>
      </c>
      <c r="D816" s="4" t="s">
        <v>1382</v>
      </c>
      <c r="E816" s="4" t="s">
        <v>3119</v>
      </c>
      <c r="F816" s="5">
        <v>46044.999664351853</v>
      </c>
      <c r="G816" s="16" t="str">
        <f t="shared" si="60"/>
        <v>MasonaryStone (Gitti)</v>
      </c>
      <c r="H816" s="4" t="s">
        <v>2382</v>
      </c>
      <c r="I816" s="18" t="str" cm="1">
        <f t="array" ref="I816">_xlfn.LET(_xlpm.text, D816,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6" s="18" t="str" cm="1">
        <f t="array" ref="J816">_xlfn.LET(_xlpm.text, E816,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6" s="14">
        <f t="shared" si="61"/>
        <v>46045</v>
      </c>
      <c r="L816" s="14">
        <f t="shared" si="62"/>
        <v>46045.624664351853</v>
      </c>
      <c r="N816" s="12"/>
    </row>
    <row r="817" spans="1:14" x14ac:dyDescent="0.25">
      <c r="A817" s="4" t="s">
        <v>846</v>
      </c>
      <c r="B817" s="16" t="str">
        <f t="shared" si="58"/>
        <v>M/s Sidhi Vinayak Aggregates Private Limated</v>
      </c>
      <c r="C817" s="16" t="str">
        <f t="shared" si="59"/>
        <v>Barsingo Ka Bas Lohawat()</v>
      </c>
      <c r="D817" s="4" t="s">
        <v>1382</v>
      </c>
      <c r="E817" s="4" t="s">
        <v>3119</v>
      </c>
      <c r="F817" s="5">
        <v>46038.999664351853</v>
      </c>
      <c r="G817" s="16" t="str">
        <f t="shared" si="60"/>
        <v>MasonaryStone (Gitti)</v>
      </c>
      <c r="H817" s="4" t="s">
        <v>2499</v>
      </c>
      <c r="I817" s="18" t="str" cm="1">
        <f t="array" ref="I817">_xlfn.LET(_xlpm.text, D817,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7" s="18" t="str" cm="1">
        <f t="array" ref="J817">_xlfn.LET(_xlpm.text, E817,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7" s="14">
        <f t="shared" si="61"/>
        <v>46039</v>
      </c>
      <c r="L817" s="14">
        <f t="shared" si="62"/>
        <v>46039.624664351853</v>
      </c>
      <c r="N817" s="12"/>
    </row>
    <row r="818" spans="1:14" x14ac:dyDescent="0.25">
      <c r="A818" s="4" t="s">
        <v>847</v>
      </c>
      <c r="B818" s="16" t="str">
        <f t="shared" si="58"/>
        <v>M/s Sidhi Vinayak Aggregates Private Limated</v>
      </c>
      <c r="C818" s="16" t="str">
        <f t="shared" si="59"/>
        <v>Barsingo Ka Bas Lohawat()</v>
      </c>
      <c r="D818" s="4" t="s">
        <v>1382</v>
      </c>
      <c r="E818" s="4" t="s">
        <v>3119</v>
      </c>
      <c r="F818" s="5">
        <v>46028.999664351853</v>
      </c>
      <c r="G818" s="16" t="str">
        <f t="shared" si="60"/>
        <v>MasonaryStone (Gitti)</v>
      </c>
      <c r="H818" s="4" t="s">
        <v>2605</v>
      </c>
      <c r="I818" s="18" t="str" cm="1">
        <f t="array" ref="I818">_xlfn.LET(_xlpm.text, D818,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8" s="18" t="str" cm="1">
        <f t="array" ref="J818">_xlfn.LET(_xlpm.text, E818,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8" s="14">
        <f t="shared" si="61"/>
        <v>46029</v>
      </c>
      <c r="L818" s="14">
        <f t="shared" si="62"/>
        <v>46029.624664351853</v>
      </c>
      <c r="N818" s="12"/>
    </row>
    <row r="819" spans="1:14" x14ac:dyDescent="0.25">
      <c r="A819" s="4" t="s">
        <v>848</v>
      </c>
      <c r="B819" s="16" t="str">
        <f t="shared" si="58"/>
        <v>M/s Sidhi Vinayak Aggregates Private Limated</v>
      </c>
      <c r="C819" s="16" t="str">
        <f t="shared" si="59"/>
        <v>Barsingo Ka Bas Lohawat()</v>
      </c>
      <c r="D819" s="4" t="s">
        <v>1382</v>
      </c>
      <c r="E819" s="4" t="s">
        <v>3119</v>
      </c>
      <c r="F819" s="5">
        <v>46028.999664351853</v>
      </c>
      <c r="G819" s="16" t="str">
        <f t="shared" si="60"/>
        <v>MasonaryStone (Gitti)</v>
      </c>
      <c r="H819" s="4" t="s">
        <v>2606</v>
      </c>
      <c r="I819" s="18" t="str" cm="1">
        <f t="array" ref="I819">_xlfn.LET(_xlpm.text, D819,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19" s="18" t="str" cm="1">
        <f t="array" ref="J819">_xlfn.LET(_xlpm.text, E819,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19" s="14">
        <f t="shared" si="61"/>
        <v>46029</v>
      </c>
      <c r="L819" s="14">
        <f t="shared" si="62"/>
        <v>46029.624664351853</v>
      </c>
      <c r="N819" s="12"/>
    </row>
    <row r="820" spans="1:14" x14ac:dyDescent="0.25">
      <c r="A820" s="4" t="s">
        <v>849</v>
      </c>
      <c r="B820" s="16" t="str">
        <f t="shared" si="58"/>
        <v>M/s Sidhi Vinayak Aggregates Private Limated</v>
      </c>
      <c r="C820" s="16" t="str">
        <f t="shared" si="59"/>
        <v>Barsingo Ka Bas Lohawat()</v>
      </c>
      <c r="D820" s="4" t="s">
        <v>1382</v>
      </c>
      <c r="E820" s="4" t="s">
        <v>3119</v>
      </c>
      <c r="F820" s="5">
        <v>46028.999664351853</v>
      </c>
      <c r="G820" s="16" t="str">
        <f t="shared" si="60"/>
        <v>MasonaryStone (Gitti)</v>
      </c>
      <c r="H820" s="4" t="s">
        <v>2607</v>
      </c>
      <c r="I820" s="18" t="str" cm="1">
        <f t="array" ref="I820">_xlfn.LET(_xlpm.text, D820,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20" s="18" t="str" cm="1">
        <f t="array" ref="J820">_xlfn.LET(_xlpm.text, E820,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0" s="14">
        <f t="shared" si="61"/>
        <v>46029</v>
      </c>
      <c r="L820" s="14">
        <f t="shared" si="62"/>
        <v>46029.624664351853</v>
      </c>
      <c r="N820" s="12"/>
    </row>
    <row r="821" spans="1:14" x14ac:dyDescent="0.25">
      <c r="A821" s="4" t="s">
        <v>850</v>
      </c>
      <c r="B821" s="16" t="str">
        <f t="shared" si="58"/>
        <v>M/s Sidhi Vinayak Aggregates Private Limated</v>
      </c>
      <c r="C821" s="16" t="str">
        <f t="shared" si="59"/>
        <v>Barsingo Ka Bas Lohawat()</v>
      </c>
      <c r="D821" s="4" t="s">
        <v>1382</v>
      </c>
      <c r="E821" s="4" t="s">
        <v>3119</v>
      </c>
      <c r="F821" s="5">
        <v>46029.999664351853</v>
      </c>
      <c r="G821" s="16" t="str">
        <f t="shared" si="60"/>
        <v>MasonaryStone (Gitti)</v>
      </c>
      <c r="H821" s="4" t="s">
        <v>2608</v>
      </c>
      <c r="I821" s="18" t="str" cm="1">
        <f t="array" ref="I821">_xlfn.LET(_xlpm.text, D821,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21" s="18" t="str" cm="1">
        <f t="array" ref="J821">_xlfn.LET(_xlpm.text, E821,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1" s="14">
        <f t="shared" si="61"/>
        <v>46030</v>
      </c>
      <c r="L821" s="14">
        <f t="shared" si="62"/>
        <v>46030.624664351853</v>
      </c>
      <c r="N821" s="12"/>
    </row>
    <row r="822" spans="1:14" x14ac:dyDescent="0.25">
      <c r="A822" s="4" t="s">
        <v>851</v>
      </c>
      <c r="B822" s="16" t="str">
        <f t="shared" si="58"/>
        <v>M/s Sidhi Vinayak Aggregates Private Limated</v>
      </c>
      <c r="C822" s="16" t="str">
        <f t="shared" si="59"/>
        <v>Barsingo Ka Bas Lohawat()</v>
      </c>
      <c r="D822" s="4" t="s">
        <v>1382</v>
      </c>
      <c r="E822" s="4" t="s">
        <v>3119</v>
      </c>
      <c r="F822" s="5">
        <v>46029.999664351853</v>
      </c>
      <c r="G822" s="16" t="str">
        <f t="shared" si="60"/>
        <v>MasonaryStone (Gitti)</v>
      </c>
      <c r="H822" s="4" t="s">
        <v>2603</v>
      </c>
      <c r="I822" s="18" t="str" cm="1">
        <f t="array" ref="I822">_xlfn.LET(_xlpm.text, D822,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22" s="18" t="str" cm="1">
        <f t="array" ref="J822">_xlfn.LET(_xlpm.text, E822,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2" s="14">
        <f t="shared" si="61"/>
        <v>46030</v>
      </c>
      <c r="L822" s="14">
        <f t="shared" si="62"/>
        <v>46030.624664351853</v>
      </c>
      <c r="N822" s="12"/>
    </row>
    <row r="823" spans="1:14" x14ac:dyDescent="0.25">
      <c r="A823" s="4" t="s">
        <v>852</v>
      </c>
      <c r="B823" s="16" t="str">
        <f t="shared" si="58"/>
        <v>M/s Sidhi Vinayak Aggregates Private Limated</v>
      </c>
      <c r="C823" s="16" t="str">
        <f t="shared" si="59"/>
        <v>Barsingo Ka Bas Lohawat()</v>
      </c>
      <c r="D823" s="4" t="s">
        <v>1382</v>
      </c>
      <c r="E823" s="4" t="s">
        <v>3119</v>
      </c>
      <c r="F823" s="5">
        <v>46031.999664351853</v>
      </c>
      <c r="G823" s="16" t="str">
        <f t="shared" si="60"/>
        <v>MasonaryStone (Gitti)</v>
      </c>
      <c r="H823" s="4" t="s">
        <v>2609</v>
      </c>
      <c r="I823" s="18" t="str" cm="1">
        <f t="array" ref="I823">_xlfn.LET(_xlpm.text, D823,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23" s="18" t="str" cm="1">
        <f t="array" ref="J823">_xlfn.LET(_xlpm.text, E823,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3" s="14">
        <f t="shared" si="61"/>
        <v>46032</v>
      </c>
      <c r="L823" s="14">
        <f t="shared" si="62"/>
        <v>46032.624664351853</v>
      </c>
      <c r="N823" s="12"/>
    </row>
    <row r="824" spans="1:14" x14ac:dyDescent="0.25">
      <c r="A824" s="4" t="s">
        <v>853</v>
      </c>
      <c r="B824" s="16" t="str">
        <f t="shared" si="58"/>
        <v>M/s Sidhi Vinayak Aggregates Private Limated</v>
      </c>
      <c r="C824" s="16" t="str">
        <f t="shared" si="59"/>
        <v>Barsingo Ka Bas Lohawat()</v>
      </c>
      <c r="D824" s="4" t="s">
        <v>1382</v>
      </c>
      <c r="E824" s="4" t="s">
        <v>3119</v>
      </c>
      <c r="F824" s="5">
        <v>46031.999664351853</v>
      </c>
      <c r="G824" s="16" t="str">
        <f t="shared" si="60"/>
        <v>MasonaryStone (Gitti)</v>
      </c>
      <c r="H824" s="4" t="s">
        <v>2610</v>
      </c>
      <c r="I824" s="18" t="str" cm="1">
        <f t="array" ref="I824">_xlfn.LET(_xlpm.text, D824,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24" s="18" t="str" cm="1">
        <f t="array" ref="J824">_xlfn.LET(_xlpm.text, E824,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4" s="14">
        <f t="shared" si="61"/>
        <v>46032</v>
      </c>
      <c r="L824" s="14">
        <f t="shared" si="62"/>
        <v>46032.624664351853</v>
      </c>
      <c r="N824" s="12"/>
    </row>
    <row r="825" spans="1:14" x14ac:dyDescent="0.25">
      <c r="A825" s="4" t="s">
        <v>854</v>
      </c>
      <c r="B825" s="16" t="str">
        <f t="shared" si="58"/>
        <v>MAA DURGA STONE CRUSHING COMPANY</v>
      </c>
      <c r="C825" s="16" t="str">
        <f t="shared" si="59"/>
        <v>CHADWAS(Chadwas/Bidasar/Sujangarh)</v>
      </c>
      <c r="D825" s="4" t="s">
        <v>3032</v>
      </c>
      <c r="E825" s="4" t="s">
        <v>3119</v>
      </c>
      <c r="F825" s="5">
        <v>46045.999664351853</v>
      </c>
      <c r="G825" s="16" t="str">
        <f t="shared" si="60"/>
        <v>MasonaryStone (Gitti)</v>
      </c>
      <c r="H825" s="4" t="s">
        <v>2499</v>
      </c>
      <c r="I825" s="18" t="str" cm="1">
        <f t="array" ref="I825">_xlfn.LET(_xlpm.text, D825,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25" s="18" t="str" cm="1">
        <f t="array" ref="J825">_xlfn.LET(_xlpm.text, E825,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5" s="14">
        <f t="shared" si="61"/>
        <v>46046</v>
      </c>
      <c r="L825" s="14">
        <f t="shared" si="62"/>
        <v>46046.624664351853</v>
      </c>
      <c r="N825" s="12"/>
    </row>
    <row r="826" spans="1:14" x14ac:dyDescent="0.25">
      <c r="A826" s="4" t="s">
        <v>855</v>
      </c>
      <c r="B826" s="16" t="str">
        <f t="shared" si="58"/>
        <v>MAA DURGA STONE CRUSHING COMPANY</v>
      </c>
      <c r="C826" s="16" t="str">
        <f t="shared" si="59"/>
        <v>CHADWAS(Chadwas/Bidasar/Sujangarh)</v>
      </c>
      <c r="D826" s="4" t="s">
        <v>3032</v>
      </c>
      <c r="E826" s="4" t="s">
        <v>3119</v>
      </c>
      <c r="F826" s="5">
        <v>46045.999664351853</v>
      </c>
      <c r="G826" s="16" t="str">
        <f t="shared" si="60"/>
        <v>MasonaryStone (Gitti)</v>
      </c>
      <c r="H826" s="4" t="s">
        <v>2611</v>
      </c>
      <c r="I826" s="18" t="str" cm="1">
        <f t="array" ref="I826">_xlfn.LET(_xlpm.text, D826,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26" s="18" t="str" cm="1">
        <f t="array" ref="J826">_xlfn.LET(_xlpm.text, E826,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6" s="14">
        <f t="shared" si="61"/>
        <v>46046</v>
      </c>
      <c r="L826" s="14">
        <f t="shared" si="62"/>
        <v>46046.624664351853</v>
      </c>
      <c r="N826" s="12"/>
    </row>
    <row r="827" spans="1:14" x14ac:dyDescent="0.25">
      <c r="A827" s="4" t="s">
        <v>856</v>
      </c>
      <c r="B827" s="16" t="str">
        <f t="shared" si="58"/>
        <v>MAA DURGA STONE CRUSHING COMPANY</v>
      </c>
      <c r="C827" s="16" t="str">
        <f t="shared" si="59"/>
        <v>CHADWAS(Chadwas/Bidasar/Sujangarh)</v>
      </c>
      <c r="D827" s="4" t="s">
        <v>3032</v>
      </c>
      <c r="E827" s="4" t="s">
        <v>3119</v>
      </c>
      <c r="F827" s="5">
        <v>46049.999664351853</v>
      </c>
      <c r="G827" s="16" t="str">
        <f t="shared" si="60"/>
        <v>MasonaryStone (Gitti)</v>
      </c>
      <c r="H827" s="4" t="s">
        <v>2612</v>
      </c>
      <c r="I827" s="18" t="str" cm="1">
        <f t="array" ref="I827">_xlfn.LET(_xlpm.text, D827,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27" s="18" t="str" cm="1">
        <f t="array" ref="J827">_xlfn.LET(_xlpm.text, E827,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7" s="14">
        <f t="shared" si="61"/>
        <v>46050</v>
      </c>
      <c r="L827" s="14">
        <f t="shared" si="62"/>
        <v>46050.624664351853</v>
      </c>
      <c r="N827" s="12"/>
    </row>
    <row r="828" spans="1:14" x14ac:dyDescent="0.25">
      <c r="A828" s="4" t="s">
        <v>857</v>
      </c>
      <c r="B828" s="16" t="str">
        <f t="shared" si="58"/>
        <v>MAA DURGA STONE CRUSHING COMPANY</v>
      </c>
      <c r="C828" s="16" t="str">
        <f t="shared" si="59"/>
        <v>CHADWAS(Chadwas/Bidasar/Sujangarh)</v>
      </c>
      <c r="D828" s="4" t="s">
        <v>3032</v>
      </c>
      <c r="E828" s="4" t="s">
        <v>3119</v>
      </c>
      <c r="F828" s="5">
        <v>46049.999664351853</v>
      </c>
      <c r="G828" s="16" t="str">
        <f t="shared" si="60"/>
        <v>MasonaryStone (Gitti)</v>
      </c>
      <c r="H828" s="4" t="s">
        <v>2506</v>
      </c>
      <c r="I828" s="18" t="str" cm="1">
        <f t="array" ref="I828">_xlfn.LET(_xlpm.text, D828,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28" s="18" t="str" cm="1">
        <f t="array" ref="J828">_xlfn.LET(_xlpm.text, E828,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8" s="14">
        <f t="shared" si="61"/>
        <v>46050</v>
      </c>
      <c r="L828" s="14">
        <f t="shared" si="62"/>
        <v>46050.624664351853</v>
      </c>
      <c r="N828" s="12"/>
    </row>
    <row r="829" spans="1:14" x14ac:dyDescent="0.25">
      <c r="A829" s="4" t="s">
        <v>858</v>
      </c>
      <c r="B829" s="16" t="str">
        <f t="shared" si="58"/>
        <v>MAA DURGA STONE CRUSHING COMPANY</v>
      </c>
      <c r="C829" s="16" t="str">
        <f t="shared" si="59"/>
        <v>CHADWAS(Chadwas/Bidasar/Sujangarh)</v>
      </c>
      <c r="D829" s="4" t="s">
        <v>3032</v>
      </c>
      <c r="E829" s="4" t="s">
        <v>3119</v>
      </c>
      <c r="F829" s="5">
        <v>46049.999664351853</v>
      </c>
      <c r="G829" s="16" t="str">
        <f t="shared" si="60"/>
        <v>MasonaryStone (Gitti)</v>
      </c>
      <c r="H829" s="4" t="s">
        <v>2613</v>
      </c>
      <c r="I829" s="18" t="str" cm="1">
        <f t="array" ref="I829">_xlfn.LET(_xlpm.text, D829,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29" s="18" t="str" cm="1">
        <f t="array" ref="J829">_xlfn.LET(_xlpm.text, E829,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29" s="14">
        <f t="shared" si="61"/>
        <v>46050</v>
      </c>
      <c r="L829" s="14">
        <f t="shared" si="62"/>
        <v>46050.624664351853</v>
      </c>
      <c r="N829" s="12"/>
    </row>
    <row r="830" spans="1:14" x14ac:dyDescent="0.25">
      <c r="A830" s="4" t="s">
        <v>859</v>
      </c>
      <c r="B830" s="16" t="str">
        <f t="shared" si="58"/>
        <v>MAA DURGA STONE CRUSHING COMPANY</v>
      </c>
      <c r="C830" s="16" t="str">
        <f t="shared" si="59"/>
        <v>CHADWAS(Chadwas/Bidasar/Sujangarh)</v>
      </c>
      <c r="D830" s="4" t="s">
        <v>3032</v>
      </c>
      <c r="E830" s="4" t="s">
        <v>3119</v>
      </c>
      <c r="F830" s="5">
        <v>46048.999664351853</v>
      </c>
      <c r="G830" s="16" t="str">
        <f t="shared" si="60"/>
        <v>MasonaryStone (Gitti)</v>
      </c>
      <c r="H830" s="4" t="s">
        <v>2478</v>
      </c>
      <c r="I830" s="18" t="str" cm="1">
        <f t="array" ref="I830">_xlfn.LET(_xlpm.text, D830,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0" s="18" t="str" cm="1">
        <f t="array" ref="J830">_xlfn.LET(_xlpm.text, E830,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0" s="14">
        <f t="shared" si="61"/>
        <v>46049</v>
      </c>
      <c r="L830" s="14">
        <f t="shared" si="62"/>
        <v>46049.624664351853</v>
      </c>
      <c r="N830" s="12"/>
    </row>
    <row r="831" spans="1:14" x14ac:dyDescent="0.25">
      <c r="A831" s="4" t="s">
        <v>860</v>
      </c>
      <c r="B831" s="16" t="str">
        <f t="shared" si="58"/>
        <v>MAA DURGA STONE CRUSHING COMPANY</v>
      </c>
      <c r="C831" s="16" t="str">
        <f t="shared" si="59"/>
        <v>CHADWAS(Chadwas/Bidasar/Sujangarh)</v>
      </c>
      <c r="D831" s="4" t="s">
        <v>3032</v>
      </c>
      <c r="E831" s="4" t="s">
        <v>3119</v>
      </c>
      <c r="F831" s="5">
        <v>46047.999664351853</v>
      </c>
      <c r="G831" s="16" t="str">
        <f t="shared" si="60"/>
        <v>MasonaryStone (Gitti)</v>
      </c>
      <c r="H831" s="4" t="s">
        <v>2457</v>
      </c>
      <c r="I831" s="18" t="str" cm="1">
        <f t="array" ref="I831">_xlfn.LET(_xlpm.text, D831,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1" s="18" t="str" cm="1">
        <f t="array" ref="J831">_xlfn.LET(_xlpm.text, E831,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1" s="14">
        <f t="shared" si="61"/>
        <v>46048</v>
      </c>
      <c r="L831" s="14">
        <f t="shared" si="62"/>
        <v>46048.624664351853</v>
      </c>
      <c r="N831" s="12"/>
    </row>
    <row r="832" spans="1:14" x14ac:dyDescent="0.25">
      <c r="A832" s="4" t="s">
        <v>861</v>
      </c>
      <c r="B832" s="16" t="str">
        <f t="shared" si="58"/>
        <v>MAA DURGA STONE CRUSHING COMPANY</v>
      </c>
      <c r="C832" s="16" t="str">
        <f t="shared" si="59"/>
        <v>CHADWAS(Chadwas/Bidasar/Sujangarh)</v>
      </c>
      <c r="D832" s="4" t="s">
        <v>3032</v>
      </c>
      <c r="E832" s="4" t="s">
        <v>3119</v>
      </c>
      <c r="F832" s="5">
        <v>46047.999664351853</v>
      </c>
      <c r="G832" s="16" t="str">
        <f t="shared" si="60"/>
        <v>MasonaryStone (Gitti)</v>
      </c>
      <c r="H832" s="4" t="s">
        <v>2614</v>
      </c>
      <c r="I832" s="18" t="str" cm="1">
        <f t="array" ref="I832">_xlfn.LET(_xlpm.text, D832,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2" s="18" t="str" cm="1">
        <f t="array" ref="J832">_xlfn.LET(_xlpm.text, E832,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2" s="14">
        <f t="shared" si="61"/>
        <v>46048</v>
      </c>
      <c r="L832" s="14">
        <f t="shared" si="62"/>
        <v>46048.624664351853</v>
      </c>
      <c r="N832" s="12"/>
    </row>
    <row r="833" spans="1:14" x14ac:dyDescent="0.25">
      <c r="A833" s="4" t="s">
        <v>862</v>
      </c>
      <c r="B833" s="16" t="str">
        <f t="shared" si="58"/>
        <v>MAA DURGA STONE CRUSHING COMPANY</v>
      </c>
      <c r="C833" s="16" t="str">
        <f t="shared" si="59"/>
        <v>CHADWAS(Chadwas/Bidasar/Sujangarh)</v>
      </c>
      <c r="D833" s="4" t="s">
        <v>3032</v>
      </c>
      <c r="E833" s="4" t="s">
        <v>3119</v>
      </c>
      <c r="F833" s="5">
        <v>46046.999664351853</v>
      </c>
      <c r="G833" s="16" t="str">
        <f t="shared" si="60"/>
        <v>MasonaryStone (Gitti)</v>
      </c>
      <c r="H833" s="4" t="s">
        <v>2615</v>
      </c>
      <c r="I833" s="18" t="str" cm="1">
        <f t="array" ref="I833">_xlfn.LET(_xlpm.text, D833,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3" s="18" t="str" cm="1">
        <f t="array" ref="J833">_xlfn.LET(_xlpm.text, E833,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3" s="14">
        <f t="shared" si="61"/>
        <v>46047</v>
      </c>
      <c r="L833" s="14">
        <f t="shared" si="62"/>
        <v>46047.624664351853</v>
      </c>
      <c r="N833" s="12"/>
    </row>
    <row r="834" spans="1:14" x14ac:dyDescent="0.25">
      <c r="A834" s="4" t="s">
        <v>863</v>
      </c>
      <c r="B834" s="16" t="str">
        <f t="shared" ref="B834:B897" si="63">VLOOKUP(LEFT($A834,4)&amp;"*",$O$3:$R$17, 2, FALSE)</f>
        <v>MAA DURGA STONE CRUSHING COMPANY</v>
      </c>
      <c r="C834" s="16" t="str">
        <f t="shared" ref="C834:C897" si="64">VLOOKUP(LEFT($A834,4)&amp;"*",$O$3:$R$17, 3, FALSE)</f>
        <v>CHADWAS(Chadwas/Bidasar/Sujangarh)</v>
      </c>
      <c r="D834" s="4" t="s">
        <v>3032</v>
      </c>
      <c r="E834" s="4" t="s">
        <v>3119</v>
      </c>
      <c r="F834" s="5">
        <v>46046.999664351853</v>
      </c>
      <c r="G834" s="16" t="str">
        <f t="shared" ref="G834:G897" si="65">VLOOKUP(LEFT($A834,4)&amp;"*",$O$3:$R$17, 4, FALSE)</f>
        <v>MasonaryStone (Gitti)</v>
      </c>
      <c r="H834" s="4" t="s">
        <v>2488</v>
      </c>
      <c r="I834" s="18" t="str" cm="1">
        <f t="array" ref="I834">_xlfn.LET(_xlpm.text, D834,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4" s="18" t="str" cm="1">
        <f t="array" ref="J834">_xlfn.LET(_xlpm.text, E834,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4" s="14">
        <f t="shared" si="61"/>
        <v>46047</v>
      </c>
      <c r="L834" s="14">
        <f t="shared" si="62"/>
        <v>46047.624664351853</v>
      </c>
      <c r="N834" s="12"/>
    </row>
    <row r="835" spans="1:14" x14ac:dyDescent="0.25">
      <c r="A835" s="4" t="s">
        <v>864</v>
      </c>
      <c r="B835" s="16" t="str">
        <f t="shared" si="63"/>
        <v>Jagdamba Stone Crusher</v>
      </c>
      <c r="C835" s="16" t="str">
        <f t="shared" si="64"/>
        <v>Jagdamba Stone Crusher(Kodasar Bidavtaan/Sujangarh/Churu)</v>
      </c>
      <c r="D835" s="4" t="s">
        <v>3032</v>
      </c>
      <c r="E835" s="4" t="s">
        <v>3119</v>
      </c>
      <c r="F835" s="5">
        <v>46047.999664351853</v>
      </c>
      <c r="G835" s="16" t="str">
        <f t="shared" si="65"/>
        <v>MasonaryStone (Gitti)</v>
      </c>
      <c r="H835" s="4" t="s">
        <v>2616</v>
      </c>
      <c r="I835" s="18" t="str" cm="1">
        <f t="array" ref="I835">_xlfn.LET(_xlpm.text, D835,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5" s="18" t="str" cm="1">
        <f t="array" ref="J835">_xlfn.LET(_xlpm.text, E835,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5" s="14">
        <f t="shared" ref="K835:K898" si="66">F835+(29/86400)</f>
        <v>46048</v>
      </c>
      <c r="L835" s="14">
        <f t="shared" ref="L835:L898" si="67">F835+(15/24)</f>
        <v>46048.624664351853</v>
      </c>
      <c r="N835" s="12"/>
    </row>
    <row r="836" spans="1:14" x14ac:dyDescent="0.25">
      <c r="A836" s="4" t="s">
        <v>865</v>
      </c>
      <c r="B836" s="16" t="str">
        <f t="shared" si="63"/>
        <v>Jagdamba Stone Crusher</v>
      </c>
      <c r="C836" s="16" t="str">
        <f t="shared" si="64"/>
        <v>Jagdamba Stone Crusher(Kodasar Bidavtaan/Sujangarh/Churu)</v>
      </c>
      <c r="D836" s="4" t="s">
        <v>3032</v>
      </c>
      <c r="E836" s="4" t="s">
        <v>3119</v>
      </c>
      <c r="F836" s="5">
        <v>46048.999664351853</v>
      </c>
      <c r="G836" s="16" t="str">
        <f t="shared" si="65"/>
        <v>MasonaryStone (Gitti)</v>
      </c>
      <c r="H836" s="4" t="s">
        <v>2617</v>
      </c>
      <c r="I836" s="18" t="str" cm="1">
        <f t="array" ref="I836">_xlfn.LET(_xlpm.text, D836,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6" s="18" t="str" cm="1">
        <f t="array" ref="J836">_xlfn.LET(_xlpm.text, E836,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6" s="14">
        <f t="shared" si="66"/>
        <v>46049</v>
      </c>
      <c r="L836" s="14">
        <f t="shared" si="67"/>
        <v>46049.624664351853</v>
      </c>
      <c r="N836" s="12"/>
    </row>
    <row r="837" spans="1:14" x14ac:dyDescent="0.25">
      <c r="A837" s="4" t="s">
        <v>866</v>
      </c>
      <c r="B837" s="16" t="str">
        <f t="shared" si="63"/>
        <v>Jagdamba Stone Crusher</v>
      </c>
      <c r="C837" s="16" t="str">
        <f t="shared" si="64"/>
        <v>Jagdamba Stone Crusher(Kodasar Bidavtaan/Sujangarh/Churu)</v>
      </c>
      <c r="D837" s="4" t="s">
        <v>3032</v>
      </c>
      <c r="E837" s="4" t="s">
        <v>3119</v>
      </c>
      <c r="F837" s="5">
        <v>46048.999664351853</v>
      </c>
      <c r="G837" s="16" t="str">
        <f t="shared" si="65"/>
        <v>MasonaryStone (Gitti)</v>
      </c>
      <c r="H837" s="4" t="s">
        <v>2618</v>
      </c>
      <c r="I837" s="18" t="str" cm="1">
        <f t="array" ref="I837">_xlfn.LET(_xlpm.text, D837,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7" s="18" t="str" cm="1">
        <f t="array" ref="J837">_xlfn.LET(_xlpm.text, E837,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7" s="14">
        <f t="shared" si="66"/>
        <v>46049</v>
      </c>
      <c r="L837" s="14">
        <f t="shared" si="67"/>
        <v>46049.624664351853</v>
      </c>
      <c r="N837" s="12"/>
    </row>
    <row r="838" spans="1:14" x14ac:dyDescent="0.25">
      <c r="A838" s="4" t="s">
        <v>867</v>
      </c>
      <c r="B838" s="16" t="str">
        <f t="shared" si="63"/>
        <v>Jagdamba Stone Crusher</v>
      </c>
      <c r="C838" s="16" t="str">
        <f t="shared" si="64"/>
        <v>Jagdamba Stone Crusher(Kodasar Bidavtaan/Sujangarh/Churu)</v>
      </c>
      <c r="D838" s="4" t="s">
        <v>3032</v>
      </c>
      <c r="E838" s="4" t="s">
        <v>3119</v>
      </c>
      <c r="F838" s="5">
        <v>46047.999664351853</v>
      </c>
      <c r="G838" s="16" t="str">
        <f t="shared" si="65"/>
        <v>MasonaryStone (Gitti)</v>
      </c>
      <c r="H838" s="4" t="s">
        <v>2619</v>
      </c>
      <c r="I838" s="18" t="str" cm="1">
        <f t="array" ref="I838">_xlfn.LET(_xlpm.text, D838,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8" s="18" t="str" cm="1">
        <f t="array" ref="J838">_xlfn.LET(_xlpm.text, E838,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8" s="14">
        <f t="shared" si="66"/>
        <v>46048</v>
      </c>
      <c r="L838" s="14">
        <f t="shared" si="67"/>
        <v>46048.624664351853</v>
      </c>
      <c r="N838" s="12"/>
    </row>
    <row r="839" spans="1:14" x14ac:dyDescent="0.25">
      <c r="A839" s="4" t="s">
        <v>868</v>
      </c>
      <c r="B839" s="16" t="str">
        <f t="shared" si="63"/>
        <v>Jagdamba Stone Crusher</v>
      </c>
      <c r="C839" s="16" t="str">
        <f t="shared" si="64"/>
        <v>Jagdamba Stone Crusher(Kodasar Bidavtaan/Sujangarh/Churu)</v>
      </c>
      <c r="D839" s="4" t="s">
        <v>3032</v>
      </c>
      <c r="E839" s="4" t="s">
        <v>3119</v>
      </c>
      <c r="F839" s="5">
        <v>46048.999664351853</v>
      </c>
      <c r="G839" s="16" t="str">
        <f t="shared" si="65"/>
        <v>MasonaryStone (Gitti)</v>
      </c>
      <c r="H839" s="4" t="s">
        <v>2620</v>
      </c>
      <c r="I839" s="18" t="str" cm="1">
        <f t="array" ref="I839">_xlfn.LET(_xlpm.text, D839,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39" s="18" t="str" cm="1">
        <f t="array" ref="J839">_xlfn.LET(_xlpm.text, E839,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39" s="14">
        <f t="shared" si="66"/>
        <v>46049</v>
      </c>
      <c r="L839" s="14">
        <f t="shared" si="67"/>
        <v>46049.624664351853</v>
      </c>
      <c r="N839" s="12"/>
    </row>
    <row r="840" spans="1:14" x14ac:dyDescent="0.25">
      <c r="A840" s="4" t="s">
        <v>869</v>
      </c>
      <c r="B840" s="16" t="str">
        <f t="shared" si="63"/>
        <v>M/s Sidhi Vinayak Aggregates Private Limated</v>
      </c>
      <c r="C840" s="16" t="str">
        <f t="shared" si="64"/>
        <v>Barsingo Ka Bas Lohawat()</v>
      </c>
      <c r="D840" s="4" t="s">
        <v>1382</v>
      </c>
      <c r="E840" s="4" t="s">
        <v>3119</v>
      </c>
      <c r="F840" s="5">
        <v>46035.999664351853</v>
      </c>
      <c r="G840" s="16" t="str">
        <f t="shared" si="65"/>
        <v>MasonaryStone (Gitti)</v>
      </c>
      <c r="H840" s="4" t="s">
        <v>2621</v>
      </c>
      <c r="I840" s="18" t="str" cm="1">
        <f t="array" ref="I840">_xlfn.LET(_xlpm.text, D840,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0" s="18" t="str" cm="1">
        <f t="array" ref="J840">_xlfn.LET(_xlpm.text, E840,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0" s="14">
        <f t="shared" si="66"/>
        <v>46036</v>
      </c>
      <c r="L840" s="14">
        <f t="shared" si="67"/>
        <v>46036.624664351853</v>
      </c>
      <c r="N840" s="12"/>
    </row>
    <row r="841" spans="1:14" x14ac:dyDescent="0.25">
      <c r="A841" s="4" t="s">
        <v>870</v>
      </c>
      <c r="B841" s="16" t="str">
        <f t="shared" si="63"/>
        <v>M/s Sidhi Vinayak Aggregates Private Limated</v>
      </c>
      <c r="C841" s="16" t="str">
        <f t="shared" si="64"/>
        <v>Barsingo Ka Bas Lohawat()</v>
      </c>
      <c r="D841" s="4" t="s">
        <v>1382</v>
      </c>
      <c r="E841" s="4" t="s">
        <v>3119</v>
      </c>
      <c r="F841" s="5">
        <v>45960.999664351853</v>
      </c>
      <c r="G841" s="16" t="str">
        <f t="shared" si="65"/>
        <v>MasonaryStone (Gitti)</v>
      </c>
      <c r="H841" s="4" t="s">
        <v>2622</v>
      </c>
      <c r="I841" s="18" t="str" cm="1">
        <f t="array" ref="I841">_xlfn.LET(_xlpm.text, D841,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1" s="18" t="str" cm="1">
        <f t="array" ref="J841">_xlfn.LET(_xlpm.text, E841,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1" s="14">
        <f t="shared" si="66"/>
        <v>45961</v>
      </c>
      <c r="L841" s="14">
        <f t="shared" si="67"/>
        <v>45961.624664351853</v>
      </c>
      <c r="N841" s="12"/>
    </row>
    <row r="842" spans="1:14" x14ac:dyDescent="0.25">
      <c r="A842" s="4" t="s">
        <v>871</v>
      </c>
      <c r="B842" s="16" t="str">
        <f t="shared" si="63"/>
        <v>M/s Sidhi Vinayak Aggregates Private Limated</v>
      </c>
      <c r="C842" s="16" t="str">
        <f t="shared" si="64"/>
        <v>Barsingo Ka Bas Lohawat()</v>
      </c>
      <c r="D842" s="4" t="s">
        <v>1382</v>
      </c>
      <c r="E842" s="4" t="s">
        <v>3119</v>
      </c>
      <c r="F842" s="5">
        <v>46033.999664351853</v>
      </c>
      <c r="G842" s="16" t="str">
        <f t="shared" si="65"/>
        <v>MasonaryStone (Gitti)</v>
      </c>
      <c r="H842" s="4" t="s">
        <v>2623</v>
      </c>
      <c r="I842" s="18" t="str" cm="1">
        <f t="array" ref="I842">_xlfn.LET(_xlpm.text, D842,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2" s="18" t="str" cm="1">
        <f t="array" ref="J842">_xlfn.LET(_xlpm.text, E842,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2" s="14">
        <f t="shared" si="66"/>
        <v>46034</v>
      </c>
      <c r="L842" s="14">
        <f t="shared" si="67"/>
        <v>46034.624664351853</v>
      </c>
      <c r="N842" s="12"/>
    </row>
    <row r="843" spans="1:14" x14ac:dyDescent="0.25">
      <c r="A843" s="4" t="s">
        <v>872</v>
      </c>
      <c r="B843" s="16" t="str">
        <f t="shared" si="63"/>
        <v>M/s Sidhi Vinayak Aggregates Private Limated</v>
      </c>
      <c r="C843" s="16" t="str">
        <f t="shared" si="64"/>
        <v>Barsingo Ka Bas Lohawat()</v>
      </c>
      <c r="D843" s="4" t="s">
        <v>1382</v>
      </c>
      <c r="E843" s="4" t="s">
        <v>3119</v>
      </c>
      <c r="F843" s="5">
        <v>46033.999664351853</v>
      </c>
      <c r="G843" s="16" t="str">
        <f t="shared" si="65"/>
        <v>MasonaryStone (Gitti)</v>
      </c>
      <c r="H843" s="4" t="s">
        <v>2624</v>
      </c>
      <c r="I843" s="18" t="str" cm="1">
        <f t="array" ref="I843">_xlfn.LET(_xlpm.text, D843,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3" s="18" t="str" cm="1">
        <f t="array" ref="J843">_xlfn.LET(_xlpm.text, E843,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3" s="14">
        <f t="shared" si="66"/>
        <v>46034</v>
      </c>
      <c r="L843" s="14">
        <f t="shared" si="67"/>
        <v>46034.624664351853</v>
      </c>
      <c r="N843" s="12"/>
    </row>
    <row r="844" spans="1:14" x14ac:dyDescent="0.25">
      <c r="A844" s="4" t="s">
        <v>873</v>
      </c>
      <c r="B844" s="16" t="str">
        <f t="shared" si="63"/>
        <v>Jagdamba Stone Crusher</v>
      </c>
      <c r="C844" s="16" t="str">
        <f t="shared" si="64"/>
        <v>Jagdamba Stone Crusher(Kodasar Bidavtaan/Sujangarh/Churu)</v>
      </c>
      <c r="D844" s="4" t="s">
        <v>1382</v>
      </c>
      <c r="E844" s="4" t="s">
        <v>3119</v>
      </c>
      <c r="F844" s="5">
        <v>46043.999664351853</v>
      </c>
      <c r="G844" s="16" t="str">
        <f t="shared" si="65"/>
        <v>MasonaryStone (Gitti)</v>
      </c>
      <c r="H844" s="4" t="s">
        <v>2625</v>
      </c>
      <c r="I844" s="18" t="str" cm="1">
        <f t="array" ref="I844">_xlfn.LET(_xlpm.text, D844,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4" s="18" t="str" cm="1">
        <f t="array" ref="J844">_xlfn.LET(_xlpm.text, E844,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4" s="14">
        <f t="shared" si="66"/>
        <v>46044</v>
      </c>
      <c r="L844" s="14">
        <f t="shared" si="67"/>
        <v>46044.624664351853</v>
      </c>
      <c r="N844" s="12"/>
    </row>
    <row r="845" spans="1:14" x14ac:dyDescent="0.25">
      <c r="A845" s="4" t="s">
        <v>874</v>
      </c>
      <c r="B845" s="16" t="str">
        <f t="shared" si="63"/>
        <v>Jagdamba Stone Crusher</v>
      </c>
      <c r="C845" s="16" t="str">
        <f t="shared" si="64"/>
        <v>Jagdamba Stone Crusher(Kodasar Bidavtaan/Sujangarh/Churu)</v>
      </c>
      <c r="D845" s="4" t="s">
        <v>1382</v>
      </c>
      <c r="E845" s="4" t="s">
        <v>3119</v>
      </c>
      <c r="F845" s="5">
        <v>46043.999664351853</v>
      </c>
      <c r="G845" s="16" t="str">
        <f t="shared" si="65"/>
        <v>MasonaryStone (Gitti)</v>
      </c>
      <c r="H845" s="4" t="s">
        <v>2604</v>
      </c>
      <c r="I845" s="18" t="str" cm="1">
        <f t="array" ref="I845">_xlfn.LET(_xlpm.text, D845,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5" s="18" t="str" cm="1">
        <f t="array" ref="J845">_xlfn.LET(_xlpm.text, E845,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5" s="14">
        <f t="shared" si="66"/>
        <v>46044</v>
      </c>
      <c r="L845" s="14">
        <f t="shared" si="67"/>
        <v>46044.624664351853</v>
      </c>
      <c r="N845" s="12"/>
    </row>
    <row r="846" spans="1:14" x14ac:dyDescent="0.25">
      <c r="A846" s="4" t="s">
        <v>875</v>
      </c>
      <c r="B846" s="16" t="str">
        <f t="shared" si="63"/>
        <v>Jagdamba Stone Crusher</v>
      </c>
      <c r="C846" s="16" t="str">
        <f t="shared" si="64"/>
        <v>Jagdamba Stone Crusher(Kodasar Bidavtaan/Sujangarh/Churu)</v>
      </c>
      <c r="D846" s="4" t="s">
        <v>1382</v>
      </c>
      <c r="E846" s="4" t="s">
        <v>3119</v>
      </c>
      <c r="F846" s="5">
        <v>46045.999664351853</v>
      </c>
      <c r="G846" s="16" t="str">
        <f t="shared" si="65"/>
        <v>MasonaryStone (Gitti)</v>
      </c>
      <c r="H846" s="4" t="s">
        <v>2626</v>
      </c>
      <c r="I846" s="18" t="str" cm="1">
        <f t="array" ref="I846">_xlfn.LET(_xlpm.text, D846,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6" s="18" t="str" cm="1">
        <f t="array" ref="J846">_xlfn.LET(_xlpm.text, E846,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6" s="14">
        <f t="shared" si="66"/>
        <v>46046</v>
      </c>
      <c r="L846" s="14">
        <f t="shared" si="67"/>
        <v>46046.624664351853</v>
      </c>
      <c r="N846" s="12"/>
    </row>
    <row r="847" spans="1:14" x14ac:dyDescent="0.25">
      <c r="A847" s="4" t="s">
        <v>876</v>
      </c>
      <c r="B847" s="16" t="str">
        <f t="shared" si="63"/>
        <v>Jagdamba Stone Crusher</v>
      </c>
      <c r="C847" s="16" t="str">
        <f t="shared" si="64"/>
        <v>Jagdamba Stone Crusher(Kodasar Bidavtaan/Sujangarh/Churu)</v>
      </c>
      <c r="D847" s="4" t="s">
        <v>1382</v>
      </c>
      <c r="E847" s="4" t="s">
        <v>3119</v>
      </c>
      <c r="F847" s="5">
        <v>46043.999664351853</v>
      </c>
      <c r="G847" s="16" t="str">
        <f t="shared" si="65"/>
        <v>MasonaryStone (Gitti)</v>
      </c>
      <c r="H847" s="4" t="s">
        <v>2627</v>
      </c>
      <c r="I847" s="18" t="str" cm="1">
        <f t="array" ref="I847">_xlfn.LET(_xlpm.text, D847,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7" s="18" t="str" cm="1">
        <f t="array" ref="J847">_xlfn.LET(_xlpm.text, E847,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7" s="14">
        <f t="shared" si="66"/>
        <v>46044</v>
      </c>
      <c r="L847" s="14">
        <f t="shared" si="67"/>
        <v>46044.624664351853</v>
      </c>
      <c r="N847" s="12"/>
    </row>
    <row r="848" spans="1:14" x14ac:dyDescent="0.25">
      <c r="A848" s="4" t="s">
        <v>877</v>
      </c>
      <c r="B848" s="16" t="str">
        <f t="shared" si="63"/>
        <v>Jagdamba Stone Crusher</v>
      </c>
      <c r="C848" s="16" t="str">
        <f t="shared" si="64"/>
        <v>Jagdamba Stone Crusher(Kodasar Bidavtaan/Sujangarh/Churu)</v>
      </c>
      <c r="D848" s="4" t="s">
        <v>1382</v>
      </c>
      <c r="E848" s="4" t="s">
        <v>3119</v>
      </c>
      <c r="F848" s="5">
        <v>46045.999664351853</v>
      </c>
      <c r="G848" s="16" t="str">
        <f t="shared" si="65"/>
        <v>MasonaryStone (Gitti)</v>
      </c>
      <c r="H848" s="4" t="s">
        <v>2628</v>
      </c>
      <c r="I848" s="18" t="str" cm="1">
        <f t="array" ref="I848">_xlfn.LET(_xlpm.text, D848,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8" s="18" t="str" cm="1">
        <f t="array" ref="J848">_xlfn.LET(_xlpm.text, E848,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8" s="14">
        <f t="shared" si="66"/>
        <v>46046</v>
      </c>
      <c r="L848" s="14">
        <f t="shared" si="67"/>
        <v>46046.624664351853</v>
      </c>
      <c r="N848" s="12"/>
    </row>
    <row r="849" spans="1:14" x14ac:dyDescent="0.25">
      <c r="A849" s="4" t="s">
        <v>878</v>
      </c>
      <c r="B849" s="16" t="str">
        <f t="shared" si="63"/>
        <v>Jagdamba Stone Crusher</v>
      </c>
      <c r="C849" s="16" t="str">
        <f t="shared" si="64"/>
        <v>Jagdamba Stone Crusher(Kodasar Bidavtaan/Sujangarh/Churu)</v>
      </c>
      <c r="D849" s="4" t="s">
        <v>1382</v>
      </c>
      <c r="E849" s="4" t="s">
        <v>3119</v>
      </c>
      <c r="F849" s="5">
        <v>46045.999664351853</v>
      </c>
      <c r="G849" s="16" t="str">
        <f t="shared" si="65"/>
        <v>MasonaryStone (Gitti)</v>
      </c>
      <c r="H849" s="4" t="s">
        <v>2629</v>
      </c>
      <c r="I849" s="18" t="str" cm="1">
        <f t="array" ref="I849">_xlfn.LET(_xlpm.text, D849,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49" s="18" t="str" cm="1">
        <f t="array" ref="J849">_xlfn.LET(_xlpm.text, E849,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49" s="14">
        <f t="shared" si="66"/>
        <v>46046</v>
      </c>
      <c r="L849" s="14">
        <f t="shared" si="67"/>
        <v>46046.624664351853</v>
      </c>
      <c r="N849" s="12"/>
    </row>
    <row r="850" spans="1:14" x14ac:dyDescent="0.25">
      <c r="A850" s="4" t="s">
        <v>879</v>
      </c>
      <c r="B850" s="16" t="str">
        <f t="shared" si="63"/>
        <v>Jagdamba Stone Crusher</v>
      </c>
      <c r="C850" s="16" t="str">
        <f t="shared" si="64"/>
        <v>Jagdamba Stone Crusher(Kodasar Bidavtaan/Sujangarh/Churu)</v>
      </c>
      <c r="D850" s="4" t="s">
        <v>1382</v>
      </c>
      <c r="E850" s="4" t="s">
        <v>3119</v>
      </c>
      <c r="F850" s="5">
        <v>46045.999664351853</v>
      </c>
      <c r="G850" s="16" t="str">
        <f t="shared" si="65"/>
        <v>MasonaryStone (Gitti)</v>
      </c>
      <c r="H850" s="4" t="s">
        <v>2630</v>
      </c>
      <c r="I850" s="18" t="str" cm="1">
        <f t="array" ref="I850">_xlfn.LET(_xlpm.text, D850,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0" s="18" t="str" cm="1">
        <f t="array" ref="J850">_xlfn.LET(_xlpm.text, E850,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0" s="14">
        <f t="shared" si="66"/>
        <v>46046</v>
      </c>
      <c r="L850" s="14">
        <f t="shared" si="67"/>
        <v>46046.624664351853</v>
      </c>
      <c r="N850" s="12"/>
    </row>
    <row r="851" spans="1:14" x14ac:dyDescent="0.25">
      <c r="A851" s="4" t="s">
        <v>880</v>
      </c>
      <c r="B851" s="16" t="str">
        <f t="shared" si="63"/>
        <v>Jagdamba Stone Crusher</v>
      </c>
      <c r="C851" s="16" t="str">
        <f t="shared" si="64"/>
        <v>Jagdamba Stone Crusher(Kodasar Bidavtaan/Sujangarh/Churu)</v>
      </c>
      <c r="D851" s="4" t="s">
        <v>1382</v>
      </c>
      <c r="E851" s="4" t="s">
        <v>3119</v>
      </c>
      <c r="F851" s="5">
        <v>46045.999664351853</v>
      </c>
      <c r="G851" s="16" t="str">
        <f t="shared" si="65"/>
        <v>MasonaryStone (Gitti)</v>
      </c>
      <c r="H851" s="4" t="s">
        <v>2631</v>
      </c>
      <c r="I851" s="18" t="str" cm="1">
        <f t="array" ref="I851">_xlfn.LET(_xlpm.text, D851,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1" s="18" t="str" cm="1">
        <f t="array" ref="J851">_xlfn.LET(_xlpm.text, E851,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1" s="14">
        <f t="shared" si="66"/>
        <v>46046</v>
      </c>
      <c r="L851" s="14">
        <f t="shared" si="67"/>
        <v>46046.624664351853</v>
      </c>
      <c r="N851" s="12"/>
    </row>
    <row r="852" spans="1:14" x14ac:dyDescent="0.25">
      <c r="A852" s="4" t="s">
        <v>881</v>
      </c>
      <c r="B852" s="16" t="str">
        <f t="shared" si="63"/>
        <v>Jagdamba Stone Crusher</v>
      </c>
      <c r="C852" s="16" t="str">
        <f t="shared" si="64"/>
        <v>Jagdamba Stone Crusher(Kodasar Bidavtaan/Sujangarh/Churu)</v>
      </c>
      <c r="D852" s="4" t="s">
        <v>1382</v>
      </c>
      <c r="E852" s="4" t="s">
        <v>3119</v>
      </c>
      <c r="F852" s="5">
        <v>46045.999664351853</v>
      </c>
      <c r="G852" s="16" t="str">
        <f t="shared" si="65"/>
        <v>MasonaryStone (Gitti)</v>
      </c>
      <c r="H852" s="4" t="s">
        <v>2632</v>
      </c>
      <c r="I852" s="18" t="str" cm="1">
        <f t="array" ref="I852">_xlfn.LET(_xlpm.text, D852,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2" s="18" t="str" cm="1">
        <f t="array" ref="J852">_xlfn.LET(_xlpm.text, E852,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2" s="14">
        <f t="shared" si="66"/>
        <v>46046</v>
      </c>
      <c r="L852" s="14">
        <f t="shared" si="67"/>
        <v>46046.624664351853</v>
      </c>
      <c r="N852" s="12"/>
    </row>
    <row r="853" spans="1:14" x14ac:dyDescent="0.25">
      <c r="A853" s="4" t="s">
        <v>882</v>
      </c>
      <c r="B853" s="16" t="str">
        <f t="shared" si="63"/>
        <v>Jagdamba Stone Crusher</v>
      </c>
      <c r="C853" s="16" t="str">
        <f t="shared" si="64"/>
        <v>Jagdamba Stone Crusher(Kodasar Bidavtaan/Sujangarh/Churu)</v>
      </c>
      <c r="D853" s="4" t="s">
        <v>1382</v>
      </c>
      <c r="E853" s="4" t="s">
        <v>3119</v>
      </c>
      <c r="F853" s="5">
        <v>46045.999664351853</v>
      </c>
      <c r="G853" s="16" t="str">
        <f t="shared" si="65"/>
        <v>MasonaryStone (Gitti)</v>
      </c>
      <c r="H853" s="4" t="s">
        <v>2633</v>
      </c>
      <c r="I853" s="18" t="str" cm="1">
        <f t="array" ref="I853">_xlfn.LET(_xlpm.text, D853,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3" s="18" t="str" cm="1">
        <f t="array" ref="J853">_xlfn.LET(_xlpm.text, E853,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3" s="14">
        <f t="shared" si="66"/>
        <v>46046</v>
      </c>
      <c r="L853" s="14">
        <f t="shared" si="67"/>
        <v>46046.624664351853</v>
      </c>
      <c r="N853" s="12"/>
    </row>
    <row r="854" spans="1:14" x14ac:dyDescent="0.25">
      <c r="A854" s="4" t="s">
        <v>883</v>
      </c>
      <c r="B854" s="16" t="str">
        <f t="shared" si="63"/>
        <v>Jagdamba Stone Crusher</v>
      </c>
      <c r="C854" s="16" t="str">
        <f t="shared" si="64"/>
        <v>Jagdamba Stone Crusher(Kodasar Bidavtaan/Sujangarh/Churu)</v>
      </c>
      <c r="D854" s="4" t="s">
        <v>1382</v>
      </c>
      <c r="E854" s="4" t="s">
        <v>3119</v>
      </c>
      <c r="F854" s="5">
        <v>46045.999664351853</v>
      </c>
      <c r="G854" s="16" t="str">
        <f t="shared" si="65"/>
        <v>MasonaryStone (Gitti)</v>
      </c>
      <c r="H854" s="4" t="s">
        <v>2634</v>
      </c>
      <c r="I854" s="18" t="str" cm="1">
        <f t="array" ref="I854">_xlfn.LET(_xlpm.text, D854,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4" s="18" t="str" cm="1">
        <f t="array" ref="J854">_xlfn.LET(_xlpm.text, E854,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4" s="14">
        <f t="shared" si="66"/>
        <v>46046</v>
      </c>
      <c r="L854" s="14">
        <f t="shared" si="67"/>
        <v>46046.624664351853</v>
      </c>
      <c r="N854" s="12"/>
    </row>
    <row r="855" spans="1:14" x14ac:dyDescent="0.25">
      <c r="A855" s="4" t="s">
        <v>884</v>
      </c>
      <c r="B855" s="16" t="str">
        <f t="shared" si="63"/>
        <v>Jagdamba Stone Crusher</v>
      </c>
      <c r="C855" s="16" t="str">
        <f t="shared" si="64"/>
        <v>Jagdamba Stone Crusher(Kodasar Bidavtaan/Sujangarh/Churu)</v>
      </c>
      <c r="D855" s="4" t="s">
        <v>1382</v>
      </c>
      <c r="E855" s="4" t="s">
        <v>3119</v>
      </c>
      <c r="F855" s="5">
        <v>46045.999664351853</v>
      </c>
      <c r="G855" s="16" t="str">
        <f t="shared" si="65"/>
        <v>MasonaryStone (Gitti)</v>
      </c>
      <c r="H855" s="4" t="s">
        <v>2635</v>
      </c>
      <c r="I855" s="18" t="str" cm="1">
        <f t="array" ref="I855">_xlfn.LET(_xlpm.text, D855,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5" s="18" t="str" cm="1">
        <f t="array" ref="J855">_xlfn.LET(_xlpm.text, E855,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5" s="14">
        <f t="shared" si="66"/>
        <v>46046</v>
      </c>
      <c r="L855" s="14">
        <f t="shared" si="67"/>
        <v>46046.624664351853</v>
      </c>
      <c r="N855" s="12"/>
    </row>
    <row r="856" spans="1:14" x14ac:dyDescent="0.25">
      <c r="A856" s="4" t="s">
        <v>885</v>
      </c>
      <c r="B856" s="16" t="str">
        <f t="shared" si="63"/>
        <v>Jagdamba Stone Crusher</v>
      </c>
      <c r="C856" s="16" t="str">
        <f t="shared" si="64"/>
        <v>Jagdamba Stone Crusher(Kodasar Bidavtaan/Sujangarh/Churu)</v>
      </c>
      <c r="D856" s="4" t="s">
        <v>1382</v>
      </c>
      <c r="E856" s="4" t="s">
        <v>3119</v>
      </c>
      <c r="F856" s="5">
        <v>46045.999664351853</v>
      </c>
      <c r="G856" s="16" t="str">
        <f t="shared" si="65"/>
        <v>MasonaryStone (Gitti)</v>
      </c>
      <c r="H856" s="4" t="s">
        <v>2636</v>
      </c>
      <c r="I856" s="18" t="str" cm="1">
        <f t="array" ref="I856">_xlfn.LET(_xlpm.text, D856,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6" s="18" t="str" cm="1">
        <f t="array" ref="J856">_xlfn.LET(_xlpm.text, E856,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6" s="14">
        <f t="shared" si="66"/>
        <v>46046</v>
      </c>
      <c r="L856" s="14">
        <f t="shared" si="67"/>
        <v>46046.624664351853</v>
      </c>
      <c r="N856" s="12"/>
    </row>
    <row r="857" spans="1:14" x14ac:dyDescent="0.25">
      <c r="A857" s="4" t="s">
        <v>886</v>
      </c>
      <c r="B857" s="16" t="str">
        <f t="shared" si="63"/>
        <v>Jagdamba Stone Crusher</v>
      </c>
      <c r="C857" s="16" t="str">
        <f t="shared" si="64"/>
        <v>Jagdamba Stone Crusher(Kodasar Bidavtaan/Sujangarh/Churu)</v>
      </c>
      <c r="D857" s="4" t="s">
        <v>1382</v>
      </c>
      <c r="E857" s="4" t="s">
        <v>3119</v>
      </c>
      <c r="F857" s="5">
        <v>46045.999664351853</v>
      </c>
      <c r="G857" s="16" t="str">
        <f t="shared" si="65"/>
        <v>MasonaryStone (Gitti)</v>
      </c>
      <c r="H857" s="4" t="s">
        <v>2637</v>
      </c>
      <c r="I857" s="18" t="str" cm="1">
        <f t="array" ref="I857">_xlfn.LET(_xlpm.text, D857,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7" s="18" t="str" cm="1">
        <f t="array" ref="J857">_xlfn.LET(_xlpm.text, E857,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7" s="14">
        <f t="shared" si="66"/>
        <v>46046</v>
      </c>
      <c r="L857" s="14">
        <f t="shared" si="67"/>
        <v>46046.624664351853</v>
      </c>
      <c r="N857" s="12"/>
    </row>
    <row r="858" spans="1:14" x14ac:dyDescent="0.25">
      <c r="A858" s="4" t="s">
        <v>887</v>
      </c>
      <c r="B858" s="16" t="str">
        <f t="shared" si="63"/>
        <v>Jagdamba Stone Crusher</v>
      </c>
      <c r="C858" s="16" t="str">
        <f t="shared" si="64"/>
        <v>Jagdamba Stone Crusher(Kodasar Bidavtaan/Sujangarh/Churu)</v>
      </c>
      <c r="D858" s="4" t="s">
        <v>1382</v>
      </c>
      <c r="E858" s="4" t="s">
        <v>3119</v>
      </c>
      <c r="F858" s="5">
        <v>46045.999664351853</v>
      </c>
      <c r="G858" s="16" t="str">
        <f t="shared" si="65"/>
        <v>MasonaryStone (Gitti)</v>
      </c>
      <c r="H858" s="4" t="s">
        <v>2638</v>
      </c>
      <c r="I858" s="18" t="str" cm="1">
        <f t="array" ref="I858">_xlfn.LET(_xlpm.text, D858,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8" s="18" t="str" cm="1">
        <f t="array" ref="J858">_xlfn.LET(_xlpm.text, E858,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8" s="14">
        <f t="shared" si="66"/>
        <v>46046</v>
      </c>
      <c r="L858" s="14">
        <f t="shared" si="67"/>
        <v>46046.624664351853</v>
      </c>
      <c r="N858" s="12"/>
    </row>
    <row r="859" spans="1:14" x14ac:dyDescent="0.25">
      <c r="A859" s="4" t="s">
        <v>888</v>
      </c>
      <c r="B859" s="16" t="str">
        <f t="shared" si="63"/>
        <v>Jagdamba Stone Crusher</v>
      </c>
      <c r="C859" s="16" t="str">
        <f t="shared" si="64"/>
        <v>Jagdamba Stone Crusher(Kodasar Bidavtaan/Sujangarh/Churu)</v>
      </c>
      <c r="D859" s="4" t="s">
        <v>1382</v>
      </c>
      <c r="E859" s="4" t="s">
        <v>3119</v>
      </c>
      <c r="F859" s="5">
        <v>46046.999664351853</v>
      </c>
      <c r="G859" s="16" t="str">
        <f t="shared" si="65"/>
        <v>MasonaryStone (Gitti)</v>
      </c>
      <c r="H859" s="4" t="s">
        <v>2639</v>
      </c>
      <c r="I859" s="18" t="str" cm="1">
        <f t="array" ref="I859">_xlfn.LET(_xlpm.text, D859,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59" s="18" t="str" cm="1">
        <f t="array" ref="J859">_xlfn.LET(_xlpm.text, E859,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59" s="14">
        <f t="shared" si="66"/>
        <v>46047</v>
      </c>
      <c r="L859" s="14">
        <f t="shared" si="67"/>
        <v>46047.624664351853</v>
      </c>
      <c r="N859" s="12"/>
    </row>
    <row r="860" spans="1:14" x14ac:dyDescent="0.25">
      <c r="A860" s="4" t="s">
        <v>889</v>
      </c>
      <c r="B860" s="16" t="str">
        <f t="shared" si="63"/>
        <v>Jagdamba Stone Crusher</v>
      </c>
      <c r="C860" s="16" t="str">
        <f t="shared" si="64"/>
        <v>Jagdamba Stone Crusher(Kodasar Bidavtaan/Sujangarh/Churu)</v>
      </c>
      <c r="D860" s="4" t="s">
        <v>1382</v>
      </c>
      <c r="E860" s="4" t="s">
        <v>3119</v>
      </c>
      <c r="F860" s="5">
        <v>46046.999664351853</v>
      </c>
      <c r="G860" s="16" t="str">
        <f t="shared" si="65"/>
        <v>MasonaryStone (Gitti)</v>
      </c>
      <c r="H860" s="4" t="s">
        <v>2640</v>
      </c>
      <c r="I860" s="18" t="str" cm="1">
        <f t="array" ref="I860">_xlfn.LET(_xlpm.text, D860,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0" s="18" t="str" cm="1">
        <f t="array" ref="J860">_xlfn.LET(_xlpm.text, E860,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0" s="14">
        <f t="shared" si="66"/>
        <v>46047</v>
      </c>
      <c r="L860" s="14">
        <f t="shared" si="67"/>
        <v>46047.624664351853</v>
      </c>
      <c r="N860" s="12"/>
    </row>
    <row r="861" spans="1:14" x14ac:dyDescent="0.25">
      <c r="A861" s="4" t="s">
        <v>890</v>
      </c>
      <c r="B861" s="16" t="str">
        <f t="shared" si="63"/>
        <v>Jagdamba Stone Crusher</v>
      </c>
      <c r="C861" s="16" t="str">
        <f t="shared" si="64"/>
        <v>Jagdamba Stone Crusher(Kodasar Bidavtaan/Sujangarh/Churu)</v>
      </c>
      <c r="D861" s="4" t="s">
        <v>1382</v>
      </c>
      <c r="E861" s="4" t="s">
        <v>3119</v>
      </c>
      <c r="F861" s="5">
        <v>46046.999664351853</v>
      </c>
      <c r="G861" s="16" t="str">
        <f t="shared" si="65"/>
        <v>MasonaryStone (Gitti)</v>
      </c>
      <c r="H861" s="4" t="s">
        <v>2641</v>
      </c>
      <c r="I861" s="18" t="str" cm="1">
        <f t="array" ref="I861">_xlfn.LET(_xlpm.text, D861,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1" s="18" t="str" cm="1">
        <f t="array" ref="J861">_xlfn.LET(_xlpm.text, E861,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1" s="14">
        <f t="shared" si="66"/>
        <v>46047</v>
      </c>
      <c r="L861" s="14">
        <f t="shared" si="67"/>
        <v>46047.624664351853</v>
      </c>
      <c r="N861" s="12"/>
    </row>
    <row r="862" spans="1:14" x14ac:dyDescent="0.25">
      <c r="A862" s="4" t="s">
        <v>891</v>
      </c>
      <c r="B862" s="16" t="str">
        <f t="shared" si="63"/>
        <v>Jagdamba Stone Crusher</v>
      </c>
      <c r="C862" s="16" t="str">
        <f t="shared" si="64"/>
        <v>Jagdamba Stone Crusher(Kodasar Bidavtaan/Sujangarh/Churu)</v>
      </c>
      <c r="D862" s="4" t="s">
        <v>1382</v>
      </c>
      <c r="E862" s="4" t="s">
        <v>3119</v>
      </c>
      <c r="F862" s="5">
        <v>46046.999664351853</v>
      </c>
      <c r="G862" s="16" t="str">
        <f t="shared" si="65"/>
        <v>MasonaryStone (Gitti)</v>
      </c>
      <c r="H862" s="4" t="s">
        <v>2642</v>
      </c>
      <c r="I862" s="18" t="str" cm="1">
        <f t="array" ref="I862">_xlfn.LET(_xlpm.text, D862,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2" s="18" t="str" cm="1">
        <f t="array" ref="J862">_xlfn.LET(_xlpm.text, E862,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2" s="14">
        <f t="shared" si="66"/>
        <v>46047</v>
      </c>
      <c r="L862" s="14">
        <f t="shared" si="67"/>
        <v>46047.624664351853</v>
      </c>
      <c r="N862" s="12"/>
    </row>
    <row r="863" spans="1:14" x14ac:dyDescent="0.25">
      <c r="A863" s="4" t="s">
        <v>892</v>
      </c>
      <c r="B863" s="16" t="str">
        <f t="shared" si="63"/>
        <v>Jagdamba Stone Crusher</v>
      </c>
      <c r="C863" s="16" t="str">
        <f t="shared" si="64"/>
        <v>Jagdamba Stone Crusher(Kodasar Bidavtaan/Sujangarh/Churu)</v>
      </c>
      <c r="D863" s="4" t="s">
        <v>1382</v>
      </c>
      <c r="E863" s="4" t="s">
        <v>3119</v>
      </c>
      <c r="F863" s="5">
        <v>46046.999664351853</v>
      </c>
      <c r="G863" s="16" t="str">
        <f t="shared" si="65"/>
        <v>MasonaryStone (Gitti)</v>
      </c>
      <c r="H863" s="4" t="s">
        <v>2643</v>
      </c>
      <c r="I863" s="18" t="str" cm="1">
        <f t="array" ref="I863">_xlfn.LET(_xlpm.text, D863,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3" s="18" t="str" cm="1">
        <f t="array" ref="J863">_xlfn.LET(_xlpm.text, E863,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3" s="14">
        <f t="shared" si="66"/>
        <v>46047</v>
      </c>
      <c r="L863" s="14">
        <f t="shared" si="67"/>
        <v>46047.624664351853</v>
      </c>
      <c r="N863" s="12"/>
    </row>
    <row r="864" spans="1:14" x14ac:dyDescent="0.25">
      <c r="A864" s="4" t="s">
        <v>893</v>
      </c>
      <c r="B864" s="16" t="str">
        <f t="shared" si="63"/>
        <v>Jagdamba Stone Crusher</v>
      </c>
      <c r="C864" s="16" t="str">
        <f t="shared" si="64"/>
        <v>Jagdamba Stone Crusher(Kodasar Bidavtaan/Sujangarh/Churu)</v>
      </c>
      <c r="D864" s="4" t="s">
        <v>1382</v>
      </c>
      <c r="E864" s="4" t="s">
        <v>3119</v>
      </c>
      <c r="F864" s="5">
        <v>46046.999664351853</v>
      </c>
      <c r="G864" s="16" t="str">
        <f t="shared" si="65"/>
        <v>MasonaryStone (Gitti)</v>
      </c>
      <c r="H864" s="4" t="s">
        <v>2642</v>
      </c>
      <c r="I864" s="18" t="str" cm="1">
        <f t="array" ref="I864">_xlfn.LET(_xlpm.text, D864,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4" s="18" t="str" cm="1">
        <f t="array" ref="J864">_xlfn.LET(_xlpm.text, E864,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4" s="14">
        <f t="shared" si="66"/>
        <v>46047</v>
      </c>
      <c r="L864" s="14">
        <f t="shared" si="67"/>
        <v>46047.624664351853</v>
      </c>
      <c r="N864" s="12"/>
    </row>
    <row r="865" spans="1:14" x14ac:dyDescent="0.25">
      <c r="A865" s="4" t="s">
        <v>894</v>
      </c>
      <c r="B865" s="16" t="str">
        <f t="shared" si="63"/>
        <v>Jagdamba Stone Crusher</v>
      </c>
      <c r="C865" s="16" t="str">
        <f t="shared" si="64"/>
        <v>Jagdamba Stone Crusher(Kodasar Bidavtaan/Sujangarh/Churu)</v>
      </c>
      <c r="D865" s="4" t="s">
        <v>1382</v>
      </c>
      <c r="E865" s="4" t="s">
        <v>3119</v>
      </c>
      <c r="F865" s="5">
        <v>46043.999664351853</v>
      </c>
      <c r="G865" s="16" t="str">
        <f t="shared" si="65"/>
        <v>MasonaryStone (Gitti)</v>
      </c>
      <c r="H865" s="4" t="s">
        <v>2469</v>
      </c>
      <c r="I865" s="18" t="str" cm="1">
        <f t="array" ref="I865">_xlfn.LET(_xlpm.text, D865,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5" s="18" t="str" cm="1">
        <f t="array" ref="J865">_xlfn.LET(_xlpm.text, E865,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5" s="14">
        <f t="shared" si="66"/>
        <v>46044</v>
      </c>
      <c r="L865" s="14">
        <f t="shared" si="67"/>
        <v>46044.624664351853</v>
      </c>
      <c r="N865" s="12"/>
    </row>
    <row r="866" spans="1:14" x14ac:dyDescent="0.25">
      <c r="A866" s="4" t="s">
        <v>895</v>
      </c>
      <c r="B866" s="16" t="str">
        <f t="shared" si="63"/>
        <v>Jagdamba Stone Crusher</v>
      </c>
      <c r="C866" s="16" t="str">
        <f t="shared" si="64"/>
        <v>Jagdamba Stone Crusher(Kodasar Bidavtaan/Sujangarh/Churu)</v>
      </c>
      <c r="D866" s="4" t="s">
        <v>1382</v>
      </c>
      <c r="E866" s="4" t="s">
        <v>3119</v>
      </c>
      <c r="F866" s="5">
        <v>46043.999664351853</v>
      </c>
      <c r="G866" s="16" t="str">
        <f t="shared" si="65"/>
        <v>MasonaryStone (Gitti)</v>
      </c>
      <c r="H866" s="4" t="s">
        <v>2644</v>
      </c>
      <c r="I866" s="18" t="str" cm="1">
        <f t="array" ref="I866">_xlfn.LET(_xlpm.text, D866,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6" s="18" t="str" cm="1">
        <f t="array" ref="J866">_xlfn.LET(_xlpm.text, E866,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6" s="14">
        <f t="shared" si="66"/>
        <v>46044</v>
      </c>
      <c r="L866" s="14">
        <f t="shared" si="67"/>
        <v>46044.624664351853</v>
      </c>
      <c r="N866" s="12"/>
    </row>
    <row r="867" spans="1:14" x14ac:dyDescent="0.25">
      <c r="A867" s="4" t="s">
        <v>896</v>
      </c>
      <c r="B867" s="16" t="str">
        <f t="shared" si="63"/>
        <v>Jagdamba Stone Crusher</v>
      </c>
      <c r="C867" s="16" t="str">
        <f t="shared" si="64"/>
        <v>Jagdamba Stone Crusher(Kodasar Bidavtaan/Sujangarh/Churu)</v>
      </c>
      <c r="D867" s="4" t="s">
        <v>1382</v>
      </c>
      <c r="E867" s="4" t="s">
        <v>3119</v>
      </c>
      <c r="F867" s="5">
        <v>46043.999664351853</v>
      </c>
      <c r="G867" s="16" t="str">
        <f t="shared" si="65"/>
        <v>MasonaryStone (Gitti)</v>
      </c>
      <c r="H867" s="4" t="s">
        <v>2645</v>
      </c>
      <c r="I867" s="18" t="str" cm="1">
        <f t="array" ref="I867">_xlfn.LET(_xlpm.text, D867,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7" s="18" t="str" cm="1">
        <f t="array" ref="J867">_xlfn.LET(_xlpm.text, E867,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7" s="14">
        <f t="shared" si="66"/>
        <v>46044</v>
      </c>
      <c r="L867" s="14">
        <f t="shared" si="67"/>
        <v>46044.624664351853</v>
      </c>
      <c r="N867" s="12"/>
    </row>
    <row r="868" spans="1:14" x14ac:dyDescent="0.25">
      <c r="A868" s="4" t="s">
        <v>897</v>
      </c>
      <c r="B868" s="16" t="str">
        <f t="shared" si="63"/>
        <v>Jagdamba Stone Crusher</v>
      </c>
      <c r="C868" s="16" t="str">
        <f t="shared" si="64"/>
        <v>Jagdamba Stone Crusher(Kodasar Bidavtaan/Sujangarh/Churu)</v>
      </c>
      <c r="D868" s="4" t="s">
        <v>1382</v>
      </c>
      <c r="E868" s="4" t="s">
        <v>3119</v>
      </c>
      <c r="F868" s="5">
        <v>46043.999664351853</v>
      </c>
      <c r="G868" s="16" t="str">
        <f t="shared" si="65"/>
        <v>MasonaryStone (Gitti)</v>
      </c>
      <c r="H868" s="4" t="s">
        <v>2646</v>
      </c>
      <c r="I868" s="18" t="str" cm="1">
        <f t="array" ref="I868">_xlfn.LET(_xlpm.text, D868,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8" s="18" t="str" cm="1">
        <f t="array" ref="J868">_xlfn.LET(_xlpm.text, E868,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8" s="14">
        <f t="shared" si="66"/>
        <v>46044</v>
      </c>
      <c r="L868" s="14">
        <f t="shared" si="67"/>
        <v>46044.624664351853</v>
      </c>
      <c r="N868" s="12"/>
    </row>
    <row r="869" spans="1:14" x14ac:dyDescent="0.25">
      <c r="A869" s="4" t="s">
        <v>898</v>
      </c>
      <c r="B869" s="16" t="str">
        <f t="shared" si="63"/>
        <v>Jagdamba Stone Crusher</v>
      </c>
      <c r="C869" s="16" t="str">
        <f t="shared" si="64"/>
        <v>Jagdamba Stone Crusher(Kodasar Bidavtaan/Sujangarh/Churu)</v>
      </c>
      <c r="D869" s="4" t="s">
        <v>1382</v>
      </c>
      <c r="E869" s="4" t="s">
        <v>3119</v>
      </c>
      <c r="F869" s="5">
        <v>46043.999664351853</v>
      </c>
      <c r="G869" s="16" t="str">
        <f t="shared" si="65"/>
        <v>MasonaryStone (Gitti)</v>
      </c>
      <c r="H869" s="4" t="s">
        <v>2647</v>
      </c>
      <c r="I869" s="18" t="str" cm="1">
        <f t="array" ref="I869">_xlfn.LET(_xlpm.text, D869,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69" s="18" t="str" cm="1">
        <f t="array" ref="J869">_xlfn.LET(_xlpm.text, E869,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69" s="14">
        <f t="shared" si="66"/>
        <v>46044</v>
      </c>
      <c r="L869" s="14">
        <f t="shared" si="67"/>
        <v>46044.624664351853</v>
      </c>
      <c r="N869" s="12"/>
    </row>
    <row r="870" spans="1:14" x14ac:dyDescent="0.25">
      <c r="A870" s="4" t="s">
        <v>899</v>
      </c>
      <c r="B870" s="16" t="str">
        <f t="shared" si="63"/>
        <v>Jagdamba Stone Crusher</v>
      </c>
      <c r="C870" s="16" t="str">
        <f t="shared" si="64"/>
        <v>Jagdamba Stone Crusher(Kodasar Bidavtaan/Sujangarh/Churu)</v>
      </c>
      <c r="D870" s="4" t="s">
        <v>1382</v>
      </c>
      <c r="E870" s="4" t="s">
        <v>3119</v>
      </c>
      <c r="F870" s="5">
        <v>46043.999664351853</v>
      </c>
      <c r="G870" s="16" t="str">
        <f t="shared" si="65"/>
        <v>MasonaryStone (Gitti)</v>
      </c>
      <c r="H870" s="4" t="s">
        <v>2648</v>
      </c>
      <c r="I870" s="18" t="str" cm="1">
        <f t="array" ref="I870">_xlfn.LET(_xlpm.text, D870,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70" s="18" t="str" cm="1">
        <f t="array" ref="J870">_xlfn.LET(_xlpm.text, E870,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0" s="14">
        <f t="shared" si="66"/>
        <v>46044</v>
      </c>
      <c r="L870" s="14">
        <f t="shared" si="67"/>
        <v>46044.624664351853</v>
      </c>
      <c r="N870" s="12"/>
    </row>
    <row r="871" spans="1:14" x14ac:dyDescent="0.25">
      <c r="A871" s="4" t="s">
        <v>900</v>
      </c>
      <c r="B871" s="16" t="str">
        <f t="shared" si="63"/>
        <v>Jagdamba Stone Crusher</v>
      </c>
      <c r="C871" s="16" t="str">
        <f t="shared" si="64"/>
        <v>Jagdamba Stone Crusher(Kodasar Bidavtaan/Sujangarh/Churu)</v>
      </c>
      <c r="D871" s="4" t="s">
        <v>1382</v>
      </c>
      <c r="E871" s="4" t="s">
        <v>3119</v>
      </c>
      <c r="F871" s="5">
        <v>46043.999664351853</v>
      </c>
      <c r="G871" s="16" t="str">
        <f t="shared" si="65"/>
        <v>MasonaryStone (Gitti)</v>
      </c>
      <c r="H871" s="4" t="s">
        <v>2649</v>
      </c>
      <c r="I871" s="18" t="str" cm="1">
        <f t="array" ref="I871">_xlfn.LET(_xlpm.text, D871,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71" s="18" t="str" cm="1">
        <f t="array" ref="J871">_xlfn.LET(_xlpm.text, E871,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1" s="14">
        <f t="shared" si="66"/>
        <v>46044</v>
      </c>
      <c r="L871" s="14">
        <f t="shared" si="67"/>
        <v>46044.624664351853</v>
      </c>
      <c r="N871" s="12"/>
    </row>
    <row r="872" spans="1:14" x14ac:dyDescent="0.25">
      <c r="A872" s="4" t="s">
        <v>901</v>
      </c>
      <c r="B872" s="16" t="str">
        <f t="shared" si="63"/>
        <v>Jagdamba Stone Crusher</v>
      </c>
      <c r="C872" s="16" t="str">
        <f t="shared" si="64"/>
        <v>Jagdamba Stone Crusher(Kodasar Bidavtaan/Sujangarh/Churu)</v>
      </c>
      <c r="D872" s="4" t="s">
        <v>1382</v>
      </c>
      <c r="E872" s="4" t="s">
        <v>3119</v>
      </c>
      <c r="F872" s="5">
        <v>46043.999664351853</v>
      </c>
      <c r="G872" s="16" t="str">
        <f t="shared" si="65"/>
        <v>MasonaryStone (Gitti)</v>
      </c>
      <c r="H872" s="4" t="s">
        <v>2650</v>
      </c>
      <c r="I872" s="18" t="str" cm="1">
        <f t="array" ref="I872">_xlfn.LET(_xlpm.text, D872,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872" s="18" t="str" cm="1">
        <f t="array" ref="J872">_xlfn.LET(_xlpm.text, E872,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2" s="14">
        <f t="shared" si="66"/>
        <v>46044</v>
      </c>
      <c r="L872" s="14">
        <f t="shared" si="67"/>
        <v>46044.624664351853</v>
      </c>
      <c r="N872" s="12"/>
    </row>
    <row r="873" spans="1:14" x14ac:dyDescent="0.25">
      <c r="A873" s="4" t="s">
        <v>902</v>
      </c>
      <c r="B873" s="16" t="str">
        <f t="shared" si="63"/>
        <v>ADWAITH AGGREGATE SOLUTIONS</v>
      </c>
      <c r="C873" s="16" t="str">
        <f t="shared" si="64"/>
        <v>KHASRA NO. 942/779 HANUMAN NAGAR (Hanuman Nagar/Nagaur/Nagaur)</v>
      </c>
      <c r="D873" s="4" t="s">
        <v>3033</v>
      </c>
      <c r="E873" s="4" t="s">
        <v>3119</v>
      </c>
      <c r="F873" s="5">
        <v>46049.999664351853</v>
      </c>
      <c r="G873" s="16" t="str">
        <f t="shared" si="65"/>
        <v>MasonaryStone (Gitti)</v>
      </c>
      <c r="H873" s="4" t="s">
        <v>2651</v>
      </c>
      <c r="I873" s="18" t="str" cm="1">
        <f t="array" ref="I873">_xlfn.LET(_xlpm.text, D873,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3" s="18" t="str" cm="1">
        <f t="array" ref="J873">_xlfn.LET(_xlpm.text, E873,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3" s="14">
        <f t="shared" si="66"/>
        <v>46050</v>
      </c>
      <c r="L873" s="14">
        <f t="shared" si="67"/>
        <v>46050.624664351853</v>
      </c>
      <c r="N873" s="12"/>
    </row>
    <row r="874" spans="1:14" x14ac:dyDescent="0.25">
      <c r="A874" s="4" t="s">
        <v>903</v>
      </c>
      <c r="B874" s="16" t="str">
        <f t="shared" si="63"/>
        <v>ADWAITH AGGREGATE SOLUTIONS</v>
      </c>
      <c r="C874" s="16" t="str">
        <f t="shared" si="64"/>
        <v>KHASRA NO. 942/779 HANUMAN NAGAR (Hanuman Nagar/Nagaur/Nagaur)</v>
      </c>
      <c r="D874" s="4" t="s">
        <v>3033</v>
      </c>
      <c r="E874" s="4" t="s">
        <v>3119</v>
      </c>
      <c r="F874" s="5">
        <v>46048.999664351853</v>
      </c>
      <c r="G874" s="16" t="str">
        <f t="shared" si="65"/>
        <v>MasonaryStone (Gitti)</v>
      </c>
      <c r="H874" s="4" t="s">
        <v>2503</v>
      </c>
      <c r="I874" s="18" t="str" cm="1">
        <f t="array" ref="I874">_xlfn.LET(_xlpm.text, D874,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4" s="18" t="str" cm="1">
        <f t="array" ref="J874">_xlfn.LET(_xlpm.text, E874,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4" s="14">
        <f t="shared" si="66"/>
        <v>46049</v>
      </c>
      <c r="L874" s="14">
        <f t="shared" si="67"/>
        <v>46049.624664351853</v>
      </c>
      <c r="N874" s="12"/>
    </row>
    <row r="875" spans="1:14" x14ac:dyDescent="0.25">
      <c r="A875" s="4" t="s">
        <v>904</v>
      </c>
      <c r="B875" s="16" t="str">
        <f t="shared" si="63"/>
        <v>ADWAITH AGGREGATE SOLUTIONS</v>
      </c>
      <c r="C875" s="16" t="str">
        <f t="shared" si="64"/>
        <v>KHASRA NO. 942/779 HANUMAN NAGAR (Hanuman Nagar/Nagaur/Nagaur)</v>
      </c>
      <c r="D875" s="4" t="s">
        <v>3033</v>
      </c>
      <c r="E875" s="4" t="s">
        <v>3119</v>
      </c>
      <c r="F875" s="5">
        <v>46049.999664351853</v>
      </c>
      <c r="G875" s="16" t="str">
        <f t="shared" si="65"/>
        <v>MasonaryStone (Gitti)</v>
      </c>
      <c r="H875" s="4" t="s">
        <v>2652</v>
      </c>
      <c r="I875" s="18" t="str" cm="1">
        <f t="array" ref="I875">_xlfn.LET(_xlpm.text, D875,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5" s="18" t="str" cm="1">
        <f t="array" ref="J875">_xlfn.LET(_xlpm.text, E875,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5" s="14">
        <f t="shared" si="66"/>
        <v>46050</v>
      </c>
      <c r="L875" s="14">
        <f t="shared" si="67"/>
        <v>46050.624664351853</v>
      </c>
      <c r="N875" s="12"/>
    </row>
    <row r="876" spans="1:14" x14ac:dyDescent="0.25">
      <c r="A876" s="4" t="s">
        <v>905</v>
      </c>
      <c r="B876" s="16" t="str">
        <f t="shared" si="63"/>
        <v>ADWAITH AGGREGATE SOLUTIONS</v>
      </c>
      <c r="C876" s="16" t="str">
        <f t="shared" si="64"/>
        <v>KHASRA NO. 942/779 HANUMAN NAGAR (Hanuman Nagar/Nagaur/Nagaur)</v>
      </c>
      <c r="D876" s="4" t="s">
        <v>3033</v>
      </c>
      <c r="E876" s="4" t="s">
        <v>3119</v>
      </c>
      <c r="F876" s="5">
        <v>46047.999664351853</v>
      </c>
      <c r="G876" s="16" t="str">
        <f t="shared" si="65"/>
        <v>MasonaryStone (Gitti)</v>
      </c>
      <c r="H876" s="4" t="s">
        <v>2653</v>
      </c>
      <c r="I876" s="18" t="str" cm="1">
        <f t="array" ref="I876">_xlfn.LET(_xlpm.text, D876,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6" s="18" t="str" cm="1">
        <f t="array" ref="J876">_xlfn.LET(_xlpm.text, E876,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6" s="14">
        <f t="shared" si="66"/>
        <v>46048</v>
      </c>
      <c r="L876" s="14">
        <f t="shared" si="67"/>
        <v>46048.624664351853</v>
      </c>
      <c r="N876" s="12"/>
    </row>
    <row r="877" spans="1:14" x14ac:dyDescent="0.25">
      <c r="A877" s="4" t="s">
        <v>906</v>
      </c>
      <c r="B877" s="16" t="str">
        <f t="shared" si="63"/>
        <v>ADWAITH AGGREGATE SOLUTIONS</v>
      </c>
      <c r="C877" s="16" t="str">
        <f t="shared" si="64"/>
        <v>KHASRA NO. 942/779 HANUMAN NAGAR (Hanuman Nagar/Nagaur/Nagaur)</v>
      </c>
      <c r="D877" s="4" t="s">
        <v>3033</v>
      </c>
      <c r="E877" s="4" t="s">
        <v>3119</v>
      </c>
      <c r="F877" s="5">
        <v>46042.999664351853</v>
      </c>
      <c r="G877" s="16" t="str">
        <f t="shared" si="65"/>
        <v>MasonaryStone (Gitti)</v>
      </c>
      <c r="H877" s="4" t="s">
        <v>2482</v>
      </c>
      <c r="I877" s="18" t="str" cm="1">
        <f t="array" ref="I877">_xlfn.LET(_xlpm.text, D877,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7" s="18" t="str" cm="1">
        <f t="array" ref="J877">_xlfn.LET(_xlpm.text, E877,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7" s="14">
        <f t="shared" si="66"/>
        <v>46043</v>
      </c>
      <c r="L877" s="14">
        <f t="shared" si="67"/>
        <v>46043.624664351853</v>
      </c>
      <c r="N877" s="12"/>
    </row>
    <row r="878" spans="1:14" x14ac:dyDescent="0.25">
      <c r="A878" s="4" t="s">
        <v>907</v>
      </c>
      <c r="B878" s="16" t="str">
        <f t="shared" si="63"/>
        <v>ADWAITH AGGREGATE SOLUTIONS</v>
      </c>
      <c r="C878" s="16" t="str">
        <f t="shared" si="64"/>
        <v>KHASRA NO. 942/779 HANUMAN NAGAR (Hanuman Nagar/Nagaur/Nagaur)</v>
      </c>
      <c r="D878" s="4" t="s">
        <v>3033</v>
      </c>
      <c r="E878" s="4" t="s">
        <v>3119</v>
      </c>
      <c r="F878" s="5">
        <v>46046.999664351853</v>
      </c>
      <c r="G878" s="16" t="str">
        <f t="shared" si="65"/>
        <v>MasonaryStone (Gitti)</v>
      </c>
      <c r="H878" s="4" t="s">
        <v>2654</v>
      </c>
      <c r="I878" s="18" t="str" cm="1">
        <f t="array" ref="I878">_xlfn.LET(_xlpm.text, D878,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8" s="18" t="str" cm="1">
        <f t="array" ref="J878">_xlfn.LET(_xlpm.text, E878,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8" s="14">
        <f t="shared" si="66"/>
        <v>46047</v>
      </c>
      <c r="L878" s="14">
        <f t="shared" si="67"/>
        <v>46047.624664351853</v>
      </c>
      <c r="N878" s="12"/>
    </row>
    <row r="879" spans="1:14" x14ac:dyDescent="0.25">
      <c r="A879" s="4" t="s">
        <v>908</v>
      </c>
      <c r="B879" s="16" t="str">
        <f t="shared" si="63"/>
        <v>ADWAITH AGGREGATE SOLUTIONS</v>
      </c>
      <c r="C879" s="16" t="str">
        <f t="shared" si="64"/>
        <v>KHASRA NO. 942/779 HANUMAN NAGAR (Hanuman Nagar/Nagaur/Nagaur)</v>
      </c>
      <c r="D879" s="4" t="s">
        <v>3033</v>
      </c>
      <c r="E879" s="4" t="s">
        <v>3119</v>
      </c>
      <c r="F879" s="5">
        <v>46046.999664351853</v>
      </c>
      <c r="G879" s="16" t="str">
        <f t="shared" si="65"/>
        <v>MasonaryStone (Gitti)</v>
      </c>
      <c r="H879" s="4" t="s">
        <v>2655</v>
      </c>
      <c r="I879" s="18" t="str" cm="1">
        <f t="array" ref="I879">_xlfn.LET(_xlpm.text, D879,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79" s="18" t="str" cm="1">
        <f t="array" ref="J879">_xlfn.LET(_xlpm.text, E879,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79" s="14">
        <f t="shared" si="66"/>
        <v>46047</v>
      </c>
      <c r="L879" s="14">
        <f t="shared" si="67"/>
        <v>46047.624664351853</v>
      </c>
      <c r="N879" s="12"/>
    </row>
    <row r="880" spans="1:14" x14ac:dyDescent="0.25">
      <c r="A880" s="4" t="s">
        <v>909</v>
      </c>
      <c r="B880" s="16" t="str">
        <f t="shared" si="63"/>
        <v>ADWAITH AGGREGATE SOLUTIONS</v>
      </c>
      <c r="C880" s="16" t="str">
        <f t="shared" si="64"/>
        <v>KHASRA NO. 942/779 HANUMAN NAGAR (Hanuman Nagar/Nagaur/Nagaur)</v>
      </c>
      <c r="D880" s="4" t="s">
        <v>3033</v>
      </c>
      <c r="E880" s="4" t="s">
        <v>3119</v>
      </c>
      <c r="F880" s="5">
        <v>46046.999664351853</v>
      </c>
      <c r="G880" s="16" t="str">
        <f t="shared" si="65"/>
        <v>MasonaryStone (Gitti)</v>
      </c>
      <c r="H880" s="4" t="s">
        <v>2477</v>
      </c>
      <c r="I880" s="18" t="str" cm="1">
        <f t="array" ref="I880">_xlfn.LET(_xlpm.text, D880,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0" s="18" t="str" cm="1">
        <f t="array" ref="J880">_xlfn.LET(_xlpm.text, E880,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0" s="14">
        <f t="shared" si="66"/>
        <v>46047</v>
      </c>
      <c r="L880" s="14">
        <f t="shared" si="67"/>
        <v>46047.624664351853</v>
      </c>
      <c r="N880" s="12"/>
    </row>
    <row r="881" spans="1:14" x14ac:dyDescent="0.25">
      <c r="A881" s="4" t="s">
        <v>910</v>
      </c>
      <c r="B881" s="16" t="str">
        <f t="shared" si="63"/>
        <v>ADWAITH AGGREGATE SOLUTIONS</v>
      </c>
      <c r="C881" s="16" t="str">
        <f t="shared" si="64"/>
        <v>KHASRA NO. 942/779 HANUMAN NAGAR (Hanuman Nagar/Nagaur/Nagaur)</v>
      </c>
      <c r="D881" s="4" t="s">
        <v>3033</v>
      </c>
      <c r="E881" s="4" t="s">
        <v>3119</v>
      </c>
      <c r="F881" s="5">
        <v>46046.999664351853</v>
      </c>
      <c r="G881" s="16" t="str">
        <f t="shared" si="65"/>
        <v>MasonaryStone (Gitti)</v>
      </c>
      <c r="H881" s="4" t="s">
        <v>2656</v>
      </c>
      <c r="I881" s="18" t="str" cm="1">
        <f t="array" ref="I881">_xlfn.LET(_xlpm.text, D881,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1" s="18" t="str" cm="1">
        <f t="array" ref="J881">_xlfn.LET(_xlpm.text, E881,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1" s="14">
        <f t="shared" si="66"/>
        <v>46047</v>
      </c>
      <c r="L881" s="14">
        <f t="shared" si="67"/>
        <v>46047.624664351853</v>
      </c>
      <c r="N881" s="12"/>
    </row>
    <row r="882" spans="1:14" x14ac:dyDescent="0.25">
      <c r="A882" s="4" t="s">
        <v>911</v>
      </c>
      <c r="B882" s="16" t="str">
        <f t="shared" si="63"/>
        <v>ADWAITH AGGREGATE SOLUTIONS</v>
      </c>
      <c r="C882" s="16" t="str">
        <f t="shared" si="64"/>
        <v>KHASRA NO. 942/779 HANUMAN NAGAR (Hanuman Nagar/Nagaur/Nagaur)</v>
      </c>
      <c r="D882" s="4" t="s">
        <v>3033</v>
      </c>
      <c r="E882" s="4" t="s">
        <v>3119</v>
      </c>
      <c r="F882" s="5">
        <v>46044.999664351853</v>
      </c>
      <c r="G882" s="16" t="str">
        <f t="shared" si="65"/>
        <v>MasonaryStone (Gitti)</v>
      </c>
      <c r="H882" s="4" t="s">
        <v>2651</v>
      </c>
      <c r="I882" s="18" t="str" cm="1">
        <f t="array" ref="I882">_xlfn.LET(_xlpm.text, D882,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2" s="18" t="str" cm="1">
        <f t="array" ref="J882">_xlfn.LET(_xlpm.text, E882,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2" s="14">
        <f t="shared" si="66"/>
        <v>46045</v>
      </c>
      <c r="L882" s="14">
        <f t="shared" si="67"/>
        <v>46045.624664351853</v>
      </c>
      <c r="N882" s="12"/>
    </row>
    <row r="883" spans="1:14" x14ac:dyDescent="0.25">
      <c r="A883" s="4" t="s">
        <v>912</v>
      </c>
      <c r="B883" s="16" t="str">
        <f t="shared" si="63"/>
        <v>ADWAITH AGGREGATE SOLUTIONS</v>
      </c>
      <c r="C883" s="16" t="str">
        <f t="shared" si="64"/>
        <v>KHASRA NO. 942/779 HANUMAN NAGAR (Hanuman Nagar/Nagaur/Nagaur)</v>
      </c>
      <c r="D883" s="4" t="s">
        <v>3033</v>
      </c>
      <c r="E883" s="4" t="s">
        <v>3119</v>
      </c>
      <c r="F883" s="5">
        <v>46042.999664351853</v>
      </c>
      <c r="G883" s="16" t="str">
        <f t="shared" si="65"/>
        <v>MasonaryStone (Gitti)</v>
      </c>
      <c r="H883" s="4" t="s">
        <v>2657</v>
      </c>
      <c r="I883" s="18" t="str" cm="1">
        <f t="array" ref="I883">_xlfn.LET(_xlpm.text, D883,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3" s="18" t="str" cm="1">
        <f t="array" ref="J883">_xlfn.LET(_xlpm.text, E883,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3" s="14">
        <f t="shared" si="66"/>
        <v>46043</v>
      </c>
      <c r="L883" s="14">
        <f t="shared" si="67"/>
        <v>46043.624664351853</v>
      </c>
      <c r="N883" s="12"/>
    </row>
    <row r="884" spans="1:14" x14ac:dyDescent="0.25">
      <c r="A884" s="4" t="s">
        <v>913</v>
      </c>
      <c r="B884" s="16" t="str">
        <f t="shared" si="63"/>
        <v>ADWAITH AGGREGATE SOLUTIONS</v>
      </c>
      <c r="C884" s="16" t="str">
        <f t="shared" si="64"/>
        <v>KHASRA NO. 942/779 HANUMAN NAGAR (Hanuman Nagar/Nagaur/Nagaur)</v>
      </c>
      <c r="D884" s="4" t="s">
        <v>3033</v>
      </c>
      <c r="E884" s="4" t="s">
        <v>3119</v>
      </c>
      <c r="F884" s="5">
        <v>46042.999664351853</v>
      </c>
      <c r="G884" s="16" t="str">
        <f t="shared" si="65"/>
        <v>MasonaryStone (Gitti)</v>
      </c>
      <c r="H884" s="4" t="s">
        <v>2338</v>
      </c>
      <c r="I884" s="18" t="str" cm="1">
        <f t="array" ref="I884">_xlfn.LET(_xlpm.text, D884,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4" s="18" t="str" cm="1">
        <f t="array" ref="J884">_xlfn.LET(_xlpm.text, E884,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4" s="14">
        <f t="shared" si="66"/>
        <v>46043</v>
      </c>
      <c r="L884" s="14">
        <f t="shared" si="67"/>
        <v>46043.624664351853</v>
      </c>
      <c r="N884" s="12"/>
    </row>
    <row r="885" spans="1:14" x14ac:dyDescent="0.25">
      <c r="A885" s="4" t="s">
        <v>914</v>
      </c>
      <c r="B885" s="16" t="str">
        <f t="shared" si="63"/>
        <v>ADWAITH AGGREGATE SOLUTIONS</v>
      </c>
      <c r="C885" s="16" t="str">
        <f t="shared" si="64"/>
        <v>KHASRA NO. 942/779 HANUMAN NAGAR (Hanuman Nagar/Nagaur/Nagaur)</v>
      </c>
      <c r="D885" s="4" t="s">
        <v>3033</v>
      </c>
      <c r="E885" s="4" t="s">
        <v>3119</v>
      </c>
      <c r="F885" s="5">
        <v>46049.999664351853</v>
      </c>
      <c r="G885" s="16" t="str">
        <f t="shared" si="65"/>
        <v>MasonaryStone (Gitti)</v>
      </c>
      <c r="H885" s="4" t="s">
        <v>2658</v>
      </c>
      <c r="I885" s="18" t="str" cm="1">
        <f t="array" ref="I885">_xlfn.LET(_xlpm.text, D885,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5" s="18" t="str" cm="1">
        <f t="array" ref="J885">_xlfn.LET(_xlpm.text, E885,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5" s="14">
        <f t="shared" si="66"/>
        <v>46050</v>
      </c>
      <c r="L885" s="14">
        <f t="shared" si="67"/>
        <v>46050.624664351853</v>
      </c>
      <c r="N885" s="12"/>
    </row>
    <row r="886" spans="1:14" x14ac:dyDescent="0.25">
      <c r="A886" s="4" t="s">
        <v>915</v>
      </c>
      <c r="B886" s="16" t="str">
        <f t="shared" si="63"/>
        <v>ADWAITH AGGREGATE SOLUTIONS</v>
      </c>
      <c r="C886" s="16" t="str">
        <f t="shared" si="64"/>
        <v>KHASRA NO. 942/779 HANUMAN NAGAR (Hanuman Nagar/Nagaur/Nagaur)</v>
      </c>
      <c r="D886" s="4" t="s">
        <v>3033</v>
      </c>
      <c r="E886" s="4" t="s">
        <v>3119</v>
      </c>
      <c r="F886" s="5">
        <v>46047.999664351853</v>
      </c>
      <c r="G886" s="16" t="str">
        <f t="shared" si="65"/>
        <v>MasonaryStone (Gitti)</v>
      </c>
      <c r="H886" s="4" t="s">
        <v>2659</v>
      </c>
      <c r="I886" s="18" t="str" cm="1">
        <f t="array" ref="I886">_xlfn.LET(_xlpm.text, D886,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6" s="18" t="str" cm="1">
        <f t="array" ref="J886">_xlfn.LET(_xlpm.text, E886,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6" s="14">
        <f t="shared" si="66"/>
        <v>46048</v>
      </c>
      <c r="L886" s="14">
        <f t="shared" si="67"/>
        <v>46048.624664351853</v>
      </c>
      <c r="N886" s="12"/>
    </row>
    <row r="887" spans="1:14" x14ac:dyDescent="0.25">
      <c r="A887" s="4" t="s">
        <v>916</v>
      </c>
      <c r="B887" s="16" t="str">
        <f t="shared" si="63"/>
        <v>Jagdamba Stone Crusher</v>
      </c>
      <c r="C887" s="16" t="str">
        <f t="shared" si="64"/>
        <v>Jagdamba Stone Crusher(Kodasar Bidavtaan/Sujangarh/Churu)</v>
      </c>
      <c r="D887" s="4" t="s">
        <v>3033</v>
      </c>
      <c r="E887" s="4" t="s">
        <v>3119</v>
      </c>
      <c r="F887" s="5">
        <v>45987.999664351853</v>
      </c>
      <c r="G887" s="16" t="str">
        <f t="shared" si="65"/>
        <v>MasonaryStone (Gitti)</v>
      </c>
      <c r="H887" s="4" t="s">
        <v>2285</v>
      </c>
      <c r="I887" s="18" t="str" cm="1">
        <f t="array" ref="I887">_xlfn.LET(_xlpm.text, D887,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87" s="18" t="str" cm="1">
        <f t="array" ref="J887">_xlfn.LET(_xlpm.text, E887,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7" s="14">
        <f t="shared" si="66"/>
        <v>45988</v>
      </c>
      <c r="L887" s="14">
        <f t="shared" si="67"/>
        <v>45988.624664351853</v>
      </c>
      <c r="N887" s="12"/>
    </row>
    <row r="888" spans="1:14" x14ac:dyDescent="0.25">
      <c r="A888" s="4" t="s">
        <v>917</v>
      </c>
      <c r="B888" s="16" t="str">
        <f t="shared" si="63"/>
        <v>MAA DURGA STONE CRUSHING COMPANY</v>
      </c>
      <c r="C888" s="16" t="str">
        <f t="shared" si="64"/>
        <v>CHADWAS(Chadwas/Bidasar/Sujangarh)</v>
      </c>
      <c r="D888" s="4" t="s">
        <v>3032</v>
      </c>
      <c r="E888" s="4" t="s">
        <v>3119</v>
      </c>
      <c r="F888" s="5">
        <v>46049.999664351853</v>
      </c>
      <c r="G888" s="16" t="str">
        <f t="shared" si="65"/>
        <v>MasonaryStone (Gitti)</v>
      </c>
      <c r="H888" s="4" t="s">
        <v>2660</v>
      </c>
      <c r="I888" s="18" t="str" cm="1">
        <f t="array" ref="I888">_xlfn.LET(_xlpm.text, D888,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88" s="18" t="str" cm="1">
        <f t="array" ref="J888">_xlfn.LET(_xlpm.text, E888,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8" s="14">
        <f t="shared" si="66"/>
        <v>46050</v>
      </c>
      <c r="L888" s="14">
        <f t="shared" si="67"/>
        <v>46050.624664351853</v>
      </c>
      <c r="N888" s="12"/>
    </row>
    <row r="889" spans="1:14" x14ac:dyDescent="0.25">
      <c r="A889" s="4" t="s">
        <v>918</v>
      </c>
      <c r="B889" s="16" t="str">
        <f t="shared" si="63"/>
        <v>MAA DURGA STONE CRUSHING COMPANY</v>
      </c>
      <c r="C889" s="16" t="str">
        <f t="shared" si="64"/>
        <v>CHADWAS(Chadwas/Bidasar/Sujangarh)</v>
      </c>
      <c r="D889" s="4" t="s">
        <v>3032</v>
      </c>
      <c r="E889" s="4" t="s">
        <v>3119</v>
      </c>
      <c r="F889" s="5">
        <v>46049.999664351853</v>
      </c>
      <c r="G889" s="16" t="str">
        <f t="shared" si="65"/>
        <v>MasonaryStone (Gitti)</v>
      </c>
      <c r="H889" s="4" t="s">
        <v>2584</v>
      </c>
      <c r="I889" s="18" t="str" cm="1">
        <f t="array" ref="I889">_xlfn.LET(_xlpm.text, D889,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889" s="18" t="str" cm="1">
        <f t="array" ref="J889">_xlfn.LET(_xlpm.text, E889,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89" s="14">
        <f t="shared" si="66"/>
        <v>46050</v>
      </c>
      <c r="L889" s="14">
        <f t="shared" si="67"/>
        <v>46050.624664351853</v>
      </c>
      <c r="N889" s="12"/>
    </row>
    <row r="890" spans="1:14" x14ac:dyDescent="0.25">
      <c r="A890" s="4" t="s">
        <v>919</v>
      </c>
      <c r="B890" s="16" t="str">
        <f t="shared" si="63"/>
        <v>ADWAITH AGGREGATE SOLUTIONS</v>
      </c>
      <c r="C890" s="16" t="str">
        <f t="shared" si="64"/>
        <v>KHASRA NO. 942/779 HANUMAN NAGAR (Hanuman Nagar/Nagaur/Nagaur)</v>
      </c>
      <c r="D890" s="4" t="s">
        <v>3033</v>
      </c>
      <c r="E890" s="4" t="s">
        <v>3119</v>
      </c>
      <c r="F890" s="5">
        <v>46050.999664351853</v>
      </c>
      <c r="G890" s="16" t="str">
        <f t="shared" si="65"/>
        <v>MasonaryStone (Gitti)</v>
      </c>
      <c r="H890" s="4" t="s">
        <v>2385</v>
      </c>
      <c r="I890" s="18" t="str" cm="1">
        <f t="array" ref="I890">_xlfn.LET(_xlpm.text, D890,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90" s="18" t="str" cm="1">
        <f t="array" ref="J890">_xlfn.LET(_xlpm.text, E890,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0" s="14">
        <f t="shared" si="66"/>
        <v>46051</v>
      </c>
      <c r="L890" s="14">
        <f t="shared" si="67"/>
        <v>46051.624664351853</v>
      </c>
      <c r="N890" s="12"/>
    </row>
    <row r="891" spans="1:14" x14ac:dyDescent="0.25">
      <c r="A891" s="4" t="s">
        <v>920</v>
      </c>
      <c r="B891" s="16" t="str">
        <f t="shared" si="63"/>
        <v>ADWAITH AGGREGATE SOLUTIONS</v>
      </c>
      <c r="C891" s="16" t="str">
        <f t="shared" si="64"/>
        <v>KHASRA NO. 942/779 HANUMAN NAGAR (Hanuman Nagar/Nagaur/Nagaur)</v>
      </c>
      <c r="D891" s="4" t="s">
        <v>3033</v>
      </c>
      <c r="E891" s="4" t="s">
        <v>3119</v>
      </c>
      <c r="F891" s="5">
        <v>46050.999664351853</v>
      </c>
      <c r="G891" s="16" t="str">
        <f t="shared" si="65"/>
        <v>MasonaryStone (Gitti)</v>
      </c>
      <c r="H891" s="4" t="s">
        <v>2661</v>
      </c>
      <c r="I891" s="18" t="str" cm="1">
        <f t="array" ref="I891">_xlfn.LET(_xlpm.text, D891,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891" s="18" t="str" cm="1">
        <f t="array" ref="J891">_xlfn.LET(_xlpm.text, E891,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1" s="14">
        <f t="shared" si="66"/>
        <v>46051</v>
      </c>
      <c r="L891" s="14">
        <f t="shared" si="67"/>
        <v>46051.624664351853</v>
      </c>
      <c r="N891" s="12"/>
    </row>
    <row r="892" spans="1:14" x14ac:dyDescent="0.25">
      <c r="A892" s="4" t="s">
        <v>921</v>
      </c>
      <c r="B892" s="16" t="str">
        <f t="shared" si="63"/>
        <v>MAA DURGA STONE CRUSHING COMPANY</v>
      </c>
      <c r="C892" s="16" t="str">
        <f t="shared" si="64"/>
        <v>CHADWAS(Chadwas/Bidasar/Sujangarh)</v>
      </c>
      <c r="D892" s="4" t="s">
        <v>3034</v>
      </c>
      <c r="E892" s="4" t="s">
        <v>3119</v>
      </c>
      <c r="F892" s="5">
        <v>46047.999664351853</v>
      </c>
      <c r="G892" s="16" t="str">
        <f t="shared" si="65"/>
        <v>MasonaryStone (Gitti)</v>
      </c>
      <c r="H892" s="4" t="s">
        <v>2662</v>
      </c>
      <c r="I892" s="18" t="str" cm="1">
        <f t="array" ref="I892">_xlfn.LET(_xlpm.text, D892,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2" s="18" t="str" cm="1">
        <f t="array" ref="J892">_xlfn.LET(_xlpm.text, E892,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2" s="14">
        <f t="shared" si="66"/>
        <v>46048</v>
      </c>
      <c r="L892" s="14">
        <f t="shared" si="67"/>
        <v>46048.624664351853</v>
      </c>
      <c r="N892" s="12"/>
    </row>
    <row r="893" spans="1:14" x14ac:dyDescent="0.25">
      <c r="A893" s="4" t="s">
        <v>922</v>
      </c>
      <c r="B893" s="16" t="str">
        <f t="shared" si="63"/>
        <v>MAA DURGA STONE CRUSHING COMPANY</v>
      </c>
      <c r="C893" s="16" t="str">
        <f t="shared" si="64"/>
        <v>CHADWAS(Chadwas/Bidasar/Sujangarh)</v>
      </c>
      <c r="D893" s="4" t="s">
        <v>3034</v>
      </c>
      <c r="E893" s="4" t="s">
        <v>3119</v>
      </c>
      <c r="F893" s="5">
        <v>46048.999664351853</v>
      </c>
      <c r="G893" s="16" t="str">
        <f t="shared" si="65"/>
        <v>MasonaryStone (Gitti)</v>
      </c>
      <c r="H893" s="4" t="s">
        <v>2663</v>
      </c>
      <c r="I893" s="18" t="str" cm="1">
        <f t="array" ref="I893">_xlfn.LET(_xlpm.text, D893,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3" s="18" t="str" cm="1">
        <f t="array" ref="J893">_xlfn.LET(_xlpm.text, E893,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3" s="14">
        <f t="shared" si="66"/>
        <v>46049</v>
      </c>
      <c r="L893" s="14">
        <f t="shared" si="67"/>
        <v>46049.624664351853</v>
      </c>
      <c r="N893" s="12"/>
    </row>
    <row r="894" spans="1:14" x14ac:dyDescent="0.25">
      <c r="A894" s="4" t="s">
        <v>923</v>
      </c>
      <c r="B894" s="16" t="str">
        <f t="shared" si="63"/>
        <v>MAA DURGA STONE CRUSHING COMPANY</v>
      </c>
      <c r="C894" s="16" t="str">
        <f t="shared" si="64"/>
        <v>CHADWAS(Chadwas/Bidasar/Sujangarh)</v>
      </c>
      <c r="D894" s="4" t="s">
        <v>3034</v>
      </c>
      <c r="E894" s="4" t="s">
        <v>3119</v>
      </c>
      <c r="F894" s="5">
        <v>46047.999664351853</v>
      </c>
      <c r="G894" s="16" t="str">
        <f t="shared" si="65"/>
        <v>MasonaryStone (Gitti)</v>
      </c>
      <c r="H894" s="4" t="s">
        <v>2397</v>
      </c>
      <c r="I894" s="18" t="str" cm="1">
        <f t="array" ref="I894">_xlfn.LET(_xlpm.text, D894,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4" s="18" t="str" cm="1">
        <f t="array" ref="J894">_xlfn.LET(_xlpm.text, E894,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4" s="14">
        <f t="shared" si="66"/>
        <v>46048</v>
      </c>
      <c r="L894" s="14">
        <f t="shared" si="67"/>
        <v>46048.624664351853</v>
      </c>
      <c r="N894" s="12"/>
    </row>
    <row r="895" spans="1:14" x14ac:dyDescent="0.25">
      <c r="A895" s="4" t="s">
        <v>924</v>
      </c>
      <c r="B895" s="16" t="str">
        <f t="shared" si="63"/>
        <v>MAA DURGA STONE CRUSHING COMPANY</v>
      </c>
      <c r="C895" s="16" t="str">
        <f t="shared" si="64"/>
        <v>CHADWAS(Chadwas/Bidasar/Sujangarh)</v>
      </c>
      <c r="D895" s="4" t="s">
        <v>3034</v>
      </c>
      <c r="E895" s="4" t="s">
        <v>3119</v>
      </c>
      <c r="F895" s="5">
        <v>46041.999664351853</v>
      </c>
      <c r="G895" s="16" t="str">
        <f t="shared" si="65"/>
        <v>MasonaryStone (Gitti)</v>
      </c>
      <c r="H895" s="4" t="s">
        <v>2664</v>
      </c>
      <c r="I895" s="18" t="str" cm="1">
        <f t="array" ref="I895">_xlfn.LET(_xlpm.text, D895,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5" s="18" t="str" cm="1">
        <f t="array" ref="J895">_xlfn.LET(_xlpm.text, E895,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5" s="14">
        <f t="shared" si="66"/>
        <v>46042</v>
      </c>
      <c r="L895" s="14">
        <f t="shared" si="67"/>
        <v>46042.624664351853</v>
      </c>
      <c r="N895" s="12"/>
    </row>
    <row r="896" spans="1:14" x14ac:dyDescent="0.25">
      <c r="A896" s="4" t="s">
        <v>925</v>
      </c>
      <c r="B896" s="16" t="str">
        <f t="shared" si="63"/>
        <v>MAA DURGA STONE CRUSHING COMPANY</v>
      </c>
      <c r="C896" s="16" t="str">
        <f t="shared" si="64"/>
        <v>CHADWAS(Chadwas/Bidasar/Sujangarh)</v>
      </c>
      <c r="D896" s="4" t="s">
        <v>3034</v>
      </c>
      <c r="E896" s="4" t="s">
        <v>3119</v>
      </c>
      <c r="F896" s="5">
        <v>46036.999664351853</v>
      </c>
      <c r="G896" s="16" t="str">
        <f t="shared" si="65"/>
        <v>MasonaryStone (Gitti)</v>
      </c>
      <c r="H896" s="4" t="s">
        <v>2665</v>
      </c>
      <c r="I896" s="18" t="str" cm="1">
        <f t="array" ref="I896">_xlfn.LET(_xlpm.text, D896,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6" s="18" t="str" cm="1">
        <f t="array" ref="J896">_xlfn.LET(_xlpm.text, E896,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6" s="14">
        <f t="shared" si="66"/>
        <v>46037</v>
      </c>
      <c r="L896" s="14">
        <f t="shared" si="67"/>
        <v>46037.624664351853</v>
      </c>
      <c r="N896" s="12"/>
    </row>
    <row r="897" spans="1:14" x14ac:dyDescent="0.25">
      <c r="A897" s="4" t="s">
        <v>926</v>
      </c>
      <c r="B897" s="16" t="str">
        <f t="shared" si="63"/>
        <v>MAA DURGA STONE CRUSHING COMPANY</v>
      </c>
      <c r="C897" s="16" t="str">
        <f t="shared" si="64"/>
        <v>CHADWAS(Chadwas/Bidasar/Sujangarh)</v>
      </c>
      <c r="D897" s="4" t="s">
        <v>3034</v>
      </c>
      <c r="E897" s="4" t="s">
        <v>3119</v>
      </c>
      <c r="F897" s="5">
        <v>46036.999664351853</v>
      </c>
      <c r="G897" s="16" t="str">
        <f t="shared" si="65"/>
        <v>MasonaryStone (Gitti)</v>
      </c>
      <c r="H897" s="4" t="s">
        <v>2302</v>
      </c>
      <c r="I897" s="18" t="str" cm="1">
        <f t="array" ref="I897">_xlfn.LET(_xlpm.text, D897,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7" s="18" t="str" cm="1">
        <f t="array" ref="J897">_xlfn.LET(_xlpm.text, E897,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7" s="14">
        <f t="shared" si="66"/>
        <v>46037</v>
      </c>
      <c r="L897" s="14">
        <f t="shared" si="67"/>
        <v>46037.624664351853</v>
      </c>
      <c r="N897" s="12"/>
    </row>
    <row r="898" spans="1:14" x14ac:dyDescent="0.25">
      <c r="A898" s="4" t="s">
        <v>927</v>
      </c>
      <c r="B898" s="16" t="str">
        <f t="shared" ref="B898:B961" si="68">VLOOKUP(LEFT($A898,4)&amp;"*",$O$3:$R$17, 2, FALSE)</f>
        <v>MAA DURGA STONE CRUSHING COMPANY</v>
      </c>
      <c r="C898" s="16" t="str">
        <f t="shared" ref="C898:C961" si="69">VLOOKUP(LEFT($A898,4)&amp;"*",$O$3:$R$17, 3, FALSE)</f>
        <v>CHADWAS(Chadwas/Bidasar/Sujangarh)</v>
      </c>
      <c r="D898" s="4" t="s">
        <v>3034</v>
      </c>
      <c r="E898" s="4" t="s">
        <v>3119</v>
      </c>
      <c r="F898" s="5">
        <v>46034.999664351853</v>
      </c>
      <c r="G898" s="16" t="str">
        <f t="shared" ref="G898:G961" si="70">VLOOKUP(LEFT($A898,4)&amp;"*",$O$3:$R$17, 4, FALSE)</f>
        <v>MasonaryStone (Gitti)</v>
      </c>
      <c r="H898" s="4" t="s">
        <v>2666</v>
      </c>
      <c r="I898" s="18" t="str" cm="1">
        <f t="array" ref="I898">_xlfn.LET(_xlpm.text, D898,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8" s="18" t="str" cm="1">
        <f t="array" ref="J898">_xlfn.LET(_xlpm.text, E898,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8" s="14">
        <f t="shared" si="66"/>
        <v>46035</v>
      </c>
      <c r="L898" s="14">
        <f t="shared" si="67"/>
        <v>46035.624664351853</v>
      </c>
      <c r="N898" s="12"/>
    </row>
    <row r="899" spans="1:14" x14ac:dyDescent="0.25">
      <c r="A899" s="4" t="s">
        <v>928</v>
      </c>
      <c r="B899" s="16" t="str">
        <f t="shared" si="68"/>
        <v>MAA DURGA STONE CRUSHING COMPANY</v>
      </c>
      <c r="C899" s="16" t="str">
        <f t="shared" si="69"/>
        <v>CHADWAS(Chadwas/Bidasar/Sujangarh)</v>
      </c>
      <c r="D899" s="4" t="s">
        <v>3034</v>
      </c>
      <c r="E899" s="4" t="s">
        <v>3119</v>
      </c>
      <c r="F899" s="5">
        <v>46033.999664351853</v>
      </c>
      <c r="G899" s="16" t="str">
        <f t="shared" si="70"/>
        <v>MasonaryStone (Gitti)</v>
      </c>
      <c r="H899" s="4" t="s">
        <v>2667</v>
      </c>
      <c r="I899" s="18" t="str" cm="1">
        <f t="array" ref="I899">_xlfn.LET(_xlpm.text, D899,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899" s="18" t="str" cm="1">
        <f t="array" ref="J899">_xlfn.LET(_xlpm.text, E899,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899" s="14">
        <f t="shared" ref="K899:K962" si="71">F899+(29/86400)</f>
        <v>46034</v>
      </c>
      <c r="L899" s="14">
        <f t="shared" ref="L899:L962" si="72">F899+(15/24)</f>
        <v>46034.624664351853</v>
      </c>
      <c r="N899" s="12"/>
    </row>
    <row r="900" spans="1:14" x14ac:dyDescent="0.25">
      <c r="A900" s="4" t="s">
        <v>929</v>
      </c>
      <c r="B900" s="16" t="str">
        <f t="shared" si="68"/>
        <v>MAA DURGA STONE CRUSHING COMPANY</v>
      </c>
      <c r="C900" s="16" t="str">
        <f t="shared" si="69"/>
        <v>CHADWAS(Chadwas/Bidasar/Sujangarh)</v>
      </c>
      <c r="D900" s="4" t="s">
        <v>3034</v>
      </c>
      <c r="E900" s="4" t="s">
        <v>3119</v>
      </c>
      <c r="F900" s="5">
        <v>46033.999664351853</v>
      </c>
      <c r="G900" s="16" t="str">
        <f t="shared" si="70"/>
        <v>MasonaryStone (Gitti)</v>
      </c>
      <c r="H900" s="4" t="s">
        <v>2486</v>
      </c>
      <c r="I900" s="18" t="str" cm="1">
        <f t="array" ref="I900">_xlfn.LET(_xlpm.text, D900,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0" s="18" t="str" cm="1">
        <f t="array" ref="J900">_xlfn.LET(_xlpm.text, E900,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0" s="14">
        <f t="shared" si="71"/>
        <v>46034</v>
      </c>
      <c r="L900" s="14">
        <f t="shared" si="72"/>
        <v>46034.624664351853</v>
      </c>
      <c r="N900" s="12"/>
    </row>
    <row r="901" spans="1:14" x14ac:dyDescent="0.25">
      <c r="A901" s="4" t="s">
        <v>930</v>
      </c>
      <c r="B901" s="16" t="str">
        <f t="shared" si="68"/>
        <v>MAA DURGA STONE CRUSHING COMPANY</v>
      </c>
      <c r="C901" s="16" t="str">
        <f t="shared" si="69"/>
        <v>CHADWAS(Chadwas/Bidasar/Sujangarh)</v>
      </c>
      <c r="D901" s="4" t="s">
        <v>3034</v>
      </c>
      <c r="E901" s="4" t="s">
        <v>3119</v>
      </c>
      <c r="F901" s="5">
        <v>46033.999664351853</v>
      </c>
      <c r="G901" s="16" t="str">
        <f t="shared" si="70"/>
        <v>MasonaryStone (Gitti)</v>
      </c>
      <c r="H901" s="4" t="s">
        <v>2668</v>
      </c>
      <c r="I901" s="18" t="str" cm="1">
        <f t="array" ref="I901">_xlfn.LET(_xlpm.text, D901,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1" s="18" t="str" cm="1">
        <f t="array" ref="J901">_xlfn.LET(_xlpm.text, E901,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1" s="14">
        <f t="shared" si="71"/>
        <v>46034</v>
      </c>
      <c r="L901" s="14">
        <f t="shared" si="72"/>
        <v>46034.624664351853</v>
      </c>
      <c r="N901" s="12"/>
    </row>
    <row r="902" spans="1:14" x14ac:dyDescent="0.25">
      <c r="A902" s="4" t="s">
        <v>931</v>
      </c>
      <c r="B902" s="16" t="str">
        <f t="shared" si="68"/>
        <v>MAA DURGA STONE CRUSHING COMPANY</v>
      </c>
      <c r="C902" s="16" t="str">
        <f t="shared" si="69"/>
        <v>CHADWAS(Chadwas/Bidasar/Sujangarh)</v>
      </c>
      <c r="D902" s="4" t="s">
        <v>3034</v>
      </c>
      <c r="E902" s="4" t="s">
        <v>3119</v>
      </c>
      <c r="F902" s="5">
        <v>46048.999664351853</v>
      </c>
      <c r="G902" s="16" t="str">
        <f t="shared" si="70"/>
        <v>MasonaryStone (Gitti)</v>
      </c>
      <c r="H902" s="4" t="s">
        <v>2669</v>
      </c>
      <c r="I902" s="18" t="str" cm="1">
        <f t="array" ref="I902">_xlfn.LET(_xlpm.text, D902,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2" s="18" t="str" cm="1">
        <f t="array" ref="J902">_xlfn.LET(_xlpm.text, E902,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2" s="14">
        <f t="shared" si="71"/>
        <v>46049</v>
      </c>
      <c r="L902" s="14">
        <f t="shared" si="72"/>
        <v>46049.624664351853</v>
      </c>
      <c r="N902" s="12"/>
    </row>
    <row r="903" spans="1:14" x14ac:dyDescent="0.25">
      <c r="A903" s="4" t="s">
        <v>932</v>
      </c>
      <c r="B903" s="16" t="str">
        <f t="shared" si="68"/>
        <v>MAA DURGA STONE CRUSHING COMPANY</v>
      </c>
      <c r="C903" s="16" t="str">
        <f t="shared" si="69"/>
        <v>CHADWAS(Chadwas/Bidasar/Sujangarh)</v>
      </c>
      <c r="D903" s="4" t="s">
        <v>3034</v>
      </c>
      <c r="E903" s="4" t="s">
        <v>3119</v>
      </c>
      <c r="F903" s="5">
        <v>46046.999664351853</v>
      </c>
      <c r="G903" s="16" t="str">
        <f t="shared" si="70"/>
        <v>MasonaryStone (Gitti)</v>
      </c>
      <c r="H903" s="4" t="s">
        <v>2394</v>
      </c>
      <c r="I903" s="18" t="str" cm="1">
        <f t="array" ref="I903">_xlfn.LET(_xlpm.text, D903,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3" s="18" t="str" cm="1">
        <f t="array" ref="J903">_xlfn.LET(_xlpm.text, E903,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3" s="14">
        <f t="shared" si="71"/>
        <v>46047</v>
      </c>
      <c r="L903" s="14">
        <f t="shared" si="72"/>
        <v>46047.624664351853</v>
      </c>
      <c r="N903" s="12"/>
    </row>
    <row r="904" spans="1:14" x14ac:dyDescent="0.25">
      <c r="A904" s="4" t="s">
        <v>933</v>
      </c>
      <c r="B904" s="16" t="str">
        <f t="shared" si="68"/>
        <v>MAA DURGA STONE CRUSHING COMPANY</v>
      </c>
      <c r="C904" s="16" t="str">
        <f t="shared" si="69"/>
        <v>CHADWAS(Chadwas/Bidasar/Sujangarh)</v>
      </c>
      <c r="D904" s="4" t="s">
        <v>3034</v>
      </c>
      <c r="E904" s="4" t="s">
        <v>3119</v>
      </c>
      <c r="F904" s="5">
        <v>46046.999664351853</v>
      </c>
      <c r="G904" s="16" t="str">
        <f t="shared" si="70"/>
        <v>MasonaryStone (Gitti)</v>
      </c>
      <c r="H904" s="4" t="s">
        <v>2670</v>
      </c>
      <c r="I904" s="18" t="str" cm="1">
        <f t="array" ref="I904">_xlfn.LET(_xlpm.text, D904,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4" s="18" t="str" cm="1">
        <f t="array" ref="J904">_xlfn.LET(_xlpm.text, E904,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4" s="14">
        <f t="shared" si="71"/>
        <v>46047</v>
      </c>
      <c r="L904" s="14">
        <f t="shared" si="72"/>
        <v>46047.624664351853</v>
      </c>
      <c r="N904" s="12"/>
    </row>
    <row r="905" spans="1:14" x14ac:dyDescent="0.25">
      <c r="A905" s="4" t="s">
        <v>934</v>
      </c>
      <c r="B905" s="16" t="str">
        <f t="shared" si="68"/>
        <v>MAA DURGA STONE CRUSHING COMPANY</v>
      </c>
      <c r="C905" s="16" t="str">
        <f t="shared" si="69"/>
        <v>CHADWAS(Chadwas/Bidasar/Sujangarh)</v>
      </c>
      <c r="D905" s="4" t="s">
        <v>3034</v>
      </c>
      <c r="E905" s="4" t="s">
        <v>3119</v>
      </c>
      <c r="F905" s="5">
        <v>46048.999664351853</v>
      </c>
      <c r="G905" s="16" t="str">
        <f t="shared" si="70"/>
        <v>MasonaryStone (Gitti)</v>
      </c>
      <c r="H905" s="4" t="s">
        <v>2513</v>
      </c>
      <c r="I905" s="18" t="str" cm="1">
        <f t="array" ref="I905">_xlfn.LET(_xlpm.text, D905,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5" s="18" t="str" cm="1">
        <f t="array" ref="J905">_xlfn.LET(_xlpm.text, E905,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5" s="14">
        <f t="shared" si="71"/>
        <v>46049</v>
      </c>
      <c r="L905" s="14">
        <f t="shared" si="72"/>
        <v>46049.624664351853</v>
      </c>
      <c r="N905" s="12"/>
    </row>
    <row r="906" spans="1:14" x14ac:dyDescent="0.25">
      <c r="A906" s="4" t="s">
        <v>935</v>
      </c>
      <c r="B906" s="16" t="str">
        <f t="shared" si="68"/>
        <v>MAA DURGA STONE CRUSHING COMPANY</v>
      </c>
      <c r="C906" s="16" t="str">
        <f t="shared" si="69"/>
        <v>CHADWAS(Chadwas/Bidasar/Sujangarh)</v>
      </c>
      <c r="D906" s="4" t="s">
        <v>3034</v>
      </c>
      <c r="E906" s="4" t="s">
        <v>3119</v>
      </c>
      <c r="F906" s="5">
        <v>46047.999664351853</v>
      </c>
      <c r="G906" s="16" t="str">
        <f t="shared" si="70"/>
        <v>MasonaryStone (Gitti)</v>
      </c>
      <c r="H906" s="4" t="s">
        <v>2671</v>
      </c>
      <c r="I906" s="18" t="str" cm="1">
        <f t="array" ref="I906">_xlfn.LET(_xlpm.text, D906,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06" s="18" t="str" cm="1">
        <f t="array" ref="J906">_xlfn.LET(_xlpm.text, E906,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6" s="14">
        <f t="shared" si="71"/>
        <v>46048</v>
      </c>
      <c r="L906" s="14">
        <f t="shared" si="72"/>
        <v>46048.624664351853</v>
      </c>
      <c r="N906" s="12"/>
    </row>
    <row r="907" spans="1:14" x14ac:dyDescent="0.25">
      <c r="A907" s="4" t="s">
        <v>936</v>
      </c>
      <c r="B907" s="16" t="str">
        <f t="shared" si="68"/>
        <v>MAA DURGA STONE CRUSHING COMPANY</v>
      </c>
      <c r="C907" s="16" t="str">
        <f t="shared" si="69"/>
        <v>CHADWAS(Chadwas/Bidasar/Sujangarh)</v>
      </c>
      <c r="D907" s="4" t="s">
        <v>3035</v>
      </c>
      <c r="E907" s="4" t="s">
        <v>3119</v>
      </c>
      <c r="F907" s="5">
        <v>46026.999664351853</v>
      </c>
      <c r="G907" s="16" t="str">
        <f t="shared" si="70"/>
        <v>MasonaryStone (Gitti)</v>
      </c>
      <c r="H907" s="4" t="s">
        <v>2672</v>
      </c>
      <c r="I907" s="18" t="str" cm="1">
        <f t="array" ref="I907">_xlfn.LET(_xlpm.text, D907,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07" s="18" t="str" cm="1">
        <f t="array" ref="J907">_xlfn.LET(_xlpm.text, E907,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7" s="14">
        <f t="shared" si="71"/>
        <v>46027</v>
      </c>
      <c r="L907" s="14">
        <f t="shared" si="72"/>
        <v>46027.624664351853</v>
      </c>
      <c r="N907" s="12"/>
    </row>
    <row r="908" spans="1:14" x14ac:dyDescent="0.25">
      <c r="A908" s="4" t="s">
        <v>937</v>
      </c>
      <c r="B908" s="16" t="str">
        <f t="shared" si="68"/>
        <v>MAA DURGA STONE CRUSHING COMPANY</v>
      </c>
      <c r="C908" s="16" t="str">
        <f t="shared" si="69"/>
        <v>CHADWAS(Chadwas/Bidasar/Sujangarh)</v>
      </c>
      <c r="D908" s="4" t="s">
        <v>3035</v>
      </c>
      <c r="E908" s="4" t="s">
        <v>3119</v>
      </c>
      <c r="F908" s="5">
        <v>46031.999664351853</v>
      </c>
      <c r="G908" s="16" t="str">
        <f t="shared" si="70"/>
        <v>MasonaryStone (Gitti)</v>
      </c>
      <c r="H908" s="4" t="s">
        <v>2673</v>
      </c>
      <c r="I908" s="18" t="str" cm="1">
        <f t="array" ref="I908">_xlfn.LET(_xlpm.text, D908,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08" s="18" t="str" cm="1">
        <f t="array" ref="J908">_xlfn.LET(_xlpm.text, E908,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8" s="14">
        <f t="shared" si="71"/>
        <v>46032</v>
      </c>
      <c r="L908" s="14">
        <f t="shared" si="72"/>
        <v>46032.624664351853</v>
      </c>
      <c r="N908" s="12"/>
    </row>
    <row r="909" spans="1:14" x14ac:dyDescent="0.25">
      <c r="A909" s="4" t="s">
        <v>938</v>
      </c>
      <c r="B909" s="16" t="str">
        <f t="shared" si="68"/>
        <v>MAA DURGA STONE CRUSHING COMPANY</v>
      </c>
      <c r="C909" s="16" t="str">
        <f t="shared" si="69"/>
        <v>CHADWAS(Chadwas/Bidasar/Sujangarh)</v>
      </c>
      <c r="D909" s="4" t="s">
        <v>3035</v>
      </c>
      <c r="E909" s="4" t="s">
        <v>3119</v>
      </c>
      <c r="F909" s="5">
        <v>46031.999664351853</v>
      </c>
      <c r="G909" s="16" t="str">
        <f t="shared" si="70"/>
        <v>MasonaryStone (Gitti)</v>
      </c>
      <c r="H909" s="4" t="s">
        <v>2674</v>
      </c>
      <c r="I909" s="18" t="str" cm="1">
        <f t="array" ref="I909">_xlfn.LET(_xlpm.text, D909,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09" s="18" t="str" cm="1">
        <f t="array" ref="J909">_xlfn.LET(_xlpm.text, E909,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09" s="14">
        <f t="shared" si="71"/>
        <v>46032</v>
      </c>
      <c r="L909" s="14">
        <f t="shared" si="72"/>
        <v>46032.624664351853</v>
      </c>
      <c r="N909" s="12"/>
    </row>
    <row r="910" spans="1:14" x14ac:dyDescent="0.25">
      <c r="A910" s="4" t="s">
        <v>939</v>
      </c>
      <c r="B910" s="16" t="str">
        <f t="shared" si="68"/>
        <v>MAA DURGA STONE CRUSHING COMPANY</v>
      </c>
      <c r="C910" s="16" t="str">
        <f t="shared" si="69"/>
        <v>CHADWAS(Chadwas/Bidasar/Sujangarh)</v>
      </c>
      <c r="D910" s="4" t="s">
        <v>3035</v>
      </c>
      <c r="E910" s="4" t="s">
        <v>3119</v>
      </c>
      <c r="F910" s="5">
        <v>46034.999664351853</v>
      </c>
      <c r="G910" s="16" t="str">
        <f t="shared" si="70"/>
        <v>MasonaryStone (Gitti)</v>
      </c>
      <c r="H910" s="4" t="s">
        <v>2340</v>
      </c>
      <c r="I910" s="18" t="str" cm="1">
        <f t="array" ref="I910">_xlfn.LET(_xlpm.text, D910,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0" s="18" t="str" cm="1">
        <f t="array" ref="J910">_xlfn.LET(_xlpm.text, E910,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0" s="14">
        <f t="shared" si="71"/>
        <v>46035</v>
      </c>
      <c r="L910" s="14">
        <f t="shared" si="72"/>
        <v>46035.624664351853</v>
      </c>
      <c r="N910" s="12"/>
    </row>
    <row r="911" spans="1:14" x14ac:dyDescent="0.25">
      <c r="A911" s="4" t="s">
        <v>940</v>
      </c>
      <c r="B911" s="16" t="str">
        <f t="shared" si="68"/>
        <v>MAA DURGA STONE CRUSHING COMPANY</v>
      </c>
      <c r="C911" s="16" t="str">
        <f t="shared" si="69"/>
        <v>CHADWAS(Chadwas/Bidasar/Sujangarh)</v>
      </c>
      <c r="D911" s="4" t="s">
        <v>3035</v>
      </c>
      <c r="E911" s="4" t="s">
        <v>3119</v>
      </c>
      <c r="F911" s="5">
        <v>46035.999664351853</v>
      </c>
      <c r="G911" s="16" t="str">
        <f t="shared" si="70"/>
        <v>MasonaryStone (Gitti)</v>
      </c>
      <c r="H911" s="4" t="s">
        <v>2675</v>
      </c>
      <c r="I911" s="18" t="str" cm="1">
        <f t="array" ref="I911">_xlfn.LET(_xlpm.text, D911,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1" s="18" t="str" cm="1">
        <f t="array" ref="J911">_xlfn.LET(_xlpm.text, E911,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1" s="14">
        <f t="shared" si="71"/>
        <v>46036</v>
      </c>
      <c r="L911" s="14">
        <f t="shared" si="72"/>
        <v>46036.624664351853</v>
      </c>
      <c r="N911" s="12"/>
    </row>
    <row r="912" spans="1:14" x14ac:dyDescent="0.25">
      <c r="A912" s="4" t="s">
        <v>941</v>
      </c>
      <c r="B912" s="16" t="str">
        <f t="shared" si="68"/>
        <v>MAA DURGA STONE CRUSHING COMPANY</v>
      </c>
      <c r="C912" s="16" t="str">
        <f t="shared" si="69"/>
        <v>CHADWAS(Chadwas/Bidasar/Sujangarh)</v>
      </c>
      <c r="D912" s="4" t="s">
        <v>3035</v>
      </c>
      <c r="E912" s="4" t="s">
        <v>3119</v>
      </c>
      <c r="F912" s="5">
        <v>46035.999664351853</v>
      </c>
      <c r="G912" s="16" t="str">
        <f t="shared" si="70"/>
        <v>MasonaryStone (Gitti)</v>
      </c>
      <c r="H912" s="4" t="s">
        <v>2676</v>
      </c>
      <c r="I912" s="18" t="str" cm="1">
        <f t="array" ref="I912">_xlfn.LET(_xlpm.text, D912,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2" s="18" t="str" cm="1">
        <f t="array" ref="J912">_xlfn.LET(_xlpm.text, E912,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2" s="14">
        <f t="shared" si="71"/>
        <v>46036</v>
      </c>
      <c r="L912" s="14">
        <f t="shared" si="72"/>
        <v>46036.624664351853</v>
      </c>
      <c r="N912" s="12"/>
    </row>
    <row r="913" spans="1:14" x14ac:dyDescent="0.25">
      <c r="A913" s="4" t="s">
        <v>942</v>
      </c>
      <c r="B913" s="16" t="str">
        <f t="shared" si="68"/>
        <v>MAA DURGA STONE CRUSHING COMPANY</v>
      </c>
      <c r="C913" s="16" t="str">
        <f t="shared" si="69"/>
        <v>CHADWAS(Chadwas/Bidasar/Sujangarh)</v>
      </c>
      <c r="D913" s="4" t="s">
        <v>3035</v>
      </c>
      <c r="E913" s="4" t="s">
        <v>3119</v>
      </c>
      <c r="F913" s="5">
        <v>46035.999664351853</v>
      </c>
      <c r="G913" s="16" t="str">
        <f t="shared" si="70"/>
        <v>MasonaryStone (Gitti)</v>
      </c>
      <c r="H913" s="4" t="s">
        <v>2677</v>
      </c>
      <c r="I913" s="18" t="str" cm="1">
        <f t="array" ref="I913">_xlfn.LET(_xlpm.text, D913,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3" s="18" t="str" cm="1">
        <f t="array" ref="J913">_xlfn.LET(_xlpm.text, E913,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3" s="14">
        <f t="shared" si="71"/>
        <v>46036</v>
      </c>
      <c r="L913" s="14">
        <f t="shared" si="72"/>
        <v>46036.624664351853</v>
      </c>
      <c r="N913" s="12"/>
    </row>
    <row r="914" spans="1:14" x14ac:dyDescent="0.25">
      <c r="A914" s="4" t="s">
        <v>943</v>
      </c>
      <c r="B914" s="16" t="str">
        <f t="shared" si="68"/>
        <v>MAA DURGA STONE CRUSHING COMPANY</v>
      </c>
      <c r="C914" s="16" t="str">
        <f t="shared" si="69"/>
        <v>CHADWAS(Chadwas/Bidasar/Sujangarh)</v>
      </c>
      <c r="D914" s="4" t="s">
        <v>3035</v>
      </c>
      <c r="E914" s="4" t="s">
        <v>3119</v>
      </c>
      <c r="F914" s="5">
        <v>46035.999664351853</v>
      </c>
      <c r="G914" s="16" t="str">
        <f t="shared" si="70"/>
        <v>MasonaryStone (Gitti)</v>
      </c>
      <c r="H914" s="4" t="s">
        <v>2678</v>
      </c>
      <c r="I914" s="18" t="str" cm="1">
        <f t="array" ref="I914">_xlfn.LET(_xlpm.text, D914,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4" s="18" t="str" cm="1">
        <f t="array" ref="J914">_xlfn.LET(_xlpm.text, E914,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4" s="14">
        <f t="shared" si="71"/>
        <v>46036</v>
      </c>
      <c r="L914" s="14">
        <f t="shared" si="72"/>
        <v>46036.624664351853</v>
      </c>
      <c r="N914" s="12"/>
    </row>
    <row r="915" spans="1:14" x14ac:dyDescent="0.25">
      <c r="A915" s="4" t="s">
        <v>944</v>
      </c>
      <c r="B915" s="16" t="str">
        <f t="shared" si="68"/>
        <v>MAA DURGA STONE CRUSHING COMPANY</v>
      </c>
      <c r="C915" s="16" t="str">
        <f t="shared" si="69"/>
        <v>CHADWAS(Chadwas/Bidasar/Sujangarh)</v>
      </c>
      <c r="D915" s="4" t="s">
        <v>3035</v>
      </c>
      <c r="E915" s="4" t="s">
        <v>3119</v>
      </c>
      <c r="F915" s="5">
        <v>46035.999664351853</v>
      </c>
      <c r="G915" s="16" t="str">
        <f t="shared" si="70"/>
        <v>MasonaryStone (Gitti)</v>
      </c>
      <c r="H915" s="4" t="s">
        <v>2504</v>
      </c>
      <c r="I915" s="18" t="str" cm="1">
        <f t="array" ref="I915">_xlfn.LET(_xlpm.text, D915,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5" s="18" t="str" cm="1">
        <f t="array" ref="J915">_xlfn.LET(_xlpm.text, E915,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5" s="14">
        <f t="shared" si="71"/>
        <v>46036</v>
      </c>
      <c r="L915" s="14">
        <f t="shared" si="72"/>
        <v>46036.624664351853</v>
      </c>
      <c r="N915" s="12"/>
    </row>
    <row r="916" spans="1:14" x14ac:dyDescent="0.25">
      <c r="A916" s="4" t="s">
        <v>945</v>
      </c>
      <c r="B916" s="16" t="str">
        <f t="shared" si="68"/>
        <v>MAA DURGA STONE CRUSHING COMPANY</v>
      </c>
      <c r="C916" s="16" t="str">
        <f t="shared" si="69"/>
        <v>CHADWAS(Chadwas/Bidasar/Sujangarh)</v>
      </c>
      <c r="D916" s="4" t="s">
        <v>3035</v>
      </c>
      <c r="E916" s="4" t="s">
        <v>3119</v>
      </c>
      <c r="F916" s="5">
        <v>46035.999664351853</v>
      </c>
      <c r="G916" s="16" t="str">
        <f t="shared" si="70"/>
        <v>MasonaryStone (Gitti)</v>
      </c>
      <c r="H916" s="4" t="s">
        <v>2679</v>
      </c>
      <c r="I916" s="18" t="str" cm="1">
        <f t="array" ref="I916">_xlfn.LET(_xlpm.text, D916,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6" s="18" t="str" cm="1">
        <f t="array" ref="J916">_xlfn.LET(_xlpm.text, E916,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6" s="14">
        <f t="shared" si="71"/>
        <v>46036</v>
      </c>
      <c r="L916" s="14">
        <f t="shared" si="72"/>
        <v>46036.624664351853</v>
      </c>
      <c r="N916" s="12"/>
    </row>
    <row r="917" spans="1:14" x14ac:dyDescent="0.25">
      <c r="A917" s="4" t="s">
        <v>946</v>
      </c>
      <c r="B917" s="16" t="str">
        <f t="shared" si="68"/>
        <v>MAA DURGA STONE CRUSHING COMPANY</v>
      </c>
      <c r="C917" s="16" t="str">
        <f t="shared" si="69"/>
        <v>CHADWAS(Chadwas/Bidasar/Sujangarh)</v>
      </c>
      <c r="D917" s="4" t="s">
        <v>3035</v>
      </c>
      <c r="E917" s="4" t="s">
        <v>3119</v>
      </c>
      <c r="F917" s="5">
        <v>46036.999664351853</v>
      </c>
      <c r="G917" s="16" t="str">
        <f t="shared" si="70"/>
        <v>MasonaryStone (Gitti)</v>
      </c>
      <c r="H917" s="4" t="s">
        <v>2679</v>
      </c>
      <c r="I917" s="18" t="str" cm="1">
        <f t="array" ref="I917">_xlfn.LET(_xlpm.text, D917,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7" s="18" t="str" cm="1">
        <f t="array" ref="J917">_xlfn.LET(_xlpm.text, E917,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7" s="14">
        <f t="shared" si="71"/>
        <v>46037</v>
      </c>
      <c r="L917" s="14">
        <f t="shared" si="72"/>
        <v>46037.624664351853</v>
      </c>
      <c r="N917" s="12"/>
    </row>
    <row r="918" spans="1:14" x14ac:dyDescent="0.25">
      <c r="A918" s="4" t="s">
        <v>947</v>
      </c>
      <c r="B918" s="16" t="str">
        <f t="shared" si="68"/>
        <v>MAA DURGA STONE CRUSHING COMPANY</v>
      </c>
      <c r="C918" s="16" t="str">
        <f t="shared" si="69"/>
        <v>CHADWAS(Chadwas/Bidasar/Sujangarh)</v>
      </c>
      <c r="D918" s="4" t="s">
        <v>3035</v>
      </c>
      <c r="E918" s="4" t="s">
        <v>3119</v>
      </c>
      <c r="F918" s="5">
        <v>46036.999664351853</v>
      </c>
      <c r="G918" s="16" t="str">
        <f t="shared" si="70"/>
        <v>MasonaryStone (Gitti)</v>
      </c>
      <c r="H918" s="4" t="s">
        <v>2680</v>
      </c>
      <c r="I918" s="18" t="str" cm="1">
        <f t="array" ref="I918">_xlfn.LET(_xlpm.text, D918,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8" s="18" t="str" cm="1">
        <f t="array" ref="J918">_xlfn.LET(_xlpm.text, E918,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8" s="14">
        <f t="shared" si="71"/>
        <v>46037</v>
      </c>
      <c r="L918" s="14">
        <f t="shared" si="72"/>
        <v>46037.624664351853</v>
      </c>
      <c r="N918" s="12"/>
    </row>
    <row r="919" spans="1:14" x14ac:dyDescent="0.25">
      <c r="A919" s="4" t="s">
        <v>948</v>
      </c>
      <c r="B919" s="16" t="str">
        <f t="shared" si="68"/>
        <v>MAA DURGA STONE CRUSHING COMPANY</v>
      </c>
      <c r="C919" s="16" t="str">
        <f t="shared" si="69"/>
        <v>CHADWAS(Chadwas/Bidasar/Sujangarh)</v>
      </c>
      <c r="D919" s="4" t="s">
        <v>3035</v>
      </c>
      <c r="E919" s="4" t="s">
        <v>3119</v>
      </c>
      <c r="F919" s="5">
        <v>46035.999664351853</v>
      </c>
      <c r="G919" s="16" t="str">
        <f t="shared" si="70"/>
        <v>MasonaryStone (Gitti)</v>
      </c>
      <c r="H919" s="4" t="s">
        <v>2681</v>
      </c>
      <c r="I919" s="18" t="str" cm="1">
        <f t="array" ref="I919">_xlfn.LET(_xlpm.text, D919,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19" s="18" t="str" cm="1">
        <f t="array" ref="J919">_xlfn.LET(_xlpm.text, E919,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19" s="14">
        <f t="shared" si="71"/>
        <v>46036</v>
      </c>
      <c r="L919" s="14">
        <f t="shared" si="72"/>
        <v>46036.624664351853</v>
      </c>
      <c r="N919" s="12"/>
    </row>
    <row r="920" spans="1:14" x14ac:dyDescent="0.25">
      <c r="A920" s="4" t="s">
        <v>949</v>
      </c>
      <c r="B920" s="16" t="str">
        <f t="shared" si="68"/>
        <v>MAA DURGA STONE CRUSHING COMPANY</v>
      </c>
      <c r="C920" s="16" t="str">
        <f t="shared" si="69"/>
        <v>CHADWAS(Chadwas/Bidasar/Sujangarh)</v>
      </c>
      <c r="D920" s="4" t="s">
        <v>3035</v>
      </c>
      <c r="E920" s="4" t="s">
        <v>3119</v>
      </c>
      <c r="F920" s="5">
        <v>46034.999664351853</v>
      </c>
      <c r="G920" s="16" t="str">
        <f t="shared" si="70"/>
        <v>MasonaryStone (Gitti)</v>
      </c>
      <c r="H920" s="4" t="s">
        <v>2682</v>
      </c>
      <c r="I920" s="18" t="str" cm="1">
        <f t="array" ref="I920">_xlfn.LET(_xlpm.text, D920,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0" s="18" t="str" cm="1">
        <f t="array" ref="J920">_xlfn.LET(_xlpm.text, E920,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0" s="14">
        <f t="shared" si="71"/>
        <v>46035</v>
      </c>
      <c r="L920" s="14">
        <f t="shared" si="72"/>
        <v>46035.624664351853</v>
      </c>
      <c r="N920" s="12"/>
    </row>
    <row r="921" spans="1:14" x14ac:dyDescent="0.25">
      <c r="A921" s="4" t="s">
        <v>950</v>
      </c>
      <c r="B921" s="16" t="str">
        <f t="shared" si="68"/>
        <v>MAA DURGA STONE CRUSHING COMPANY</v>
      </c>
      <c r="C921" s="16" t="str">
        <f t="shared" si="69"/>
        <v>CHADWAS(Chadwas/Bidasar/Sujangarh)</v>
      </c>
      <c r="D921" s="4" t="s">
        <v>3035</v>
      </c>
      <c r="E921" s="4" t="s">
        <v>3119</v>
      </c>
      <c r="F921" s="5">
        <v>46037.999664351853</v>
      </c>
      <c r="G921" s="16" t="str">
        <f t="shared" si="70"/>
        <v>MasonaryStone (Gitti)</v>
      </c>
      <c r="H921" s="4" t="s">
        <v>2683</v>
      </c>
      <c r="I921" s="18" t="str" cm="1">
        <f t="array" ref="I921">_xlfn.LET(_xlpm.text, D921,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1" s="18" t="str" cm="1">
        <f t="array" ref="J921">_xlfn.LET(_xlpm.text, E921,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1" s="14">
        <f t="shared" si="71"/>
        <v>46038</v>
      </c>
      <c r="L921" s="14">
        <f t="shared" si="72"/>
        <v>46038.624664351853</v>
      </c>
      <c r="N921" s="12"/>
    </row>
    <row r="922" spans="1:14" x14ac:dyDescent="0.25">
      <c r="A922" s="4" t="s">
        <v>951</v>
      </c>
      <c r="B922" s="16" t="str">
        <f t="shared" si="68"/>
        <v>MAA DURGA STONE CRUSHING COMPANY</v>
      </c>
      <c r="C922" s="16" t="str">
        <f t="shared" si="69"/>
        <v>CHADWAS(Chadwas/Bidasar/Sujangarh)</v>
      </c>
      <c r="D922" s="4" t="s">
        <v>3035</v>
      </c>
      <c r="E922" s="4" t="s">
        <v>3119</v>
      </c>
      <c r="F922" s="5">
        <v>46024.999664351853</v>
      </c>
      <c r="G922" s="16" t="str">
        <f t="shared" si="70"/>
        <v>MasonaryStone (Gitti)</v>
      </c>
      <c r="H922" s="4" t="s">
        <v>2684</v>
      </c>
      <c r="I922" s="18" t="str" cm="1">
        <f t="array" ref="I922">_xlfn.LET(_xlpm.text, D922,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2" s="18" t="str" cm="1">
        <f t="array" ref="J922">_xlfn.LET(_xlpm.text, E922,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2" s="14">
        <f t="shared" si="71"/>
        <v>46025</v>
      </c>
      <c r="L922" s="14">
        <f t="shared" si="72"/>
        <v>46025.624664351853</v>
      </c>
      <c r="N922" s="12"/>
    </row>
    <row r="923" spans="1:14" x14ac:dyDescent="0.25">
      <c r="A923" s="4" t="s">
        <v>952</v>
      </c>
      <c r="B923" s="16" t="str">
        <f t="shared" si="68"/>
        <v>MAA DURGA STONE CRUSHING COMPANY</v>
      </c>
      <c r="C923" s="16" t="str">
        <f t="shared" si="69"/>
        <v>CHADWAS(Chadwas/Bidasar/Sujangarh)</v>
      </c>
      <c r="D923" s="4" t="s">
        <v>3035</v>
      </c>
      <c r="E923" s="4" t="s">
        <v>3119</v>
      </c>
      <c r="F923" s="5">
        <v>46037.999664351853</v>
      </c>
      <c r="G923" s="16" t="str">
        <f t="shared" si="70"/>
        <v>MasonaryStone (Gitti)</v>
      </c>
      <c r="H923" s="4" t="s">
        <v>2685</v>
      </c>
      <c r="I923" s="18" t="str" cm="1">
        <f t="array" ref="I923">_xlfn.LET(_xlpm.text, D923,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3" s="18" t="str" cm="1">
        <f t="array" ref="J923">_xlfn.LET(_xlpm.text, E923,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3" s="14">
        <f t="shared" si="71"/>
        <v>46038</v>
      </c>
      <c r="L923" s="14">
        <f t="shared" si="72"/>
        <v>46038.624664351853</v>
      </c>
      <c r="N923" s="12"/>
    </row>
    <row r="924" spans="1:14" x14ac:dyDescent="0.25">
      <c r="A924" s="4" t="s">
        <v>953</v>
      </c>
      <c r="B924" s="16" t="str">
        <f t="shared" si="68"/>
        <v>MAA DURGA STONE CRUSHING COMPANY</v>
      </c>
      <c r="C924" s="16" t="str">
        <f t="shared" si="69"/>
        <v>CHADWAS(Chadwas/Bidasar/Sujangarh)</v>
      </c>
      <c r="D924" s="4" t="s">
        <v>3035</v>
      </c>
      <c r="E924" s="4" t="s">
        <v>3119</v>
      </c>
      <c r="F924" s="5">
        <v>46024.999664351853</v>
      </c>
      <c r="G924" s="16" t="str">
        <f t="shared" si="70"/>
        <v>MasonaryStone (Gitti)</v>
      </c>
      <c r="H924" s="4" t="s">
        <v>2553</v>
      </c>
      <c r="I924" s="18" t="str" cm="1">
        <f t="array" ref="I924">_xlfn.LET(_xlpm.text, D924,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4" s="18" t="str" cm="1">
        <f t="array" ref="J924">_xlfn.LET(_xlpm.text, E924,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4" s="14">
        <f t="shared" si="71"/>
        <v>46025</v>
      </c>
      <c r="L924" s="14">
        <f t="shared" si="72"/>
        <v>46025.624664351853</v>
      </c>
      <c r="N924" s="12"/>
    </row>
    <row r="925" spans="1:14" x14ac:dyDescent="0.25">
      <c r="A925" s="4" t="s">
        <v>954</v>
      </c>
      <c r="B925" s="16" t="str">
        <f t="shared" si="68"/>
        <v>MAA DURGA STONE CRUSHING COMPANY</v>
      </c>
      <c r="C925" s="16" t="str">
        <f t="shared" si="69"/>
        <v>CHADWAS(Chadwas/Bidasar/Sujangarh)</v>
      </c>
      <c r="D925" s="4" t="s">
        <v>3035</v>
      </c>
      <c r="E925" s="4" t="s">
        <v>3119</v>
      </c>
      <c r="F925" s="5">
        <v>46037.999664351853</v>
      </c>
      <c r="G925" s="16" t="str">
        <f t="shared" si="70"/>
        <v>MasonaryStone (Gitti)</v>
      </c>
      <c r="H925" s="4" t="s">
        <v>2686</v>
      </c>
      <c r="I925" s="18" t="str" cm="1">
        <f t="array" ref="I925">_xlfn.LET(_xlpm.text, D925,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5" s="18" t="str" cm="1">
        <f t="array" ref="J925">_xlfn.LET(_xlpm.text, E925,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5" s="14">
        <f t="shared" si="71"/>
        <v>46038</v>
      </c>
      <c r="L925" s="14">
        <f t="shared" si="72"/>
        <v>46038.624664351853</v>
      </c>
      <c r="N925" s="12"/>
    </row>
    <row r="926" spans="1:14" x14ac:dyDescent="0.25">
      <c r="A926" s="4" t="s">
        <v>955</v>
      </c>
      <c r="B926" s="16" t="str">
        <f t="shared" si="68"/>
        <v>MAA DURGA STONE CRUSHING COMPANY</v>
      </c>
      <c r="C926" s="16" t="str">
        <f t="shared" si="69"/>
        <v>CHADWAS(Chadwas/Bidasar/Sujangarh)</v>
      </c>
      <c r="D926" s="4" t="s">
        <v>3035</v>
      </c>
      <c r="E926" s="4" t="s">
        <v>3119</v>
      </c>
      <c r="F926" s="5">
        <v>46024.999664351853</v>
      </c>
      <c r="G926" s="16" t="str">
        <f t="shared" si="70"/>
        <v>MasonaryStone (Gitti)</v>
      </c>
      <c r="H926" s="4" t="s">
        <v>2595</v>
      </c>
      <c r="I926" s="18" t="str" cm="1">
        <f t="array" ref="I926">_xlfn.LET(_xlpm.text, D926,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6" s="18" t="str" cm="1">
        <f t="array" ref="J926">_xlfn.LET(_xlpm.text, E926,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6" s="14">
        <f t="shared" si="71"/>
        <v>46025</v>
      </c>
      <c r="L926" s="14">
        <f t="shared" si="72"/>
        <v>46025.624664351853</v>
      </c>
      <c r="N926" s="12"/>
    </row>
    <row r="927" spans="1:14" x14ac:dyDescent="0.25">
      <c r="A927" s="4" t="s">
        <v>956</v>
      </c>
      <c r="B927" s="16" t="str">
        <f t="shared" si="68"/>
        <v>MAA DURGA STONE CRUSHING COMPANY</v>
      </c>
      <c r="C927" s="16" t="str">
        <f t="shared" si="69"/>
        <v>CHADWAS(Chadwas/Bidasar/Sujangarh)</v>
      </c>
      <c r="D927" s="4" t="s">
        <v>3035</v>
      </c>
      <c r="E927" s="4" t="s">
        <v>3119</v>
      </c>
      <c r="F927" s="5">
        <v>46022.999664351853</v>
      </c>
      <c r="G927" s="16" t="str">
        <f t="shared" si="70"/>
        <v>MasonaryStone (Gitti)</v>
      </c>
      <c r="H927" s="4" t="s">
        <v>2439</v>
      </c>
      <c r="I927" s="18" t="str" cm="1">
        <f t="array" ref="I927">_xlfn.LET(_xlpm.text, D927,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7" s="18" t="str" cm="1">
        <f t="array" ref="J927">_xlfn.LET(_xlpm.text, E927,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7" s="14">
        <f t="shared" si="71"/>
        <v>46023</v>
      </c>
      <c r="L927" s="14">
        <f t="shared" si="72"/>
        <v>46023.624664351853</v>
      </c>
      <c r="N927" s="12"/>
    </row>
    <row r="928" spans="1:14" x14ac:dyDescent="0.25">
      <c r="A928" s="4" t="s">
        <v>957</v>
      </c>
      <c r="B928" s="16" t="str">
        <f t="shared" si="68"/>
        <v>MAA DURGA STONE CRUSHING COMPANY</v>
      </c>
      <c r="C928" s="16" t="str">
        <f t="shared" si="69"/>
        <v>CHADWAS(Chadwas/Bidasar/Sujangarh)</v>
      </c>
      <c r="D928" s="4" t="s">
        <v>3035</v>
      </c>
      <c r="E928" s="4" t="s">
        <v>3119</v>
      </c>
      <c r="F928" s="5">
        <v>46037.999664351853</v>
      </c>
      <c r="G928" s="16" t="str">
        <f t="shared" si="70"/>
        <v>MasonaryStone (Gitti)</v>
      </c>
      <c r="H928" s="4" t="s">
        <v>2687</v>
      </c>
      <c r="I928" s="18" t="str" cm="1">
        <f t="array" ref="I928">_xlfn.LET(_xlpm.text, D928,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8" s="18" t="str" cm="1">
        <f t="array" ref="J928">_xlfn.LET(_xlpm.text, E928,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8" s="14">
        <f t="shared" si="71"/>
        <v>46038</v>
      </c>
      <c r="L928" s="14">
        <f t="shared" si="72"/>
        <v>46038.624664351853</v>
      </c>
      <c r="N928" s="12"/>
    </row>
    <row r="929" spans="1:14" x14ac:dyDescent="0.25">
      <c r="A929" s="4" t="s">
        <v>958</v>
      </c>
      <c r="B929" s="16" t="str">
        <f t="shared" si="68"/>
        <v>MAA DURGA STONE CRUSHING COMPANY</v>
      </c>
      <c r="C929" s="16" t="str">
        <f t="shared" si="69"/>
        <v>CHADWAS(Chadwas/Bidasar/Sujangarh)</v>
      </c>
      <c r="D929" s="4" t="s">
        <v>3035</v>
      </c>
      <c r="E929" s="4" t="s">
        <v>3119</v>
      </c>
      <c r="F929" s="5">
        <v>46037.999664351853</v>
      </c>
      <c r="G929" s="16" t="str">
        <f t="shared" si="70"/>
        <v>MasonaryStone (Gitti)</v>
      </c>
      <c r="H929" s="4" t="s">
        <v>2688</v>
      </c>
      <c r="I929" s="18" t="str" cm="1">
        <f t="array" ref="I929">_xlfn.LET(_xlpm.text, D929,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29" s="18" t="str" cm="1">
        <f t="array" ref="J929">_xlfn.LET(_xlpm.text, E929,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29" s="14">
        <f t="shared" si="71"/>
        <v>46038</v>
      </c>
      <c r="L929" s="14">
        <f t="shared" si="72"/>
        <v>46038.624664351853</v>
      </c>
      <c r="N929" s="12"/>
    </row>
    <row r="930" spans="1:14" x14ac:dyDescent="0.25">
      <c r="A930" s="4" t="s">
        <v>959</v>
      </c>
      <c r="B930" s="16" t="str">
        <f t="shared" si="68"/>
        <v>MAA DURGA STONE CRUSHING COMPANY</v>
      </c>
      <c r="C930" s="16" t="str">
        <f t="shared" si="69"/>
        <v>CHADWAS(Chadwas/Bidasar/Sujangarh)</v>
      </c>
      <c r="D930" s="4" t="s">
        <v>3035</v>
      </c>
      <c r="E930" s="4" t="s">
        <v>3119</v>
      </c>
      <c r="F930" s="5">
        <v>46038.999664351853</v>
      </c>
      <c r="G930" s="16" t="str">
        <f t="shared" si="70"/>
        <v>MasonaryStone (Gitti)</v>
      </c>
      <c r="H930" s="4" t="s">
        <v>2689</v>
      </c>
      <c r="I930" s="18" t="str" cm="1">
        <f t="array" ref="I930">_xlfn.LET(_xlpm.text, D930,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30" s="18" t="str" cm="1">
        <f t="array" ref="J930">_xlfn.LET(_xlpm.text, E930,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0" s="14">
        <f t="shared" si="71"/>
        <v>46039</v>
      </c>
      <c r="L930" s="14">
        <f t="shared" si="72"/>
        <v>46039.624664351853</v>
      </c>
      <c r="N930" s="12"/>
    </row>
    <row r="931" spans="1:14" x14ac:dyDescent="0.25">
      <c r="A931" s="4" t="s">
        <v>960</v>
      </c>
      <c r="B931" s="16" t="str">
        <f t="shared" si="68"/>
        <v>MAA DURGA STONE CRUSHING COMPANY</v>
      </c>
      <c r="C931" s="16" t="str">
        <f t="shared" si="69"/>
        <v>CHADWAS(Chadwas/Bidasar/Sujangarh)</v>
      </c>
      <c r="D931" s="4" t="s">
        <v>3035</v>
      </c>
      <c r="E931" s="4" t="s">
        <v>3119</v>
      </c>
      <c r="F931" s="5">
        <v>46038.999664351853</v>
      </c>
      <c r="G931" s="16" t="str">
        <f t="shared" si="70"/>
        <v>MasonaryStone (Gitti)</v>
      </c>
      <c r="H931" s="4" t="s">
        <v>2690</v>
      </c>
      <c r="I931" s="18" t="str" cm="1">
        <f t="array" ref="I931">_xlfn.LET(_xlpm.text, D931,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31" s="18" t="str" cm="1">
        <f t="array" ref="J931">_xlfn.LET(_xlpm.text, E931,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1" s="14">
        <f t="shared" si="71"/>
        <v>46039</v>
      </c>
      <c r="L931" s="14">
        <f t="shared" si="72"/>
        <v>46039.624664351853</v>
      </c>
      <c r="N931" s="12"/>
    </row>
    <row r="932" spans="1:14" x14ac:dyDescent="0.25">
      <c r="A932" s="4" t="s">
        <v>961</v>
      </c>
      <c r="B932" s="16" t="str">
        <f t="shared" si="68"/>
        <v>MAA DURGA STONE CRUSHING COMPANY</v>
      </c>
      <c r="C932" s="16" t="str">
        <f t="shared" si="69"/>
        <v>CHADWAS(Chadwas/Bidasar/Sujangarh)</v>
      </c>
      <c r="D932" s="4" t="s">
        <v>3035</v>
      </c>
      <c r="E932" s="4" t="s">
        <v>3119</v>
      </c>
      <c r="F932" s="5">
        <v>46038.999664351853</v>
      </c>
      <c r="G932" s="16" t="str">
        <f t="shared" si="70"/>
        <v>MasonaryStone (Gitti)</v>
      </c>
      <c r="H932" s="4" t="s">
        <v>2691</v>
      </c>
      <c r="I932" s="18" t="str" cm="1">
        <f t="array" ref="I932">_xlfn.LET(_xlpm.text, D932,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32" s="18" t="str" cm="1">
        <f t="array" ref="J932">_xlfn.LET(_xlpm.text, E932,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2" s="14">
        <f t="shared" si="71"/>
        <v>46039</v>
      </c>
      <c r="L932" s="14">
        <f t="shared" si="72"/>
        <v>46039.624664351853</v>
      </c>
      <c r="N932" s="12"/>
    </row>
    <row r="933" spans="1:14" x14ac:dyDescent="0.25">
      <c r="A933" s="4" t="s">
        <v>962</v>
      </c>
      <c r="B933" s="16" t="str">
        <f t="shared" si="68"/>
        <v>MAA DURGA STONE CRUSHING COMPANY</v>
      </c>
      <c r="C933" s="16" t="str">
        <f t="shared" si="69"/>
        <v>CHADWAS(Chadwas/Bidasar/Sujangarh)</v>
      </c>
      <c r="D933" s="4" t="s">
        <v>3035</v>
      </c>
      <c r="E933" s="4" t="s">
        <v>3119</v>
      </c>
      <c r="F933" s="5">
        <v>46038.999664351853</v>
      </c>
      <c r="G933" s="16" t="str">
        <f t="shared" si="70"/>
        <v>MasonaryStone (Gitti)</v>
      </c>
      <c r="H933" s="4" t="s">
        <v>2692</v>
      </c>
      <c r="I933" s="18" t="str" cm="1">
        <f t="array" ref="I933">_xlfn.LET(_xlpm.text, D933,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33" s="18" t="str" cm="1">
        <f t="array" ref="J933">_xlfn.LET(_xlpm.text, E933,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3" s="14">
        <f t="shared" si="71"/>
        <v>46039</v>
      </c>
      <c r="L933" s="14">
        <f t="shared" si="72"/>
        <v>46039.624664351853</v>
      </c>
      <c r="N933" s="12"/>
    </row>
    <row r="934" spans="1:14" x14ac:dyDescent="0.25">
      <c r="A934" s="4" t="s">
        <v>963</v>
      </c>
      <c r="B934" s="16" t="str">
        <f t="shared" si="68"/>
        <v>MAA DURGA STONE CRUSHING COMPANY</v>
      </c>
      <c r="C934" s="16" t="str">
        <f t="shared" si="69"/>
        <v>CHADWAS(Chadwas/Bidasar/Sujangarh)</v>
      </c>
      <c r="D934" s="4" t="s">
        <v>3035</v>
      </c>
      <c r="E934" s="4" t="s">
        <v>3119</v>
      </c>
      <c r="F934" s="5">
        <v>46037.999664351853</v>
      </c>
      <c r="G934" s="16" t="str">
        <f t="shared" si="70"/>
        <v>MasonaryStone (Gitti)</v>
      </c>
      <c r="H934" s="4" t="s">
        <v>2693</v>
      </c>
      <c r="I934" s="18" t="str" cm="1">
        <f t="array" ref="I934">_xlfn.LET(_xlpm.text, D934,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934" s="18" t="str" cm="1">
        <f t="array" ref="J934">_xlfn.LET(_xlpm.text, E934,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4" s="14">
        <f t="shared" si="71"/>
        <v>46038</v>
      </c>
      <c r="L934" s="14">
        <f t="shared" si="72"/>
        <v>46038.624664351853</v>
      </c>
      <c r="N934" s="12"/>
    </row>
    <row r="935" spans="1:14" x14ac:dyDescent="0.25">
      <c r="A935" s="4" t="s">
        <v>964</v>
      </c>
      <c r="B935" s="16" t="str">
        <f t="shared" si="68"/>
        <v>MAA DURGA STONE CRUSHING COMPANY</v>
      </c>
      <c r="C935" s="16" t="str">
        <f t="shared" si="69"/>
        <v>CHADWAS(Chadwas/Bidasar/Sujangarh)</v>
      </c>
      <c r="D935" s="4" t="s">
        <v>3034</v>
      </c>
      <c r="E935" s="4" t="s">
        <v>3119</v>
      </c>
      <c r="F935" s="5">
        <v>46050.999664351853</v>
      </c>
      <c r="G935" s="16" t="str">
        <f t="shared" si="70"/>
        <v>MasonaryStone (Gitti)</v>
      </c>
      <c r="H935" s="4" t="s">
        <v>2694</v>
      </c>
      <c r="I935" s="18" t="str" cm="1">
        <f t="array" ref="I935">_xlfn.LET(_xlpm.text, D935,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35" s="18" t="str" cm="1">
        <f t="array" ref="J935">_xlfn.LET(_xlpm.text, E935,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5" s="14">
        <f t="shared" si="71"/>
        <v>46051</v>
      </c>
      <c r="L935" s="14">
        <f t="shared" si="72"/>
        <v>46051.624664351853</v>
      </c>
      <c r="N935" s="12"/>
    </row>
    <row r="936" spans="1:14" x14ac:dyDescent="0.25">
      <c r="A936" s="4" t="s">
        <v>965</v>
      </c>
      <c r="B936" s="16" t="str">
        <f t="shared" si="68"/>
        <v>MAA DURGA STONE CRUSHING COMPANY</v>
      </c>
      <c r="C936" s="16" t="str">
        <f t="shared" si="69"/>
        <v>CHADWAS(Chadwas/Bidasar/Sujangarh)</v>
      </c>
      <c r="D936" s="4" t="s">
        <v>3034</v>
      </c>
      <c r="E936" s="4" t="s">
        <v>3119</v>
      </c>
      <c r="F936" s="5">
        <v>46003.999664351853</v>
      </c>
      <c r="G936" s="16" t="str">
        <f t="shared" si="70"/>
        <v>MasonaryStone (Gitti)</v>
      </c>
      <c r="H936" s="4" t="s">
        <v>2695</v>
      </c>
      <c r="I936" s="18" t="str" cm="1">
        <f t="array" ref="I936">_xlfn.LET(_xlpm.text, D936,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36" s="18" t="str" cm="1">
        <f t="array" ref="J936">_xlfn.LET(_xlpm.text, E936,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6" s="14">
        <f t="shared" si="71"/>
        <v>46004</v>
      </c>
      <c r="L936" s="14">
        <f t="shared" si="72"/>
        <v>46004.624664351853</v>
      </c>
      <c r="N936" s="12"/>
    </row>
    <row r="937" spans="1:14" x14ac:dyDescent="0.25">
      <c r="A937" s="4" t="s">
        <v>966</v>
      </c>
      <c r="B937" s="16" t="str">
        <f t="shared" si="68"/>
        <v>MAA DURGA STONE CRUSHING COMPANY</v>
      </c>
      <c r="C937" s="16" t="str">
        <f t="shared" si="69"/>
        <v>CHADWAS(Chadwas/Bidasar/Sujangarh)</v>
      </c>
      <c r="D937" s="4" t="s">
        <v>3034</v>
      </c>
      <c r="E937" s="4" t="s">
        <v>3119</v>
      </c>
      <c r="F937" s="5">
        <v>46031.999664351853</v>
      </c>
      <c r="G937" s="16" t="str">
        <f t="shared" si="70"/>
        <v>MasonaryStone (Gitti)</v>
      </c>
      <c r="H937" s="4" t="s">
        <v>2696</v>
      </c>
      <c r="I937" s="18" t="str" cm="1">
        <f t="array" ref="I937">_xlfn.LET(_xlpm.text, D937,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37" s="18" t="str" cm="1">
        <f t="array" ref="J937">_xlfn.LET(_xlpm.text, E937,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7" s="14">
        <f t="shared" si="71"/>
        <v>46032</v>
      </c>
      <c r="L937" s="14">
        <f t="shared" si="72"/>
        <v>46032.624664351853</v>
      </c>
      <c r="N937" s="12"/>
    </row>
    <row r="938" spans="1:14" x14ac:dyDescent="0.25">
      <c r="A938" s="4" t="s">
        <v>967</v>
      </c>
      <c r="B938" s="16" t="str">
        <f t="shared" si="68"/>
        <v>MAA DURGA STONE CRUSHING COMPANY</v>
      </c>
      <c r="C938" s="16" t="str">
        <f t="shared" si="69"/>
        <v>CHADWAS(Chadwas/Bidasar/Sujangarh)</v>
      </c>
      <c r="D938" s="4" t="s">
        <v>3034</v>
      </c>
      <c r="E938" s="4" t="s">
        <v>3119</v>
      </c>
      <c r="F938" s="5">
        <v>46034.999664351853</v>
      </c>
      <c r="G938" s="16" t="str">
        <f t="shared" si="70"/>
        <v>MasonaryStone (Gitti)</v>
      </c>
      <c r="H938" s="4" t="s">
        <v>2697</v>
      </c>
      <c r="I938" s="18" t="str" cm="1">
        <f t="array" ref="I938">_xlfn.LET(_xlpm.text, D938,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38" s="18" t="str" cm="1">
        <f t="array" ref="J938">_xlfn.LET(_xlpm.text, E938,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8" s="14">
        <f t="shared" si="71"/>
        <v>46035</v>
      </c>
      <c r="L938" s="14">
        <f t="shared" si="72"/>
        <v>46035.624664351853</v>
      </c>
      <c r="N938" s="12"/>
    </row>
    <row r="939" spans="1:14" x14ac:dyDescent="0.25">
      <c r="A939" s="4" t="s">
        <v>968</v>
      </c>
      <c r="B939" s="16" t="str">
        <f t="shared" si="68"/>
        <v>MAA DURGA STONE CRUSHING COMPANY</v>
      </c>
      <c r="C939" s="16" t="str">
        <f t="shared" si="69"/>
        <v>CHADWAS(Chadwas/Bidasar/Sujangarh)</v>
      </c>
      <c r="D939" s="4" t="s">
        <v>3034</v>
      </c>
      <c r="E939" s="4" t="s">
        <v>3119</v>
      </c>
      <c r="F939" s="5">
        <v>46052.999664351853</v>
      </c>
      <c r="G939" s="16" t="str">
        <f t="shared" si="70"/>
        <v>MasonaryStone (Gitti)</v>
      </c>
      <c r="H939" s="4" t="s">
        <v>2698</v>
      </c>
      <c r="I939" s="18" t="str" cm="1">
        <f t="array" ref="I939">_xlfn.LET(_xlpm.text, D939,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39" s="18" t="str" cm="1">
        <f t="array" ref="J939">_xlfn.LET(_xlpm.text, E939,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39" s="14">
        <f t="shared" si="71"/>
        <v>46053</v>
      </c>
      <c r="L939" s="14">
        <f t="shared" si="72"/>
        <v>46053.624664351853</v>
      </c>
      <c r="N939" s="12"/>
    </row>
    <row r="940" spans="1:14" x14ac:dyDescent="0.25">
      <c r="A940" s="4" t="s">
        <v>969</v>
      </c>
      <c r="B940" s="16" t="str">
        <f t="shared" si="68"/>
        <v>MAA DURGA STONE CRUSHING COMPANY</v>
      </c>
      <c r="C940" s="16" t="str">
        <f t="shared" si="69"/>
        <v>CHADWAS(Chadwas/Bidasar/Sujangarh)</v>
      </c>
      <c r="D940" s="4" t="s">
        <v>3034</v>
      </c>
      <c r="E940" s="4" t="s">
        <v>3119</v>
      </c>
      <c r="F940" s="5">
        <v>46052.999664351853</v>
      </c>
      <c r="G940" s="16" t="str">
        <f t="shared" si="70"/>
        <v>MasonaryStone (Gitti)</v>
      </c>
      <c r="H940" s="4" t="s">
        <v>2612</v>
      </c>
      <c r="I940" s="18" t="str" cm="1">
        <f t="array" ref="I940">_xlfn.LET(_xlpm.text, D940,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0" s="18" t="str" cm="1">
        <f t="array" ref="J940">_xlfn.LET(_xlpm.text, E940,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0" s="14">
        <f t="shared" si="71"/>
        <v>46053</v>
      </c>
      <c r="L940" s="14">
        <f t="shared" si="72"/>
        <v>46053.624664351853</v>
      </c>
      <c r="N940" s="12"/>
    </row>
    <row r="941" spans="1:14" x14ac:dyDescent="0.25">
      <c r="A941" s="4" t="s">
        <v>970</v>
      </c>
      <c r="B941" s="16" t="str">
        <f t="shared" si="68"/>
        <v>MAA DURGA STONE CRUSHING COMPANY</v>
      </c>
      <c r="C941" s="16" t="str">
        <f t="shared" si="69"/>
        <v>CHADWAS(Chadwas/Bidasar/Sujangarh)</v>
      </c>
      <c r="D941" s="4" t="s">
        <v>3034</v>
      </c>
      <c r="E941" s="4" t="s">
        <v>3119</v>
      </c>
      <c r="F941" s="5">
        <v>46053.999664351853</v>
      </c>
      <c r="G941" s="16" t="str">
        <f t="shared" si="70"/>
        <v>MasonaryStone (Gitti)</v>
      </c>
      <c r="H941" s="4" t="s">
        <v>2699</v>
      </c>
      <c r="I941" s="18" t="str" cm="1">
        <f t="array" ref="I941">_xlfn.LET(_xlpm.text, D941,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1" s="18" t="str" cm="1">
        <f t="array" ref="J941">_xlfn.LET(_xlpm.text, E941,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1" s="14">
        <f t="shared" si="71"/>
        <v>46054</v>
      </c>
      <c r="L941" s="14">
        <f t="shared" si="72"/>
        <v>46054.624664351853</v>
      </c>
      <c r="N941" s="12"/>
    </row>
    <row r="942" spans="1:14" x14ac:dyDescent="0.25">
      <c r="A942" s="4" t="s">
        <v>971</v>
      </c>
      <c r="B942" s="16" t="str">
        <f t="shared" si="68"/>
        <v>MAA DURGA STONE CRUSHING COMPANY</v>
      </c>
      <c r="C942" s="16" t="str">
        <f t="shared" si="69"/>
        <v>CHADWAS(Chadwas/Bidasar/Sujangarh)</v>
      </c>
      <c r="D942" s="4" t="s">
        <v>3034</v>
      </c>
      <c r="E942" s="4" t="s">
        <v>3119</v>
      </c>
      <c r="F942" s="5">
        <v>46055.999664351853</v>
      </c>
      <c r="G942" s="16" t="str">
        <f t="shared" si="70"/>
        <v>MasonaryStone (Gitti)</v>
      </c>
      <c r="H942" s="4" t="s">
        <v>2380</v>
      </c>
      <c r="I942" s="18" t="str" cm="1">
        <f t="array" ref="I942">_xlfn.LET(_xlpm.text, D942,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2" s="18" t="str" cm="1">
        <f t="array" ref="J942">_xlfn.LET(_xlpm.text, E942,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2" s="14">
        <f t="shared" si="71"/>
        <v>46056</v>
      </c>
      <c r="L942" s="14">
        <f t="shared" si="72"/>
        <v>46056.624664351853</v>
      </c>
      <c r="N942" s="12"/>
    </row>
    <row r="943" spans="1:14" x14ac:dyDescent="0.25">
      <c r="A943" s="4" t="s">
        <v>972</v>
      </c>
      <c r="B943" s="16" t="str">
        <f t="shared" si="68"/>
        <v>MAA DURGA STONE CRUSHING COMPANY</v>
      </c>
      <c r="C943" s="16" t="str">
        <f t="shared" si="69"/>
        <v>CHADWAS(Chadwas/Bidasar/Sujangarh)</v>
      </c>
      <c r="D943" s="4" t="s">
        <v>3034</v>
      </c>
      <c r="E943" s="4" t="s">
        <v>3119</v>
      </c>
      <c r="F943" s="5">
        <v>46055.999664351853</v>
      </c>
      <c r="G943" s="16" t="str">
        <f t="shared" si="70"/>
        <v>MasonaryStone (Gitti)</v>
      </c>
      <c r="H943" s="4" t="s">
        <v>2700</v>
      </c>
      <c r="I943" s="18" t="str" cm="1">
        <f t="array" ref="I943">_xlfn.LET(_xlpm.text, D943,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3" s="18" t="str" cm="1">
        <f t="array" ref="J943">_xlfn.LET(_xlpm.text, E943,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3" s="14">
        <f t="shared" si="71"/>
        <v>46056</v>
      </c>
      <c r="L943" s="14">
        <f t="shared" si="72"/>
        <v>46056.624664351853</v>
      </c>
      <c r="N943" s="12"/>
    </row>
    <row r="944" spans="1:14" x14ac:dyDescent="0.25">
      <c r="A944" s="4" t="s">
        <v>973</v>
      </c>
      <c r="B944" s="16" t="str">
        <f t="shared" si="68"/>
        <v>MAA DURGA STONE CRUSHING COMPANY</v>
      </c>
      <c r="C944" s="16" t="str">
        <f t="shared" si="69"/>
        <v>CHADWAS(Chadwas/Bidasar/Sujangarh)</v>
      </c>
      <c r="D944" s="4" t="s">
        <v>3034</v>
      </c>
      <c r="E944" s="4" t="s">
        <v>3119</v>
      </c>
      <c r="F944" s="5">
        <v>46055.999664351853</v>
      </c>
      <c r="G944" s="16" t="str">
        <f t="shared" si="70"/>
        <v>MasonaryStone (Gitti)</v>
      </c>
      <c r="H944" s="4" t="s">
        <v>2701</v>
      </c>
      <c r="I944" s="18" t="str" cm="1">
        <f t="array" ref="I944">_xlfn.LET(_xlpm.text, D944,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4" s="18" t="str" cm="1">
        <f t="array" ref="J944">_xlfn.LET(_xlpm.text, E944,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4" s="14">
        <f t="shared" si="71"/>
        <v>46056</v>
      </c>
      <c r="L944" s="14">
        <f t="shared" si="72"/>
        <v>46056.624664351853</v>
      </c>
      <c r="N944" s="12"/>
    </row>
    <row r="945" spans="1:14" x14ac:dyDescent="0.25">
      <c r="A945" s="4" t="s">
        <v>974</v>
      </c>
      <c r="B945" s="16" t="str">
        <f t="shared" si="68"/>
        <v>MAA DURGA STONE CRUSHING COMPANY</v>
      </c>
      <c r="C945" s="16" t="str">
        <f t="shared" si="69"/>
        <v>CHADWAS(Chadwas/Bidasar/Sujangarh)</v>
      </c>
      <c r="D945" s="4" t="s">
        <v>3034</v>
      </c>
      <c r="E945" s="4" t="s">
        <v>3119</v>
      </c>
      <c r="F945" s="5">
        <v>46056.999664351853</v>
      </c>
      <c r="G945" s="16" t="str">
        <f t="shared" si="70"/>
        <v>MasonaryStone (Gitti)</v>
      </c>
      <c r="H945" s="4" t="s">
        <v>2702</v>
      </c>
      <c r="I945" s="18" t="str" cm="1">
        <f t="array" ref="I945">_xlfn.LET(_xlpm.text, D945,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5" s="18" t="str" cm="1">
        <f t="array" ref="J945">_xlfn.LET(_xlpm.text, E945,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5" s="14">
        <f t="shared" si="71"/>
        <v>46057</v>
      </c>
      <c r="L945" s="14">
        <f t="shared" si="72"/>
        <v>46057.624664351853</v>
      </c>
      <c r="N945" s="12"/>
    </row>
    <row r="946" spans="1:14" x14ac:dyDescent="0.25">
      <c r="A946" s="4" t="s">
        <v>975</v>
      </c>
      <c r="B946" s="16" t="str">
        <f t="shared" si="68"/>
        <v>MAA DURGA STONE CRUSHING COMPANY</v>
      </c>
      <c r="C946" s="16" t="str">
        <f t="shared" si="69"/>
        <v>CHADWAS(Chadwas/Bidasar/Sujangarh)</v>
      </c>
      <c r="D946" s="4" t="s">
        <v>3034</v>
      </c>
      <c r="E946" s="4" t="s">
        <v>3119</v>
      </c>
      <c r="F946" s="5">
        <v>46058.999664351853</v>
      </c>
      <c r="G946" s="16" t="str">
        <f t="shared" si="70"/>
        <v>MasonaryStone (Gitti)</v>
      </c>
      <c r="H946" s="4" t="s">
        <v>2703</v>
      </c>
      <c r="I946" s="18" t="str" cm="1">
        <f t="array" ref="I946">_xlfn.LET(_xlpm.text, D946,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6" s="18" t="str" cm="1">
        <f t="array" ref="J946">_xlfn.LET(_xlpm.text, E946,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6" s="14">
        <f t="shared" si="71"/>
        <v>46059</v>
      </c>
      <c r="L946" s="14">
        <f t="shared" si="72"/>
        <v>46059.624664351853</v>
      </c>
      <c r="N946" s="12"/>
    </row>
    <row r="947" spans="1:14" x14ac:dyDescent="0.25">
      <c r="A947" s="4" t="s">
        <v>976</v>
      </c>
      <c r="B947" s="16" t="str">
        <f t="shared" si="68"/>
        <v>MAA DURGA STONE CRUSHING COMPANY</v>
      </c>
      <c r="C947" s="16" t="str">
        <f t="shared" si="69"/>
        <v>CHADWAS(Chadwas/Bidasar/Sujangarh)</v>
      </c>
      <c r="D947" s="4" t="s">
        <v>3034</v>
      </c>
      <c r="E947" s="4" t="s">
        <v>3119</v>
      </c>
      <c r="F947" s="5">
        <v>46058.999664351853</v>
      </c>
      <c r="G947" s="16" t="str">
        <f t="shared" si="70"/>
        <v>MasonaryStone (Gitti)</v>
      </c>
      <c r="H947" s="4" t="s">
        <v>2424</v>
      </c>
      <c r="I947" s="18" t="str" cm="1">
        <f t="array" ref="I947">_xlfn.LET(_xlpm.text, D947,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7" s="18" t="str" cm="1">
        <f t="array" ref="J947">_xlfn.LET(_xlpm.text, E947,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7" s="14">
        <f t="shared" si="71"/>
        <v>46059</v>
      </c>
      <c r="L947" s="14">
        <f t="shared" si="72"/>
        <v>46059.624664351853</v>
      </c>
      <c r="N947" s="12"/>
    </row>
    <row r="948" spans="1:14" x14ac:dyDescent="0.25">
      <c r="A948" s="4" t="s">
        <v>977</v>
      </c>
      <c r="B948" s="16" t="str">
        <f t="shared" si="68"/>
        <v>MAA DURGA STONE CRUSHING COMPANY</v>
      </c>
      <c r="C948" s="16" t="str">
        <f t="shared" si="69"/>
        <v>CHADWAS(Chadwas/Bidasar/Sujangarh)</v>
      </c>
      <c r="D948" s="4" t="s">
        <v>3034</v>
      </c>
      <c r="E948" s="4" t="s">
        <v>3119</v>
      </c>
      <c r="F948" s="5">
        <v>46058.999664351853</v>
      </c>
      <c r="G948" s="16" t="str">
        <f t="shared" si="70"/>
        <v>MasonaryStone (Gitti)</v>
      </c>
      <c r="H948" s="4" t="s">
        <v>2424</v>
      </c>
      <c r="I948" s="18" t="str" cm="1">
        <f t="array" ref="I948">_xlfn.LET(_xlpm.text, D948,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8" s="18" t="str" cm="1">
        <f t="array" ref="J948">_xlfn.LET(_xlpm.text, E948,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8" s="14">
        <f t="shared" si="71"/>
        <v>46059</v>
      </c>
      <c r="L948" s="14">
        <f t="shared" si="72"/>
        <v>46059.624664351853</v>
      </c>
      <c r="N948" s="12"/>
    </row>
    <row r="949" spans="1:14" x14ac:dyDescent="0.25">
      <c r="A949" s="4" t="s">
        <v>978</v>
      </c>
      <c r="B949" s="16" t="str">
        <f t="shared" si="68"/>
        <v>MAA DURGA STONE CRUSHING COMPANY</v>
      </c>
      <c r="C949" s="16" t="str">
        <f t="shared" si="69"/>
        <v>CHADWAS(Chadwas/Bidasar/Sujangarh)</v>
      </c>
      <c r="D949" s="4" t="s">
        <v>3034</v>
      </c>
      <c r="E949" s="4" t="s">
        <v>3119</v>
      </c>
      <c r="F949" s="5">
        <v>46058.999664351853</v>
      </c>
      <c r="G949" s="16" t="str">
        <f t="shared" si="70"/>
        <v>MasonaryStone (Gitti)</v>
      </c>
      <c r="H949" s="4" t="s">
        <v>2526</v>
      </c>
      <c r="I949" s="18" t="str" cm="1">
        <f t="array" ref="I949">_xlfn.LET(_xlpm.text, D949,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49" s="18" t="str" cm="1">
        <f t="array" ref="J949">_xlfn.LET(_xlpm.text, E949,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49" s="14">
        <f t="shared" si="71"/>
        <v>46059</v>
      </c>
      <c r="L949" s="14">
        <f t="shared" si="72"/>
        <v>46059.624664351853</v>
      </c>
      <c r="N949" s="12"/>
    </row>
    <row r="950" spans="1:14" x14ac:dyDescent="0.25">
      <c r="A950" s="4" t="s">
        <v>979</v>
      </c>
      <c r="B950" s="16" t="str">
        <f t="shared" si="68"/>
        <v>MAA DURGA STONE CRUSHING COMPANY</v>
      </c>
      <c r="C950" s="16" t="str">
        <f t="shared" si="69"/>
        <v>CHADWAS(Chadwas/Bidasar/Sujangarh)</v>
      </c>
      <c r="D950" s="4" t="s">
        <v>3034</v>
      </c>
      <c r="E950" s="4" t="s">
        <v>3119</v>
      </c>
      <c r="F950" s="5">
        <v>46058.999664351853</v>
      </c>
      <c r="G950" s="16" t="str">
        <f t="shared" si="70"/>
        <v>MasonaryStone (Gitti)</v>
      </c>
      <c r="H950" s="4" t="s">
        <v>2392</v>
      </c>
      <c r="I950" s="18" t="str" cm="1">
        <f t="array" ref="I950">_xlfn.LET(_xlpm.text, D950,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0" s="18" t="str" cm="1">
        <f t="array" ref="J950">_xlfn.LET(_xlpm.text, E950,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0" s="14">
        <f t="shared" si="71"/>
        <v>46059</v>
      </c>
      <c r="L950" s="14">
        <f t="shared" si="72"/>
        <v>46059.624664351853</v>
      </c>
      <c r="N950" s="12"/>
    </row>
    <row r="951" spans="1:14" x14ac:dyDescent="0.25">
      <c r="A951" s="4" t="s">
        <v>980</v>
      </c>
      <c r="B951" s="16" t="str">
        <f t="shared" si="68"/>
        <v>MAA DURGA STONE CRUSHING COMPANY</v>
      </c>
      <c r="C951" s="16" t="str">
        <f t="shared" si="69"/>
        <v>CHADWAS(Chadwas/Bidasar/Sujangarh)</v>
      </c>
      <c r="D951" s="4" t="s">
        <v>3034</v>
      </c>
      <c r="E951" s="4" t="s">
        <v>3119</v>
      </c>
      <c r="F951" s="5">
        <v>46058.999664351853</v>
      </c>
      <c r="G951" s="16" t="str">
        <f t="shared" si="70"/>
        <v>MasonaryStone (Gitti)</v>
      </c>
      <c r="H951" s="4" t="s">
        <v>2704</v>
      </c>
      <c r="I951" s="18" t="str" cm="1">
        <f t="array" ref="I951">_xlfn.LET(_xlpm.text, D951,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1" s="18" t="str" cm="1">
        <f t="array" ref="J951">_xlfn.LET(_xlpm.text, E951,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1" s="14">
        <f t="shared" si="71"/>
        <v>46059</v>
      </c>
      <c r="L951" s="14">
        <f t="shared" si="72"/>
        <v>46059.624664351853</v>
      </c>
      <c r="N951" s="12"/>
    </row>
    <row r="952" spans="1:14" x14ac:dyDescent="0.25">
      <c r="A952" s="4" t="s">
        <v>981</v>
      </c>
      <c r="B952" s="16" t="str">
        <f t="shared" si="68"/>
        <v>MAA DURGA STONE CRUSHING COMPANY</v>
      </c>
      <c r="C952" s="16" t="str">
        <f t="shared" si="69"/>
        <v>CHADWAS(Chadwas/Bidasar/Sujangarh)</v>
      </c>
      <c r="D952" s="4" t="s">
        <v>3034</v>
      </c>
      <c r="E952" s="4" t="s">
        <v>3119</v>
      </c>
      <c r="F952" s="5">
        <v>46058.999664351853</v>
      </c>
      <c r="G952" s="16" t="str">
        <f t="shared" si="70"/>
        <v>MasonaryStone (Gitti)</v>
      </c>
      <c r="H952" s="4" t="s">
        <v>2447</v>
      </c>
      <c r="I952" s="18" t="str" cm="1">
        <f t="array" ref="I952">_xlfn.LET(_xlpm.text, D952,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2" s="18" t="str" cm="1">
        <f t="array" ref="J952">_xlfn.LET(_xlpm.text, E952,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2" s="14">
        <f t="shared" si="71"/>
        <v>46059</v>
      </c>
      <c r="L952" s="14">
        <f t="shared" si="72"/>
        <v>46059.624664351853</v>
      </c>
      <c r="N952" s="12"/>
    </row>
    <row r="953" spans="1:14" x14ac:dyDescent="0.25">
      <c r="A953" s="4" t="s">
        <v>982</v>
      </c>
      <c r="B953" s="16" t="str">
        <f t="shared" si="68"/>
        <v>MAA DURGA STONE CRUSHING COMPANY</v>
      </c>
      <c r="C953" s="16" t="str">
        <f t="shared" si="69"/>
        <v>CHADWAS(Chadwas/Bidasar/Sujangarh)</v>
      </c>
      <c r="D953" s="4" t="s">
        <v>3034</v>
      </c>
      <c r="E953" s="4" t="s">
        <v>3119</v>
      </c>
      <c r="F953" s="5">
        <v>46058.999664351853</v>
      </c>
      <c r="G953" s="16" t="str">
        <f t="shared" si="70"/>
        <v>MasonaryStone (Gitti)</v>
      </c>
      <c r="H953" s="4" t="s">
        <v>2525</v>
      </c>
      <c r="I953" s="18" t="str" cm="1">
        <f t="array" ref="I953">_xlfn.LET(_xlpm.text, D953,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3" s="18" t="str" cm="1">
        <f t="array" ref="J953">_xlfn.LET(_xlpm.text, E953,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3" s="14">
        <f t="shared" si="71"/>
        <v>46059</v>
      </c>
      <c r="L953" s="14">
        <f t="shared" si="72"/>
        <v>46059.624664351853</v>
      </c>
      <c r="N953" s="12"/>
    </row>
    <row r="954" spans="1:14" x14ac:dyDescent="0.25">
      <c r="A954" s="4" t="s">
        <v>983</v>
      </c>
      <c r="B954" s="16" t="str">
        <f t="shared" si="68"/>
        <v>MAA DURGA STONE CRUSHING COMPANY</v>
      </c>
      <c r="C954" s="16" t="str">
        <f t="shared" si="69"/>
        <v>CHADWAS(Chadwas/Bidasar/Sujangarh)</v>
      </c>
      <c r="D954" s="4" t="s">
        <v>3034</v>
      </c>
      <c r="E954" s="4" t="s">
        <v>3119</v>
      </c>
      <c r="F954" s="5">
        <v>46058.999664351853</v>
      </c>
      <c r="G954" s="16" t="str">
        <f t="shared" si="70"/>
        <v>MasonaryStone (Gitti)</v>
      </c>
      <c r="H954" s="4" t="s">
        <v>2525</v>
      </c>
      <c r="I954" s="18" t="str" cm="1">
        <f t="array" ref="I954">_xlfn.LET(_xlpm.text, D954,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4" s="18" t="str" cm="1">
        <f t="array" ref="J954">_xlfn.LET(_xlpm.text, E954,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4" s="14">
        <f t="shared" si="71"/>
        <v>46059</v>
      </c>
      <c r="L954" s="14">
        <f t="shared" si="72"/>
        <v>46059.624664351853</v>
      </c>
      <c r="N954" s="12"/>
    </row>
    <row r="955" spans="1:14" x14ac:dyDescent="0.25">
      <c r="A955" s="4" t="s">
        <v>984</v>
      </c>
      <c r="B955" s="16" t="str">
        <f t="shared" si="68"/>
        <v>MAA DURGA STONE CRUSHING COMPANY</v>
      </c>
      <c r="C955" s="16" t="str">
        <f t="shared" si="69"/>
        <v>CHADWAS(Chadwas/Bidasar/Sujangarh)</v>
      </c>
      <c r="D955" s="4" t="s">
        <v>3034</v>
      </c>
      <c r="E955" s="4" t="s">
        <v>3119</v>
      </c>
      <c r="F955" s="5">
        <v>46058.999664351853</v>
      </c>
      <c r="G955" s="16" t="str">
        <f t="shared" si="70"/>
        <v>MasonaryStone (Gitti)</v>
      </c>
      <c r="H955" s="4" t="s">
        <v>2525</v>
      </c>
      <c r="I955" s="18" t="str" cm="1">
        <f t="array" ref="I955">_xlfn.LET(_xlpm.text, D955,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5" s="18" t="str" cm="1">
        <f t="array" ref="J955">_xlfn.LET(_xlpm.text, E955,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5" s="14">
        <f t="shared" si="71"/>
        <v>46059</v>
      </c>
      <c r="L955" s="14">
        <f t="shared" si="72"/>
        <v>46059.624664351853</v>
      </c>
      <c r="N955" s="12"/>
    </row>
    <row r="956" spans="1:14" x14ac:dyDescent="0.25">
      <c r="A956" s="4" t="s">
        <v>985</v>
      </c>
      <c r="B956" s="16" t="str">
        <f t="shared" si="68"/>
        <v>MAA DURGA STONE CRUSHING COMPANY</v>
      </c>
      <c r="C956" s="16" t="str">
        <f t="shared" si="69"/>
        <v>CHADWAS(Chadwas/Bidasar/Sujangarh)</v>
      </c>
      <c r="D956" s="4" t="s">
        <v>3034</v>
      </c>
      <c r="E956" s="4" t="s">
        <v>3119</v>
      </c>
      <c r="F956" s="5">
        <v>46058.999664351853</v>
      </c>
      <c r="G956" s="16" t="str">
        <f t="shared" si="70"/>
        <v>MasonaryStone (Gitti)</v>
      </c>
      <c r="H956" s="4" t="s">
        <v>2483</v>
      </c>
      <c r="I956" s="18" t="str" cm="1">
        <f t="array" ref="I956">_xlfn.LET(_xlpm.text, D956,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6" s="18" t="str" cm="1">
        <f t="array" ref="J956">_xlfn.LET(_xlpm.text, E956,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6" s="14">
        <f t="shared" si="71"/>
        <v>46059</v>
      </c>
      <c r="L956" s="14">
        <f t="shared" si="72"/>
        <v>46059.624664351853</v>
      </c>
      <c r="N956" s="12"/>
    </row>
    <row r="957" spans="1:14" x14ac:dyDescent="0.25">
      <c r="A957" s="4" t="s">
        <v>986</v>
      </c>
      <c r="B957" s="16" t="str">
        <f t="shared" si="68"/>
        <v>MAA DURGA STONE CRUSHING COMPANY</v>
      </c>
      <c r="C957" s="16" t="str">
        <f t="shared" si="69"/>
        <v>CHADWAS(Chadwas/Bidasar/Sujangarh)</v>
      </c>
      <c r="D957" s="4" t="s">
        <v>3034</v>
      </c>
      <c r="E957" s="4" t="s">
        <v>3119</v>
      </c>
      <c r="F957" s="5">
        <v>46058.999664351853</v>
      </c>
      <c r="G957" s="16" t="str">
        <f t="shared" si="70"/>
        <v>MasonaryStone (Gitti)</v>
      </c>
      <c r="H957" s="4" t="s">
        <v>2705</v>
      </c>
      <c r="I957" s="18" t="str" cm="1">
        <f t="array" ref="I957">_xlfn.LET(_xlpm.text, D957,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7" s="18" t="str" cm="1">
        <f t="array" ref="J957">_xlfn.LET(_xlpm.text, E957,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7" s="14">
        <f t="shared" si="71"/>
        <v>46059</v>
      </c>
      <c r="L957" s="14">
        <f t="shared" si="72"/>
        <v>46059.624664351853</v>
      </c>
      <c r="N957" s="12"/>
    </row>
    <row r="958" spans="1:14" x14ac:dyDescent="0.25">
      <c r="A958" s="4" t="s">
        <v>987</v>
      </c>
      <c r="B958" s="16" t="str">
        <f t="shared" si="68"/>
        <v>MAA DURGA STONE CRUSHING COMPANY</v>
      </c>
      <c r="C958" s="16" t="str">
        <f t="shared" si="69"/>
        <v>CHADWAS(Chadwas/Bidasar/Sujangarh)</v>
      </c>
      <c r="D958" s="4" t="s">
        <v>3034</v>
      </c>
      <c r="E958" s="4" t="s">
        <v>3119</v>
      </c>
      <c r="F958" s="5">
        <v>46058.999664351853</v>
      </c>
      <c r="G958" s="16" t="str">
        <f t="shared" si="70"/>
        <v>MasonaryStone (Gitti)</v>
      </c>
      <c r="H958" s="4" t="s">
        <v>2705</v>
      </c>
      <c r="I958" s="18" t="str" cm="1">
        <f t="array" ref="I958">_xlfn.LET(_xlpm.text, D958,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8" s="18" t="str" cm="1">
        <f t="array" ref="J958">_xlfn.LET(_xlpm.text, E958,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8" s="14">
        <f t="shared" si="71"/>
        <v>46059</v>
      </c>
      <c r="L958" s="14">
        <f t="shared" si="72"/>
        <v>46059.624664351853</v>
      </c>
      <c r="N958" s="12"/>
    </row>
    <row r="959" spans="1:14" x14ac:dyDescent="0.25">
      <c r="A959" s="4" t="s">
        <v>988</v>
      </c>
      <c r="B959" s="16" t="str">
        <f t="shared" si="68"/>
        <v>MAA DURGA STONE CRUSHING COMPANY</v>
      </c>
      <c r="C959" s="16" t="str">
        <f t="shared" si="69"/>
        <v>CHADWAS(Chadwas/Bidasar/Sujangarh)</v>
      </c>
      <c r="D959" s="4" t="s">
        <v>3034</v>
      </c>
      <c r="E959" s="4" t="s">
        <v>3119</v>
      </c>
      <c r="F959" s="5">
        <v>46058.999664351853</v>
      </c>
      <c r="G959" s="16" t="str">
        <f t="shared" si="70"/>
        <v>MasonaryStone (Gitti)</v>
      </c>
      <c r="H959" s="4" t="s">
        <v>2706</v>
      </c>
      <c r="I959" s="18" t="str" cm="1">
        <f t="array" ref="I959">_xlfn.LET(_xlpm.text, D959,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59" s="18" t="str" cm="1">
        <f t="array" ref="J959">_xlfn.LET(_xlpm.text, E959,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59" s="14">
        <f t="shared" si="71"/>
        <v>46059</v>
      </c>
      <c r="L959" s="14">
        <f t="shared" si="72"/>
        <v>46059.624664351853</v>
      </c>
      <c r="N959" s="12"/>
    </row>
    <row r="960" spans="1:14" x14ac:dyDescent="0.25">
      <c r="A960" s="4" t="s">
        <v>989</v>
      </c>
      <c r="B960" s="16" t="str">
        <f t="shared" si="68"/>
        <v>MAA DURGA STONE CRUSHING COMPANY</v>
      </c>
      <c r="C960" s="16" t="str">
        <f t="shared" si="69"/>
        <v>CHADWAS(Chadwas/Bidasar/Sujangarh)</v>
      </c>
      <c r="D960" s="4" t="s">
        <v>3034</v>
      </c>
      <c r="E960" s="4" t="s">
        <v>3119</v>
      </c>
      <c r="F960" s="5">
        <v>46058.999664351853</v>
      </c>
      <c r="G960" s="16" t="str">
        <f t="shared" si="70"/>
        <v>MasonaryStone (Gitti)</v>
      </c>
      <c r="H960" s="4" t="s">
        <v>2270</v>
      </c>
      <c r="I960" s="18" t="str" cm="1">
        <f t="array" ref="I960">_xlfn.LET(_xlpm.text, D960,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60" s="18" t="str" cm="1">
        <f t="array" ref="J960">_xlfn.LET(_xlpm.text, E960,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0" s="14">
        <f t="shared" si="71"/>
        <v>46059</v>
      </c>
      <c r="L960" s="14">
        <f t="shared" si="72"/>
        <v>46059.624664351853</v>
      </c>
      <c r="N960" s="12"/>
    </row>
    <row r="961" spans="1:14" x14ac:dyDescent="0.25">
      <c r="A961" s="4" t="s">
        <v>990</v>
      </c>
      <c r="B961" s="16" t="str">
        <f t="shared" si="68"/>
        <v>MAA DURGA STONE CRUSHING COMPANY</v>
      </c>
      <c r="C961" s="16" t="str">
        <f t="shared" si="69"/>
        <v>CHADWAS(Chadwas/Bidasar/Sujangarh)</v>
      </c>
      <c r="D961" s="4" t="s">
        <v>3034</v>
      </c>
      <c r="E961" s="4" t="s">
        <v>3119</v>
      </c>
      <c r="F961" s="5">
        <v>46058.999664351853</v>
      </c>
      <c r="G961" s="16" t="str">
        <f t="shared" si="70"/>
        <v>MasonaryStone (Gitti)</v>
      </c>
      <c r="H961" s="4" t="s">
        <v>414</v>
      </c>
      <c r="I961" s="18" t="str" cm="1">
        <f t="array" ref="I961">_xlfn.LET(_xlpm.text, D961,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61" s="18" t="str" cm="1">
        <f t="array" ref="J961">_xlfn.LET(_xlpm.text, E961,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1" s="14">
        <f t="shared" si="71"/>
        <v>46059</v>
      </c>
      <c r="L961" s="14">
        <f t="shared" si="72"/>
        <v>46059.624664351853</v>
      </c>
      <c r="N961" s="12"/>
    </row>
    <row r="962" spans="1:14" x14ac:dyDescent="0.25">
      <c r="A962" s="4" t="s">
        <v>991</v>
      </c>
      <c r="B962" s="16" t="str">
        <f t="shared" ref="B962:B1025" si="73">VLOOKUP(LEFT($A962,4)&amp;"*",$O$3:$R$17, 2, FALSE)</f>
        <v>MAA DURGA STONE CRUSHING COMPANY</v>
      </c>
      <c r="C962" s="16" t="str">
        <f t="shared" ref="C962:C1025" si="74">VLOOKUP(LEFT($A962,4)&amp;"*",$O$3:$R$17, 3, FALSE)</f>
        <v>CHADWAS(Chadwas/Bidasar/Sujangarh)</v>
      </c>
      <c r="D962" s="4" t="s">
        <v>3034</v>
      </c>
      <c r="E962" s="4" t="s">
        <v>3119</v>
      </c>
      <c r="F962" s="5">
        <v>46059.999664351853</v>
      </c>
      <c r="G962" s="16" t="str">
        <f t="shared" ref="G962:G1025" si="75">VLOOKUP(LEFT($A962,4)&amp;"*",$O$3:$R$17, 4, FALSE)</f>
        <v>MasonaryStone (Gitti)</v>
      </c>
      <c r="H962" s="4" t="s">
        <v>2707</v>
      </c>
      <c r="I962" s="18" t="str" cm="1">
        <f t="array" ref="I962">_xlfn.LET(_xlpm.text, D962,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62" s="18" t="str" cm="1">
        <f t="array" ref="J962">_xlfn.LET(_xlpm.text, E962,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2" s="14">
        <f t="shared" si="71"/>
        <v>46060</v>
      </c>
      <c r="L962" s="14">
        <f t="shared" si="72"/>
        <v>46060.624664351853</v>
      </c>
      <c r="N962" s="12"/>
    </row>
    <row r="963" spans="1:14" x14ac:dyDescent="0.25">
      <c r="A963" s="4" t="s">
        <v>992</v>
      </c>
      <c r="B963" s="16" t="str">
        <f t="shared" si="73"/>
        <v>MAA DURGA STONE CRUSHING COMPANY</v>
      </c>
      <c r="C963" s="16" t="str">
        <f t="shared" si="74"/>
        <v>CHADWAS(Chadwas/Bidasar/Sujangarh)</v>
      </c>
      <c r="D963" s="4" t="s">
        <v>3034</v>
      </c>
      <c r="E963" s="4" t="s">
        <v>3119</v>
      </c>
      <c r="F963" s="5">
        <v>46059.999664351853</v>
      </c>
      <c r="G963" s="16" t="str">
        <f t="shared" si="75"/>
        <v>MasonaryStone (Gitti)</v>
      </c>
      <c r="H963" s="4" t="s">
        <v>2708</v>
      </c>
      <c r="I963" s="18" t="str" cm="1">
        <f t="array" ref="I963">_xlfn.LET(_xlpm.text, D963,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63" s="18" t="str" cm="1">
        <f t="array" ref="J963">_xlfn.LET(_xlpm.text, E963,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3" s="14">
        <f t="shared" ref="K963:K1026" si="76">F963+(29/86400)</f>
        <v>46060</v>
      </c>
      <c r="L963" s="14">
        <f t="shared" ref="L963:L1026" si="77">F963+(15/24)</f>
        <v>46060.624664351853</v>
      </c>
      <c r="N963" s="12"/>
    </row>
    <row r="964" spans="1:14" x14ac:dyDescent="0.25">
      <c r="A964" s="4" t="s">
        <v>993</v>
      </c>
      <c r="B964" s="16" t="str">
        <f t="shared" si="73"/>
        <v>MAA DURGA STONE CRUSHING COMPANY</v>
      </c>
      <c r="C964" s="16" t="str">
        <f t="shared" si="74"/>
        <v>CHADWAS(Chadwas/Bidasar/Sujangarh)</v>
      </c>
      <c r="D964" s="4" t="s">
        <v>3034</v>
      </c>
      <c r="E964" s="4" t="s">
        <v>3119</v>
      </c>
      <c r="F964" s="5">
        <v>46060.999664351853</v>
      </c>
      <c r="G964" s="16" t="str">
        <f t="shared" si="75"/>
        <v>MasonaryStone (Gitti)</v>
      </c>
      <c r="H964" s="4" t="s">
        <v>2709</v>
      </c>
      <c r="I964" s="18" t="str" cm="1">
        <f t="array" ref="I964">_xlfn.LET(_xlpm.text, D964,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64" s="18" t="str" cm="1">
        <f t="array" ref="J964">_xlfn.LET(_xlpm.text, E964,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4" s="14">
        <f t="shared" si="76"/>
        <v>46061</v>
      </c>
      <c r="L964" s="14">
        <f t="shared" si="77"/>
        <v>46061.624664351853</v>
      </c>
      <c r="N964" s="12"/>
    </row>
    <row r="965" spans="1:14" x14ac:dyDescent="0.25">
      <c r="A965" s="4" t="s">
        <v>994</v>
      </c>
      <c r="B965" s="16" t="str">
        <f t="shared" si="73"/>
        <v>MAA DURGA STONE CRUSHING COMPANY</v>
      </c>
      <c r="C965" s="16" t="str">
        <f t="shared" si="74"/>
        <v>CHADWAS(Chadwas/Bidasar/Sujangarh)</v>
      </c>
      <c r="D965" s="4" t="s">
        <v>3033</v>
      </c>
      <c r="E965" s="4" t="s">
        <v>3119</v>
      </c>
      <c r="F965" s="5">
        <v>46060.999664351853</v>
      </c>
      <c r="G965" s="16" t="str">
        <f t="shared" si="75"/>
        <v>MasonaryStone (Gitti)</v>
      </c>
      <c r="H965" s="4" t="s">
        <v>2710</v>
      </c>
      <c r="I965" s="18" t="str" cm="1">
        <f t="array" ref="I965">_xlfn.LET(_xlpm.text, D965,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965" s="18" t="str" cm="1">
        <f t="array" ref="J965">_xlfn.LET(_xlpm.text, E965,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5" s="14">
        <f t="shared" si="76"/>
        <v>46061</v>
      </c>
      <c r="L965" s="14">
        <f t="shared" si="77"/>
        <v>46061.624664351853</v>
      </c>
      <c r="N965" s="12"/>
    </row>
    <row r="966" spans="1:14" x14ac:dyDescent="0.25">
      <c r="A966" s="4" t="s">
        <v>995</v>
      </c>
      <c r="B966" s="16" t="e">
        <f t="shared" si="73"/>
        <v>#N/A</v>
      </c>
      <c r="C966" s="16" t="e">
        <f t="shared" si="74"/>
        <v>#N/A</v>
      </c>
      <c r="D966" s="4" t="s">
        <v>3033</v>
      </c>
      <c r="E966" s="4" t="s">
        <v>3119</v>
      </c>
      <c r="F966" s="5">
        <v>46016.999664351853</v>
      </c>
      <c r="G966" s="16" t="e">
        <f t="shared" si="75"/>
        <v>#N/A</v>
      </c>
      <c r="H966" s="4" t="s">
        <v>2379</v>
      </c>
      <c r="I966" s="18" t="str" cm="1">
        <f t="array" ref="I966">_xlfn.LET(_xlpm.text, D966,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966" s="18" t="str" cm="1">
        <f t="array" ref="J966">_xlfn.LET(_xlpm.text, E966,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6" s="14">
        <f t="shared" si="76"/>
        <v>46017</v>
      </c>
      <c r="L966" s="14">
        <f t="shared" si="77"/>
        <v>46017.624664351853</v>
      </c>
      <c r="N966" s="12"/>
    </row>
    <row r="967" spans="1:14" x14ac:dyDescent="0.25">
      <c r="A967" s="4" t="s">
        <v>996</v>
      </c>
      <c r="B967" s="16" t="str">
        <f t="shared" si="73"/>
        <v>MAA DURGA STONE CRUSHING COMPANY</v>
      </c>
      <c r="C967" s="16" t="str">
        <f t="shared" si="74"/>
        <v>CHADWAS(Chadwas/Bidasar/Sujangarh)</v>
      </c>
      <c r="D967" s="4" t="s">
        <v>3033</v>
      </c>
      <c r="E967" s="4" t="s">
        <v>3119</v>
      </c>
      <c r="F967" s="5">
        <v>46061.999664351853</v>
      </c>
      <c r="G967" s="16" t="str">
        <f t="shared" si="75"/>
        <v>MasonaryStone (Gitti)</v>
      </c>
      <c r="H967" s="4" t="s">
        <v>2711</v>
      </c>
      <c r="I967" s="18" t="str" cm="1">
        <f t="array" ref="I967">_xlfn.LET(_xlpm.text, D967,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967" s="18" t="str" cm="1">
        <f t="array" ref="J967">_xlfn.LET(_xlpm.text, E967,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7" s="14">
        <f t="shared" si="76"/>
        <v>46062</v>
      </c>
      <c r="L967" s="14">
        <f t="shared" si="77"/>
        <v>46062.624664351853</v>
      </c>
      <c r="N967" s="12"/>
    </row>
    <row r="968" spans="1:14" x14ac:dyDescent="0.25">
      <c r="A968" s="4" t="s">
        <v>997</v>
      </c>
      <c r="B968" s="16" t="str">
        <f t="shared" si="73"/>
        <v>MAA DURGA STONE CRUSHING COMPANY</v>
      </c>
      <c r="C968" s="16" t="str">
        <f t="shared" si="74"/>
        <v>CHADWAS(Chadwas/Bidasar/Sujangarh)</v>
      </c>
      <c r="D968" s="4" t="s">
        <v>3033</v>
      </c>
      <c r="E968" s="4" t="s">
        <v>3119</v>
      </c>
      <c r="F968" s="5">
        <v>46061.999664351853</v>
      </c>
      <c r="G968" s="16" t="str">
        <f t="shared" si="75"/>
        <v>MasonaryStone (Gitti)</v>
      </c>
      <c r="H968" s="4" t="s">
        <v>2710</v>
      </c>
      <c r="I968" s="18" t="str" cm="1">
        <f t="array" ref="I968">_xlfn.LET(_xlpm.text, D968,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968" s="18" t="str" cm="1">
        <f t="array" ref="J968">_xlfn.LET(_xlpm.text, E968,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8" s="14">
        <f t="shared" si="76"/>
        <v>46062</v>
      </c>
      <c r="L968" s="14">
        <f t="shared" si="77"/>
        <v>46062.624664351853</v>
      </c>
      <c r="N968" s="12"/>
    </row>
    <row r="969" spans="1:14" x14ac:dyDescent="0.25">
      <c r="A969" s="4" t="s">
        <v>998</v>
      </c>
      <c r="B969" s="16" t="str">
        <f t="shared" si="73"/>
        <v>MAA DURGA STONE CRUSHING COMPANY</v>
      </c>
      <c r="C969" s="16" t="str">
        <f t="shared" si="74"/>
        <v>CHADWAS(Chadwas/Bidasar/Sujangarh)</v>
      </c>
      <c r="D969" s="4" t="s">
        <v>3034</v>
      </c>
      <c r="E969" s="4" t="s">
        <v>3119</v>
      </c>
      <c r="F969" s="5">
        <v>46061.999664351853</v>
      </c>
      <c r="G969" s="16" t="str">
        <f t="shared" si="75"/>
        <v>MasonaryStone (Gitti)</v>
      </c>
      <c r="H969" s="4" t="s">
        <v>2456</v>
      </c>
      <c r="I969" s="18" t="str" cm="1">
        <f t="array" ref="I969">_xlfn.LET(_xlpm.text, D969,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69" s="18" t="str" cm="1">
        <f t="array" ref="J969">_xlfn.LET(_xlpm.text, E969,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69" s="14">
        <f t="shared" si="76"/>
        <v>46062</v>
      </c>
      <c r="L969" s="14">
        <f t="shared" si="77"/>
        <v>46062.624664351853</v>
      </c>
      <c r="N969" s="12"/>
    </row>
    <row r="970" spans="1:14" x14ac:dyDescent="0.25">
      <c r="A970" s="4" t="s">
        <v>999</v>
      </c>
      <c r="B970" s="16" t="str">
        <f t="shared" si="73"/>
        <v>MAA DURGA STONE CRUSHING COMPANY</v>
      </c>
      <c r="C970" s="16" t="str">
        <f t="shared" si="74"/>
        <v>CHADWAS(Chadwas/Bidasar/Sujangarh)</v>
      </c>
      <c r="D970" s="4" t="s">
        <v>3034</v>
      </c>
      <c r="E970" s="4" t="s">
        <v>3119</v>
      </c>
      <c r="F970" s="5">
        <v>46064.999664351853</v>
      </c>
      <c r="G970" s="16" t="str">
        <f t="shared" si="75"/>
        <v>MasonaryStone (Gitti)</v>
      </c>
      <c r="H970" s="4" t="s">
        <v>2582</v>
      </c>
      <c r="I970" s="18" t="str" cm="1">
        <f t="array" ref="I970">_xlfn.LET(_xlpm.text, D970,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0" s="18" t="str" cm="1">
        <f t="array" ref="J970">_xlfn.LET(_xlpm.text, E970,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0" s="14">
        <f t="shared" si="76"/>
        <v>46065</v>
      </c>
      <c r="L970" s="14">
        <f t="shared" si="77"/>
        <v>46065.624664351853</v>
      </c>
      <c r="N970" s="12"/>
    </row>
    <row r="971" spans="1:14" x14ac:dyDescent="0.25">
      <c r="A971" s="4" t="s">
        <v>1000</v>
      </c>
      <c r="B971" s="16" t="str">
        <f t="shared" si="73"/>
        <v>MAA DURGA STONE CRUSHING COMPANY</v>
      </c>
      <c r="C971" s="16" t="str">
        <f t="shared" si="74"/>
        <v>CHADWAS(Chadwas/Bidasar/Sujangarh)</v>
      </c>
      <c r="D971" s="4" t="s">
        <v>3034</v>
      </c>
      <c r="E971" s="4" t="s">
        <v>3119</v>
      </c>
      <c r="F971" s="5">
        <v>46063.999664351853</v>
      </c>
      <c r="G971" s="16" t="str">
        <f t="shared" si="75"/>
        <v>MasonaryStone (Gitti)</v>
      </c>
      <c r="H971" s="4" t="s">
        <v>2712</v>
      </c>
      <c r="I971" s="18" t="str" cm="1">
        <f t="array" ref="I971">_xlfn.LET(_xlpm.text, D971,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1" s="18" t="str" cm="1">
        <f t="array" ref="J971">_xlfn.LET(_xlpm.text, E971,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1" s="14">
        <f t="shared" si="76"/>
        <v>46064</v>
      </c>
      <c r="L971" s="14">
        <f t="shared" si="77"/>
        <v>46064.624664351853</v>
      </c>
      <c r="N971" s="12"/>
    </row>
    <row r="972" spans="1:14" x14ac:dyDescent="0.25">
      <c r="A972" s="4" t="s">
        <v>1001</v>
      </c>
      <c r="B972" s="16" t="str">
        <f t="shared" si="73"/>
        <v>MAA DURGA STONE CRUSHING COMPANY</v>
      </c>
      <c r="C972" s="16" t="str">
        <f t="shared" si="74"/>
        <v>CHADWAS(Chadwas/Bidasar/Sujangarh)</v>
      </c>
      <c r="D972" s="4" t="s">
        <v>3034</v>
      </c>
      <c r="E972" s="4" t="s">
        <v>3119</v>
      </c>
      <c r="F972" s="5">
        <v>46061.999664351853</v>
      </c>
      <c r="G972" s="16" t="str">
        <f t="shared" si="75"/>
        <v>MasonaryStone (Gitti)</v>
      </c>
      <c r="H972" s="4" t="s">
        <v>2268</v>
      </c>
      <c r="I972" s="18" t="str" cm="1">
        <f t="array" ref="I972">_xlfn.LET(_xlpm.text, D972,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2" s="18" t="str" cm="1">
        <f t="array" ref="J972">_xlfn.LET(_xlpm.text, E972,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2" s="14">
        <f t="shared" si="76"/>
        <v>46062</v>
      </c>
      <c r="L972" s="14">
        <f t="shared" si="77"/>
        <v>46062.624664351853</v>
      </c>
      <c r="N972" s="12"/>
    </row>
    <row r="973" spans="1:14" x14ac:dyDescent="0.25">
      <c r="A973" s="4" t="s">
        <v>1002</v>
      </c>
      <c r="B973" s="16" t="str">
        <f t="shared" si="73"/>
        <v>MAA DURGA STONE CRUSHING COMPANY</v>
      </c>
      <c r="C973" s="16" t="str">
        <f t="shared" si="74"/>
        <v>CHADWAS(Chadwas/Bidasar/Sujangarh)</v>
      </c>
      <c r="D973" s="4" t="s">
        <v>3034</v>
      </c>
      <c r="E973" s="4" t="s">
        <v>3119</v>
      </c>
      <c r="F973" s="5">
        <v>46063.999664351853</v>
      </c>
      <c r="G973" s="16" t="str">
        <f t="shared" si="75"/>
        <v>MasonaryStone (Gitti)</v>
      </c>
      <c r="H973" s="4" t="s">
        <v>2713</v>
      </c>
      <c r="I973" s="18" t="str" cm="1">
        <f t="array" ref="I973">_xlfn.LET(_xlpm.text, D973,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3" s="18" t="str" cm="1">
        <f t="array" ref="J973">_xlfn.LET(_xlpm.text, E973,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3" s="14">
        <f t="shared" si="76"/>
        <v>46064</v>
      </c>
      <c r="L973" s="14">
        <f t="shared" si="77"/>
        <v>46064.624664351853</v>
      </c>
      <c r="N973" s="12"/>
    </row>
    <row r="974" spans="1:14" x14ac:dyDescent="0.25">
      <c r="A974" s="4" t="s">
        <v>1003</v>
      </c>
      <c r="B974" s="16" t="str">
        <f t="shared" si="73"/>
        <v>MAA DURGA STONE CRUSHING COMPANY</v>
      </c>
      <c r="C974" s="16" t="str">
        <f t="shared" si="74"/>
        <v>CHADWAS(Chadwas/Bidasar/Sujangarh)</v>
      </c>
      <c r="D974" s="4" t="s">
        <v>3034</v>
      </c>
      <c r="E974" s="4" t="s">
        <v>3119</v>
      </c>
      <c r="F974" s="5">
        <v>46062.999664351853</v>
      </c>
      <c r="G974" s="16" t="str">
        <f t="shared" si="75"/>
        <v>MasonaryStone (Gitti)</v>
      </c>
      <c r="H974" s="4" t="s">
        <v>2393</v>
      </c>
      <c r="I974" s="18" t="str" cm="1">
        <f t="array" ref="I974">_xlfn.LET(_xlpm.text, D974,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4" s="18" t="str" cm="1">
        <f t="array" ref="J974">_xlfn.LET(_xlpm.text, E974,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4" s="14">
        <f t="shared" si="76"/>
        <v>46063</v>
      </c>
      <c r="L974" s="14">
        <f t="shared" si="77"/>
        <v>46063.624664351853</v>
      </c>
      <c r="N974" s="12"/>
    </row>
    <row r="975" spans="1:14" x14ac:dyDescent="0.25">
      <c r="A975" s="4" t="s">
        <v>1004</v>
      </c>
      <c r="B975" s="16" t="str">
        <f t="shared" si="73"/>
        <v>MAA DURGA STONE CRUSHING COMPANY</v>
      </c>
      <c r="C975" s="16" t="str">
        <f t="shared" si="74"/>
        <v>CHADWAS(Chadwas/Bidasar/Sujangarh)</v>
      </c>
      <c r="D975" s="4" t="s">
        <v>3034</v>
      </c>
      <c r="E975" s="4" t="s">
        <v>3119</v>
      </c>
      <c r="F975" s="5">
        <v>46062.999664351853</v>
      </c>
      <c r="G975" s="16" t="str">
        <f t="shared" si="75"/>
        <v>MasonaryStone (Gitti)</v>
      </c>
      <c r="H975" s="4" t="s">
        <v>2714</v>
      </c>
      <c r="I975" s="18" t="str" cm="1">
        <f t="array" ref="I975">_xlfn.LET(_xlpm.text, D975,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5" s="18" t="str" cm="1">
        <f t="array" ref="J975">_xlfn.LET(_xlpm.text, E975,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5" s="14">
        <f t="shared" si="76"/>
        <v>46063</v>
      </c>
      <c r="L975" s="14">
        <f t="shared" si="77"/>
        <v>46063.624664351853</v>
      </c>
      <c r="N975" s="12"/>
    </row>
    <row r="976" spans="1:14" x14ac:dyDescent="0.25">
      <c r="A976" s="4" t="s">
        <v>1005</v>
      </c>
      <c r="B976" s="16" t="str">
        <f t="shared" si="73"/>
        <v>MAA DURGA STONE CRUSHING COMPANY</v>
      </c>
      <c r="C976" s="16" t="str">
        <f t="shared" si="74"/>
        <v>CHADWAS(Chadwas/Bidasar/Sujangarh)</v>
      </c>
      <c r="D976" s="4" t="s">
        <v>3034</v>
      </c>
      <c r="E976" s="4" t="s">
        <v>3119</v>
      </c>
      <c r="F976" s="5">
        <v>46061.999664351853</v>
      </c>
      <c r="G976" s="16" t="str">
        <f t="shared" si="75"/>
        <v>MasonaryStone (Gitti)</v>
      </c>
      <c r="H976" s="4" t="s">
        <v>2715</v>
      </c>
      <c r="I976" s="18" t="str" cm="1">
        <f t="array" ref="I976">_xlfn.LET(_xlpm.text, D976,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6" s="18" t="str" cm="1">
        <f t="array" ref="J976">_xlfn.LET(_xlpm.text, E976,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6" s="14">
        <f t="shared" si="76"/>
        <v>46062</v>
      </c>
      <c r="L976" s="14">
        <f t="shared" si="77"/>
        <v>46062.624664351853</v>
      </c>
      <c r="N976" s="12"/>
    </row>
    <row r="977" spans="1:14" x14ac:dyDescent="0.25">
      <c r="A977" s="4" t="s">
        <v>1006</v>
      </c>
      <c r="B977" s="16" t="str">
        <f t="shared" si="73"/>
        <v>MAA DURGA STONE CRUSHING COMPANY</v>
      </c>
      <c r="C977" s="16" t="str">
        <f t="shared" si="74"/>
        <v>CHADWAS(Chadwas/Bidasar/Sujangarh)</v>
      </c>
      <c r="D977" s="4" t="s">
        <v>3034</v>
      </c>
      <c r="E977" s="4" t="s">
        <v>3119</v>
      </c>
      <c r="F977" s="5">
        <v>46061.999664351853</v>
      </c>
      <c r="G977" s="16" t="str">
        <f t="shared" si="75"/>
        <v>MasonaryStone (Gitti)</v>
      </c>
      <c r="H977" s="4" t="s">
        <v>2716</v>
      </c>
      <c r="I977" s="18" t="str" cm="1">
        <f t="array" ref="I977">_xlfn.LET(_xlpm.text, D977,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977" s="18" t="str" cm="1">
        <f t="array" ref="J977">_xlfn.LET(_xlpm.text, E977,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7" s="14">
        <f t="shared" si="76"/>
        <v>46062</v>
      </c>
      <c r="L977" s="14">
        <f t="shared" si="77"/>
        <v>46062.624664351853</v>
      </c>
      <c r="N977" s="12"/>
    </row>
    <row r="978" spans="1:14" x14ac:dyDescent="0.25">
      <c r="A978" s="4" t="s">
        <v>1007</v>
      </c>
      <c r="B978" s="16" t="str">
        <f t="shared" si="73"/>
        <v>Jagdamba Stone Crusher</v>
      </c>
      <c r="C978" s="16" t="str">
        <f t="shared" si="74"/>
        <v>Jagdamba Stone Crusher(Kodasar Bidavtaan/Sujangarh/Churu)</v>
      </c>
      <c r="D978" s="4" t="s">
        <v>3032</v>
      </c>
      <c r="E978" s="4" t="s">
        <v>3119</v>
      </c>
      <c r="F978" s="5">
        <v>46065.999664351853</v>
      </c>
      <c r="G978" s="16" t="str">
        <f t="shared" si="75"/>
        <v>MasonaryStone (Gitti)</v>
      </c>
      <c r="H978" s="4" t="s">
        <v>2717</v>
      </c>
      <c r="I978" s="18" t="str" cm="1">
        <f t="array" ref="I978">_xlfn.LET(_xlpm.text, D978,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78" s="18" t="str" cm="1">
        <f t="array" ref="J978">_xlfn.LET(_xlpm.text, E978,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8" s="14">
        <f t="shared" si="76"/>
        <v>46066</v>
      </c>
      <c r="L978" s="14">
        <f t="shared" si="77"/>
        <v>46066.624664351853</v>
      </c>
      <c r="N978" s="12"/>
    </row>
    <row r="979" spans="1:14" x14ac:dyDescent="0.25">
      <c r="A979" s="4" t="s">
        <v>1008</v>
      </c>
      <c r="B979" s="16" t="str">
        <f t="shared" si="73"/>
        <v>Jagdamba Stone Crusher</v>
      </c>
      <c r="C979" s="16" t="str">
        <f t="shared" si="74"/>
        <v>Jagdamba Stone Crusher(Kodasar Bidavtaan/Sujangarh/Churu)</v>
      </c>
      <c r="D979" s="4" t="s">
        <v>3032</v>
      </c>
      <c r="E979" s="4" t="s">
        <v>3119</v>
      </c>
      <c r="F979" s="5">
        <v>46065.999664351853</v>
      </c>
      <c r="G979" s="16" t="str">
        <f t="shared" si="75"/>
        <v>MasonaryStone (Gitti)</v>
      </c>
      <c r="H979" s="4" t="s">
        <v>2718</v>
      </c>
      <c r="I979" s="18" t="str" cm="1">
        <f t="array" ref="I979">_xlfn.LET(_xlpm.text, D979,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79" s="18" t="str" cm="1">
        <f t="array" ref="J979">_xlfn.LET(_xlpm.text, E979,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79" s="14">
        <f t="shared" si="76"/>
        <v>46066</v>
      </c>
      <c r="L979" s="14">
        <f t="shared" si="77"/>
        <v>46066.624664351853</v>
      </c>
      <c r="N979" s="12"/>
    </row>
    <row r="980" spans="1:14" x14ac:dyDescent="0.25">
      <c r="A980" s="4" t="s">
        <v>1009</v>
      </c>
      <c r="B980" s="16" t="str">
        <f t="shared" si="73"/>
        <v>Jagdamba Stone Crusher</v>
      </c>
      <c r="C980" s="16" t="str">
        <f t="shared" si="74"/>
        <v>Jagdamba Stone Crusher(Kodasar Bidavtaan/Sujangarh/Churu)</v>
      </c>
      <c r="D980" s="4" t="s">
        <v>3032</v>
      </c>
      <c r="E980" s="4" t="s">
        <v>3119</v>
      </c>
      <c r="F980" s="5">
        <v>46065.999664351853</v>
      </c>
      <c r="G980" s="16" t="str">
        <f t="shared" si="75"/>
        <v>MasonaryStone (Gitti)</v>
      </c>
      <c r="H980" s="4" t="s">
        <v>2717</v>
      </c>
      <c r="I980" s="18" t="str" cm="1">
        <f t="array" ref="I980">_xlfn.LET(_xlpm.text, D980,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0" s="18" t="str" cm="1">
        <f t="array" ref="J980">_xlfn.LET(_xlpm.text, E980,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0" s="14">
        <f t="shared" si="76"/>
        <v>46066</v>
      </c>
      <c r="L980" s="14">
        <f t="shared" si="77"/>
        <v>46066.624664351853</v>
      </c>
      <c r="N980" s="12"/>
    </row>
    <row r="981" spans="1:14" x14ac:dyDescent="0.25">
      <c r="A981" s="4" t="s">
        <v>1010</v>
      </c>
      <c r="B981" s="16" t="str">
        <f t="shared" si="73"/>
        <v>Jagdamba Stone Crusher</v>
      </c>
      <c r="C981" s="16" t="str">
        <f t="shared" si="74"/>
        <v>Jagdamba Stone Crusher(Kodasar Bidavtaan/Sujangarh/Churu)</v>
      </c>
      <c r="D981" s="4" t="s">
        <v>3032</v>
      </c>
      <c r="E981" s="4" t="s">
        <v>3119</v>
      </c>
      <c r="F981" s="5">
        <v>46065.999664351853</v>
      </c>
      <c r="G981" s="16" t="str">
        <f t="shared" si="75"/>
        <v>MasonaryStone (Gitti)</v>
      </c>
      <c r="H981" s="4" t="s">
        <v>2718</v>
      </c>
      <c r="I981" s="18" t="str" cm="1">
        <f t="array" ref="I981">_xlfn.LET(_xlpm.text, D981,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1" s="18" t="str" cm="1">
        <f t="array" ref="J981">_xlfn.LET(_xlpm.text, E981,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1" s="14">
        <f t="shared" si="76"/>
        <v>46066</v>
      </c>
      <c r="L981" s="14">
        <f t="shared" si="77"/>
        <v>46066.624664351853</v>
      </c>
      <c r="N981" s="12"/>
    </row>
    <row r="982" spans="1:14" x14ac:dyDescent="0.25">
      <c r="A982" s="4" t="s">
        <v>1011</v>
      </c>
      <c r="B982" s="16" t="str">
        <f t="shared" si="73"/>
        <v>Jagdamba Stone Crusher</v>
      </c>
      <c r="C982" s="16" t="str">
        <f t="shared" si="74"/>
        <v>Jagdamba Stone Crusher(Kodasar Bidavtaan/Sujangarh/Churu)</v>
      </c>
      <c r="D982" s="4" t="s">
        <v>3032</v>
      </c>
      <c r="E982" s="4" t="s">
        <v>3119</v>
      </c>
      <c r="F982" s="5">
        <v>46065.999664351853</v>
      </c>
      <c r="G982" s="16" t="str">
        <f t="shared" si="75"/>
        <v>MasonaryStone (Gitti)</v>
      </c>
      <c r="H982" s="4" t="s">
        <v>2718</v>
      </c>
      <c r="I982" s="18" t="str" cm="1">
        <f t="array" ref="I982">_xlfn.LET(_xlpm.text, D982,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2" s="18" t="str" cm="1">
        <f t="array" ref="J982">_xlfn.LET(_xlpm.text, E982,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2" s="14">
        <f t="shared" si="76"/>
        <v>46066</v>
      </c>
      <c r="L982" s="14">
        <f t="shared" si="77"/>
        <v>46066.624664351853</v>
      </c>
      <c r="N982" s="12"/>
    </row>
    <row r="983" spans="1:14" x14ac:dyDescent="0.25">
      <c r="A983" s="4" t="s">
        <v>1012</v>
      </c>
      <c r="B983" s="16" t="str">
        <f t="shared" si="73"/>
        <v>Jagdamba Stone Crusher</v>
      </c>
      <c r="C983" s="16" t="str">
        <f t="shared" si="74"/>
        <v>Jagdamba Stone Crusher(Kodasar Bidavtaan/Sujangarh/Churu)</v>
      </c>
      <c r="D983" s="4" t="s">
        <v>3032</v>
      </c>
      <c r="E983" s="4" t="s">
        <v>3119</v>
      </c>
      <c r="F983" s="5">
        <v>46065.999664351853</v>
      </c>
      <c r="G983" s="16" t="str">
        <f t="shared" si="75"/>
        <v>MasonaryStone (Gitti)</v>
      </c>
      <c r="H983" s="4" t="s">
        <v>2717</v>
      </c>
      <c r="I983" s="18" t="str" cm="1">
        <f t="array" ref="I983">_xlfn.LET(_xlpm.text, D983,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3" s="18" t="str" cm="1">
        <f t="array" ref="J983">_xlfn.LET(_xlpm.text, E983,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3" s="14">
        <f t="shared" si="76"/>
        <v>46066</v>
      </c>
      <c r="L983" s="14">
        <f t="shared" si="77"/>
        <v>46066.624664351853</v>
      </c>
      <c r="N983" s="12"/>
    </row>
    <row r="984" spans="1:14" x14ac:dyDescent="0.25">
      <c r="A984" s="4" t="s">
        <v>1013</v>
      </c>
      <c r="B984" s="16" t="str">
        <f t="shared" si="73"/>
        <v>Jagdamba Stone Crusher</v>
      </c>
      <c r="C984" s="16" t="str">
        <f t="shared" si="74"/>
        <v>Jagdamba Stone Crusher(Kodasar Bidavtaan/Sujangarh/Churu)</v>
      </c>
      <c r="D984" s="4" t="s">
        <v>3032</v>
      </c>
      <c r="E984" s="4" t="s">
        <v>3119</v>
      </c>
      <c r="F984" s="5">
        <v>46065.999664351853</v>
      </c>
      <c r="G984" s="16" t="str">
        <f t="shared" si="75"/>
        <v>MasonaryStone (Gitti)</v>
      </c>
      <c r="H984" s="4" t="s">
        <v>2467</v>
      </c>
      <c r="I984" s="18" t="str" cm="1">
        <f t="array" ref="I984">_xlfn.LET(_xlpm.text, D984,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4" s="18" t="str" cm="1">
        <f t="array" ref="J984">_xlfn.LET(_xlpm.text, E984,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4" s="14">
        <f t="shared" si="76"/>
        <v>46066</v>
      </c>
      <c r="L984" s="14">
        <f t="shared" si="77"/>
        <v>46066.624664351853</v>
      </c>
      <c r="N984" s="12"/>
    </row>
    <row r="985" spans="1:14" x14ac:dyDescent="0.25">
      <c r="A985" s="4" t="s">
        <v>1014</v>
      </c>
      <c r="B985" s="16" t="str">
        <f t="shared" si="73"/>
        <v>Jagdamba Stone Crusher</v>
      </c>
      <c r="C985" s="16" t="str">
        <f t="shared" si="74"/>
        <v>Jagdamba Stone Crusher(Kodasar Bidavtaan/Sujangarh/Churu)</v>
      </c>
      <c r="D985" s="4" t="s">
        <v>3032</v>
      </c>
      <c r="E985" s="4" t="s">
        <v>3119</v>
      </c>
      <c r="F985" s="5">
        <v>46065.999664351853</v>
      </c>
      <c r="G985" s="16" t="str">
        <f t="shared" si="75"/>
        <v>MasonaryStone (Gitti)</v>
      </c>
      <c r="H985" s="4" t="s">
        <v>2719</v>
      </c>
      <c r="I985" s="18" t="str" cm="1">
        <f t="array" ref="I985">_xlfn.LET(_xlpm.text, D985,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5" s="18" t="str" cm="1">
        <f t="array" ref="J985">_xlfn.LET(_xlpm.text, E985,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5" s="14">
        <f t="shared" si="76"/>
        <v>46066</v>
      </c>
      <c r="L985" s="14">
        <f t="shared" si="77"/>
        <v>46066.624664351853</v>
      </c>
      <c r="N985" s="12"/>
    </row>
    <row r="986" spans="1:14" x14ac:dyDescent="0.25">
      <c r="A986" s="4" t="s">
        <v>1015</v>
      </c>
      <c r="B986" s="16" t="str">
        <f t="shared" si="73"/>
        <v>Jagdamba Stone Crusher</v>
      </c>
      <c r="C986" s="16" t="str">
        <f t="shared" si="74"/>
        <v>Jagdamba Stone Crusher(Kodasar Bidavtaan/Sujangarh/Churu)</v>
      </c>
      <c r="D986" s="4" t="s">
        <v>3032</v>
      </c>
      <c r="E986" s="4" t="s">
        <v>3119</v>
      </c>
      <c r="F986" s="5">
        <v>46065.999664351853</v>
      </c>
      <c r="G986" s="16" t="str">
        <f t="shared" si="75"/>
        <v>MasonaryStone (Gitti)</v>
      </c>
      <c r="H986" s="4" t="s">
        <v>427</v>
      </c>
      <c r="I986" s="18" t="str" cm="1">
        <f t="array" ref="I986">_xlfn.LET(_xlpm.text, D986,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6" s="18" t="str" cm="1">
        <f t="array" ref="J986">_xlfn.LET(_xlpm.text, E986,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6" s="14">
        <f t="shared" si="76"/>
        <v>46066</v>
      </c>
      <c r="L986" s="14">
        <f t="shared" si="77"/>
        <v>46066.624664351853</v>
      </c>
      <c r="N986" s="12"/>
    </row>
    <row r="987" spans="1:14" x14ac:dyDescent="0.25">
      <c r="A987" s="4" t="s">
        <v>1016</v>
      </c>
      <c r="B987" s="16" t="str">
        <f t="shared" si="73"/>
        <v>Jagdamba Stone Crusher</v>
      </c>
      <c r="C987" s="16" t="str">
        <f t="shared" si="74"/>
        <v>Jagdamba Stone Crusher(Kodasar Bidavtaan/Sujangarh/Churu)</v>
      </c>
      <c r="D987" s="4" t="s">
        <v>3032</v>
      </c>
      <c r="E987" s="4" t="s">
        <v>3119</v>
      </c>
      <c r="F987" s="5">
        <v>46065.999664351853</v>
      </c>
      <c r="G987" s="16" t="str">
        <f t="shared" si="75"/>
        <v>MasonaryStone (Gitti)</v>
      </c>
      <c r="H987" s="4" t="s">
        <v>2720</v>
      </c>
      <c r="I987" s="18" t="str" cm="1">
        <f t="array" ref="I987">_xlfn.LET(_xlpm.text, D987,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7" s="18" t="str" cm="1">
        <f t="array" ref="J987">_xlfn.LET(_xlpm.text, E987,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7" s="14">
        <f t="shared" si="76"/>
        <v>46066</v>
      </c>
      <c r="L987" s="14">
        <f t="shared" si="77"/>
        <v>46066.624664351853</v>
      </c>
      <c r="N987" s="12"/>
    </row>
    <row r="988" spans="1:14" x14ac:dyDescent="0.25">
      <c r="A988" s="4" t="s">
        <v>1017</v>
      </c>
      <c r="B988" s="16" t="str">
        <f t="shared" si="73"/>
        <v>Jagdamba Stone Crusher</v>
      </c>
      <c r="C988" s="16" t="str">
        <f t="shared" si="74"/>
        <v>Jagdamba Stone Crusher(Kodasar Bidavtaan/Sujangarh/Churu)</v>
      </c>
      <c r="D988" s="4" t="s">
        <v>3032</v>
      </c>
      <c r="E988" s="4" t="s">
        <v>3119</v>
      </c>
      <c r="F988" s="5">
        <v>46066.999664351853</v>
      </c>
      <c r="G988" s="16" t="str">
        <f t="shared" si="75"/>
        <v>MasonaryStone (Gitti)</v>
      </c>
      <c r="H988" s="4" t="s">
        <v>2721</v>
      </c>
      <c r="I988" s="18" t="str" cm="1">
        <f t="array" ref="I988">_xlfn.LET(_xlpm.text, D988,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8" s="18" t="str" cm="1">
        <f t="array" ref="J988">_xlfn.LET(_xlpm.text, E988,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8" s="14">
        <f t="shared" si="76"/>
        <v>46067</v>
      </c>
      <c r="L988" s="14">
        <f t="shared" si="77"/>
        <v>46067.624664351853</v>
      </c>
      <c r="N988" s="12"/>
    </row>
    <row r="989" spans="1:14" x14ac:dyDescent="0.25">
      <c r="A989" s="4" t="s">
        <v>1018</v>
      </c>
      <c r="B989" s="16" t="str">
        <f t="shared" si="73"/>
        <v>Jagdamba Stone Crusher</v>
      </c>
      <c r="C989" s="16" t="str">
        <f t="shared" si="74"/>
        <v>Jagdamba Stone Crusher(Kodasar Bidavtaan/Sujangarh/Churu)</v>
      </c>
      <c r="D989" s="4" t="s">
        <v>3032</v>
      </c>
      <c r="E989" s="4" t="s">
        <v>3119</v>
      </c>
      <c r="F989" s="5">
        <v>46066.999664351853</v>
      </c>
      <c r="G989" s="16" t="str">
        <f t="shared" si="75"/>
        <v>MasonaryStone (Gitti)</v>
      </c>
      <c r="H989" s="4" t="s">
        <v>2722</v>
      </c>
      <c r="I989" s="18" t="str" cm="1">
        <f t="array" ref="I989">_xlfn.LET(_xlpm.text, D989,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89" s="18" t="str" cm="1">
        <f t="array" ref="J989">_xlfn.LET(_xlpm.text, E989,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89" s="14">
        <f t="shared" si="76"/>
        <v>46067</v>
      </c>
      <c r="L989" s="14">
        <f t="shared" si="77"/>
        <v>46067.624664351853</v>
      </c>
      <c r="N989" s="12"/>
    </row>
    <row r="990" spans="1:14" x14ac:dyDescent="0.25">
      <c r="A990" s="4" t="s">
        <v>1019</v>
      </c>
      <c r="B990" s="16" t="str">
        <f t="shared" si="73"/>
        <v>Jagdamba Stone Crusher</v>
      </c>
      <c r="C990" s="16" t="str">
        <f t="shared" si="74"/>
        <v>Jagdamba Stone Crusher(Kodasar Bidavtaan/Sujangarh/Churu)</v>
      </c>
      <c r="D990" s="4" t="s">
        <v>3032</v>
      </c>
      <c r="E990" s="4" t="s">
        <v>3119</v>
      </c>
      <c r="F990" s="5">
        <v>46066.999664351853</v>
      </c>
      <c r="G990" s="16" t="str">
        <f t="shared" si="75"/>
        <v>MasonaryStone (Gitti)</v>
      </c>
      <c r="H990" s="4" t="s">
        <v>2723</v>
      </c>
      <c r="I990" s="18" t="str" cm="1">
        <f t="array" ref="I990">_xlfn.LET(_xlpm.text, D990,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0" s="18" t="str" cm="1">
        <f t="array" ref="J990">_xlfn.LET(_xlpm.text, E990,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0" s="14">
        <f t="shared" si="76"/>
        <v>46067</v>
      </c>
      <c r="L990" s="14">
        <f t="shared" si="77"/>
        <v>46067.624664351853</v>
      </c>
      <c r="N990" s="12"/>
    </row>
    <row r="991" spans="1:14" x14ac:dyDescent="0.25">
      <c r="A991" s="4" t="s">
        <v>1020</v>
      </c>
      <c r="B991" s="16" t="str">
        <f t="shared" si="73"/>
        <v>Jagdamba Stone Crusher</v>
      </c>
      <c r="C991" s="16" t="str">
        <f t="shared" si="74"/>
        <v>Jagdamba Stone Crusher(Kodasar Bidavtaan/Sujangarh/Churu)</v>
      </c>
      <c r="D991" s="4" t="s">
        <v>3032</v>
      </c>
      <c r="E991" s="4" t="s">
        <v>3119</v>
      </c>
      <c r="F991" s="5">
        <v>46066.999664351853</v>
      </c>
      <c r="G991" s="16" t="str">
        <f t="shared" si="75"/>
        <v>MasonaryStone (Gitti)</v>
      </c>
      <c r="H991" s="4" t="s">
        <v>2697</v>
      </c>
      <c r="I991" s="18" t="str" cm="1">
        <f t="array" ref="I991">_xlfn.LET(_xlpm.text, D991,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1" s="18" t="str" cm="1">
        <f t="array" ref="J991">_xlfn.LET(_xlpm.text, E991,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1" s="14">
        <f t="shared" si="76"/>
        <v>46067</v>
      </c>
      <c r="L991" s="14">
        <f t="shared" si="77"/>
        <v>46067.624664351853</v>
      </c>
      <c r="N991" s="12"/>
    </row>
    <row r="992" spans="1:14" x14ac:dyDescent="0.25">
      <c r="A992" s="4" t="s">
        <v>1021</v>
      </c>
      <c r="B992" s="16" t="str">
        <f t="shared" si="73"/>
        <v>Jagdamba Stone Crusher</v>
      </c>
      <c r="C992" s="16" t="str">
        <f t="shared" si="74"/>
        <v>Jagdamba Stone Crusher(Kodasar Bidavtaan/Sujangarh/Churu)</v>
      </c>
      <c r="D992" s="4" t="s">
        <v>3032</v>
      </c>
      <c r="E992" s="4" t="s">
        <v>3119</v>
      </c>
      <c r="F992" s="5">
        <v>46066.999664351853</v>
      </c>
      <c r="G992" s="16" t="str">
        <f t="shared" si="75"/>
        <v>MasonaryStone (Gitti)</v>
      </c>
      <c r="H992" s="4" t="s">
        <v>2637</v>
      </c>
      <c r="I992" s="18" t="str" cm="1">
        <f t="array" ref="I992">_xlfn.LET(_xlpm.text, D992,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2" s="18" t="str" cm="1">
        <f t="array" ref="J992">_xlfn.LET(_xlpm.text, E992,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2" s="14">
        <f t="shared" si="76"/>
        <v>46067</v>
      </c>
      <c r="L992" s="14">
        <f t="shared" si="77"/>
        <v>46067.624664351853</v>
      </c>
      <c r="N992" s="12"/>
    </row>
    <row r="993" spans="1:14" x14ac:dyDescent="0.25">
      <c r="A993" s="4" t="s">
        <v>1022</v>
      </c>
      <c r="B993" s="16" t="str">
        <f t="shared" si="73"/>
        <v>Jagdamba Stone Crusher</v>
      </c>
      <c r="C993" s="16" t="str">
        <f t="shared" si="74"/>
        <v>Jagdamba Stone Crusher(Kodasar Bidavtaan/Sujangarh/Churu)</v>
      </c>
      <c r="D993" s="4" t="s">
        <v>3032</v>
      </c>
      <c r="E993" s="4" t="s">
        <v>3119</v>
      </c>
      <c r="F993" s="5">
        <v>46066.999664351853</v>
      </c>
      <c r="G993" s="16" t="str">
        <f t="shared" si="75"/>
        <v>MasonaryStone (Gitti)</v>
      </c>
      <c r="H993" s="4" t="s">
        <v>2724</v>
      </c>
      <c r="I993" s="18" t="str" cm="1">
        <f t="array" ref="I993">_xlfn.LET(_xlpm.text, D993,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3" s="18" t="str" cm="1">
        <f t="array" ref="J993">_xlfn.LET(_xlpm.text, E993,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3" s="14">
        <f t="shared" si="76"/>
        <v>46067</v>
      </c>
      <c r="L993" s="14">
        <f t="shared" si="77"/>
        <v>46067.624664351853</v>
      </c>
      <c r="N993" s="12"/>
    </row>
    <row r="994" spans="1:14" x14ac:dyDescent="0.25">
      <c r="A994" s="4" t="s">
        <v>1023</v>
      </c>
      <c r="B994" s="16" t="str">
        <f t="shared" si="73"/>
        <v>Jagdamba Stone Crusher</v>
      </c>
      <c r="C994" s="16" t="str">
        <f t="shared" si="74"/>
        <v>Jagdamba Stone Crusher(Kodasar Bidavtaan/Sujangarh/Churu)</v>
      </c>
      <c r="D994" s="4" t="s">
        <v>3032</v>
      </c>
      <c r="E994" s="4" t="s">
        <v>3119</v>
      </c>
      <c r="F994" s="5">
        <v>46066.999664351853</v>
      </c>
      <c r="G994" s="16" t="str">
        <f t="shared" si="75"/>
        <v>MasonaryStone (Gitti)</v>
      </c>
      <c r="H994" s="4" t="s">
        <v>2725</v>
      </c>
      <c r="I994" s="18" t="str" cm="1">
        <f t="array" ref="I994">_xlfn.LET(_xlpm.text, D994,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4" s="18" t="str" cm="1">
        <f t="array" ref="J994">_xlfn.LET(_xlpm.text, E994,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4" s="14">
        <f t="shared" si="76"/>
        <v>46067</v>
      </c>
      <c r="L994" s="14">
        <f t="shared" si="77"/>
        <v>46067.624664351853</v>
      </c>
      <c r="N994" s="12"/>
    </row>
    <row r="995" spans="1:14" x14ac:dyDescent="0.25">
      <c r="A995" s="4" t="s">
        <v>1024</v>
      </c>
      <c r="B995" s="16" t="str">
        <f t="shared" si="73"/>
        <v>Jagdamba Stone Crusher</v>
      </c>
      <c r="C995" s="16" t="str">
        <f t="shared" si="74"/>
        <v>Jagdamba Stone Crusher(Kodasar Bidavtaan/Sujangarh/Churu)</v>
      </c>
      <c r="D995" s="4" t="s">
        <v>3032</v>
      </c>
      <c r="E995" s="4" t="s">
        <v>3119</v>
      </c>
      <c r="F995" s="5">
        <v>46066.999664351853</v>
      </c>
      <c r="G995" s="16" t="str">
        <f t="shared" si="75"/>
        <v>MasonaryStone (Gitti)</v>
      </c>
      <c r="H995" s="4" t="s">
        <v>2726</v>
      </c>
      <c r="I995" s="18" t="str" cm="1">
        <f t="array" ref="I995">_xlfn.LET(_xlpm.text, D995,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5" s="18" t="str" cm="1">
        <f t="array" ref="J995">_xlfn.LET(_xlpm.text, E995,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5" s="14">
        <f t="shared" si="76"/>
        <v>46067</v>
      </c>
      <c r="L995" s="14">
        <f t="shared" si="77"/>
        <v>46067.624664351853</v>
      </c>
      <c r="N995" s="12"/>
    </row>
    <row r="996" spans="1:14" x14ac:dyDescent="0.25">
      <c r="A996" s="4" t="s">
        <v>1025</v>
      </c>
      <c r="B996" s="16" t="str">
        <f t="shared" si="73"/>
        <v>Jagdamba Stone Crusher</v>
      </c>
      <c r="C996" s="16" t="str">
        <f t="shared" si="74"/>
        <v>Jagdamba Stone Crusher(Kodasar Bidavtaan/Sujangarh/Churu)</v>
      </c>
      <c r="D996" s="4" t="s">
        <v>3032</v>
      </c>
      <c r="E996" s="4" t="s">
        <v>3119</v>
      </c>
      <c r="F996" s="5">
        <v>46066.999664351853</v>
      </c>
      <c r="G996" s="16" t="str">
        <f t="shared" si="75"/>
        <v>MasonaryStone (Gitti)</v>
      </c>
      <c r="H996" s="4" t="s">
        <v>2727</v>
      </c>
      <c r="I996" s="18" t="str" cm="1">
        <f t="array" ref="I996">_xlfn.LET(_xlpm.text, D996,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6" s="18" t="str" cm="1">
        <f t="array" ref="J996">_xlfn.LET(_xlpm.text, E996,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6" s="14">
        <f t="shared" si="76"/>
        <v>46067</v>
      </c>
      <c r="L996" s="14">
        <f t="shared" si="77"/>
        <v>46067.624664351853</v>
      </c>
      <c r="N996" s="12"/>
    </row>
    <row r="997" spans="1:14" x14ac:dyDescent="0.25">
      <c r="A997" s="4" t="s">
        <v>1026</v>
      </c>
      <c r="B997" s="16" t="str">
        <f t="shared" si="73"/>
        <v>Jagdamba Stone Crusher</v>
      </c>
      <c r="C997" s="16" t="str">
        <f t="shared" si="74"/>
        <v>Jagdamba Stone Crusher(Kodasar Bidavtaan/Sujangarh/Churu)</v>
      </c>
      <c r="D997" s="4" t="s">
        <v>3032</v>
      </c>
      <c r="E997" s="4" t="s">
        <v>3119</v>
      </c>
      <c r="F997" s="5">
        <v>46066.999664351853</v>
      </c>
      <c r="G997" s="16" t="str">
        <f t="shared" si="75"/>
        <v>MasonaryStone (Gitti)</v>
      </c>
      <c r="H997" s="4" t="s">
        <v>2728</v>
      </c>
      <c r="I997" s="18" t="str" cm="1">
        <f t="array" ref="I997">_xlfn.LET(_xlpm.text, D997,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7" s="18" t="str" cm="1">
        <f t="array" ref="J997">_xlfn.LET(_xlpm.text, E997,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7" s="14">
        <f t="shared" si="76"/>
        <v>46067</v>
      </c>
      <c r="L997" s="14">
        <f t="shared" si="77"/>
        <v>46067.624664351853</v>
      </c>
      <c r="N997" s="12"/>
    </row>
    <row r="998" spans="1:14" x14ac:dyDescent="0.25">
      <c r="A998" s="4" t="s">
        <v>1027</v>
      </c>
      <c r="B998" s="16" t="str">
        <f t="shared" si="73"/>
        <v>Jagdamba Stone Crusher</v>
      </c>
      <c r="C998" s="16" t="str">
        <f t="shared" si="74"/>
        <v>Jagdamba Stone Crusher(Kodasar Bidavtaan/Sujangarh/Churu)</v>
      </c>
      <c r="D998" s="4" t="s">
        <v>3032</v>
      </c>
      <c r="E998" s="4" t="s">
        <v>3119</v>
      </c>
      <c r="F998" s="5">
        <v>46066.999664351853</v>
      </c>
      <c r="G998" s="16" t="str">
        <f t="shared" si="75"/>
        <v>MasonaryStone (Gitti)</v>
      </c>
      <c r="H998" s="4" t="s">
        <v>2617</v>
      </c>
      <c r="I998" s="18" t="str" cm="1">
        <f t="array" ref="I998">_xlfn.LET(_xlpm.text, D998,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8" s="18" t="str" cm="1">
        <f t="array" ref="J998">_xlfn.LET(_xlpm.text, E998,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8" s="14">
        <f t="shared" si="76"/>
        <v>46067</v>
      </c>
      <c r="L998" s="14">
        <f t="shared" si="77"/>
        <v>46067.624664351853</v>
      </c>
      <c r="N998" s="12"/>
    </row>
    <row r="999" spans="1:14" x14ac:dyDescent="0.25">
      <c r="A999" s="4" t="s">
        <v>1028</v>
      </c>
      <c r="B999" s="16" t="str">
        <f t="shared" si="73"/>
        <v>Jagdamba Stone Crusher</v>
      </c>
      <c r="C999" s="16" t="str">
        <f t="shared" si="74"/>
        <v>Jagdamba Stone Crusher(Kodasar Bidavtaan/Sujangarh/Churu)</v>
      </c>
      <c r="D999" s="4" t="s">
        <v>3032</v>
      </c>
      <c r="E999" s="4" t="s">
        <v>3119</v>
      </c>
      <c r="F999" s="5">
        <v>46066.999664351853</v>
      </c>
      <c r="G999" s="16" t="str">
        <f t="shared" si="75"/>
        <v>MasonaryStone (Gitti)</v>
      </c>
      <c r="H999" s="4" t="s">
        <v>2729</v>
      </c>
      <c r="I999" s="18" t="str" cm="1">
        <f t="array" ref="I999">_xlfn.LET(_xlpm.text, D999,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999" s="18" t="str" cm="1">
        <f t="array" ref="J999">_xlfn.LET(_xlpm.text, E999,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999" s="14">
        <f t="shared" si="76"/>
        <v>46067</v>
      </c>
      <c r="L999" s="14">
        <f t="shared" si="77"/>
        <v>46067.624664351853</v>
      </c>
      <c r="N999" s="12"/>
    </row>
    <row r="1000" spans="1:14" x14ac:dyDescent="0.25">
      <c r="A1000" s="4" t="s">
        <v>1029</v>
      </c>
      <c r="B1000" s="16" t="str">
        <f t="shared" si="73"/>
        <v>Jagdamba Stone Crusher</v>
      </c>
      <c r="C1000" s="16" t="str">
        <f t="shared" si="74"/>
        <v>Jagdamba Stone Crusher(Kodasar Bidavtaan/Sujangarh/Churu)</v>
      </c>
      <c r="D1000" s="4" t="s">
        <v>3032</v>
      </c>
      <c r="E1000" s="4" t="s">
        <v>3119</v>
      </c>
      <c r="F1000" s="5">
        <v>46066.999664351853</v>
      </c>
      <c r="G1000" s="16" t="str">
        <f t="shared" si="75"/>
        <v>MasonaryStone (Gitti)</v>
      </c>
      <c r="H1000" s="4" t="s">
        <v>427</v>
      </c>
      <c r="I1000" s="18" t="str" cm="1">
        <f t="array" ref="I1000">_xlfn.LET(_xlpm.text, D1000,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0" s="18" t="str" cm="1">
        <f t="array" ref="J1000">_xlfn.LET(_xlpm.text, E1000,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0" s="14">
        <f t="shared" si="76"/>
        <v>46067</v>
      </c>
      <c r="L1000" s="14">
        <f t="shared" si="77"/>
        <v>46067.624664351853</v>
      </c>
      <c r="N1000" s="12"/>
    </row>
    <row r="1001" spans="1:14" x14ac:dyDescent="0.25">
      <c r="A1001" s="4" t="s">
        <v>1030</v>
      </c>
      <c r="B1001" s="16" t="str">
        <f t="shared" si="73"/>
        <v>Jagdamba Stone Crusher</v>
      </c>
      <c r="C1001" s="16" t="str">
        <f t="shared" si="74"/>
        <v>Jagdamba Stone Crusher(Kodasar Bidavtaan/Sujangarh/Churu)</v>
      </c>
      <c r="D1001" s="4" t="s">
        <v>3032</v>
      </c>
      <c r="E1001" s="4" t="s">
        <v>3119</v>
      </c>
      <c r="F1001" s="5">
        <v>46066.999664351853</v>
      </c>
      <c r="G1001" s="16" t="str">
        <f t="shared" si="75"/>
        <v>MasonaryStone (Gitti)</v>
      </c>
      <c r="H1001" s="4" t="s">
        <v>2730</v>
      </c>
      <c r="I1001" s="18" t="str" cm="1">
        <f t="array" ref="I1001">_xlfn.LET(_xlpm.text, D1001,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1" s="18" t="str" cm="1">
        <f t="array" ref="J1001">_xlfn.LET(_xlpm.text, E1001,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1" s="14">
        <f t="shared" si="76"/>
        <v>46067</v>
      </c>
      <c r="L1001" s="14">
        <f t="shared" si="77"/>
        <v>46067.624664351853</v>
      </c>
      <c r="N1001" s="12"/>
    </row>
    <row r="1002" spans="1:14" x14ac:dyDescent="0.25">
      <c r="A1002" s="4" t="s">
        <v>1031</v>
      </c>
      <c r="B1002" s="16" t="str">
        <f t="shared" si="73"/>
        <v>MAA DURGA STONE CRUSHING COMPANY</v>
      </c>
      <c r="C1002" s="16" t="str">
        <f t="shared" si="74"/>
        <v>CHADWAS(Chadwas/Bidasar/Sujangarh)</v>
      </c>
      <c r="D1002" s="4" t="s">
        <v>3032</v>
      </c>
      <c r="E1002" s="4" t="s">
        <v>3119</v>
      </c>
      <c r="F1002" s="5">
        <v>46066.999664351853</v>
      </c>
      <c r="G1002" s="16" t="str">
        <f t="shared" si="75"/>
        <v>MasonaryStone (Gitti)</v>
      </c>
      <c r="H1002" s="4" t="s">
        <v>2731</v>
      </c>
      <c r="I1002" s="18" t="str" cm="1">
        <f t="array" ref="I1002">_xlfn.LET(_xlpm.text, D1002,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2" s="18" t="str" cm="1">
        <f t="array" ref="J1002">_xlfn.LET(_xlpm.text, E1002,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2" s="14">
        <f t="shared" si="76"/>
        <v>46067</v>
      </c>
      <c r="L1002" s="14">
        <f t="shared" si="77"/>
        <v>46067.624664351853</v>
      </c>
      <c r="N1002" s="12"/>
    </row>
    <row r="1003" spans="1:14" x14ac:dyDescent="0.25">
      <c r="A1003" s="4" t="s">
        <v>1032</v>
      </c>
      <c r="B1003" s="16" t="str">
        <f t="shared" si="73"/>
        <v>MAA DURGA STONE CRUSHING COMPANY</v>
      </c>
      <c r="C1003" s="16" t="str">
        <f t="shared" si="74"/>
        <v>CHADWAS(Chadwas/Bidasar/Sujangarh)</v>
      </c>
      <c r="D1003" s="4" t="s">
        <v>3032</v>
      </c>
      <c r="E1003" s="4" t="s">
        <v>3119</v>
      </c>
      <c r="F1003" s="5">
        <v>46066.999664351853</v>
      </c>
      <c r="G1003" s="16" t="str">
        <f t="shared" si="75"/>
        <v>MasonaryStone (Gitti)</v>
      </c>
      <c r="H1003" s="4" t="s">
        <v>2732</v>
      </c>
      <c r="I1003" s="18" t="str" cm="1">
        <f t="array" ref="I1003">_xlfn.LET(_xlpm.text, D1003,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3" s="18" t="str" cm="1">
        <f t="array" ref="J1003">_xlfn.LET(_xlpm.text, E1003,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3" s="14">
        <f t="shared" si="76"/>
        <v>46067</v>
      </c>
      <c r="L1003" s="14">
        <f t="shared" si="77"/>
        <v>46067.624664351853</v>
      </c>
      <c r="N1003" s="12"/>
    </row>
    <row r="1004" spans="1:14" x14ac:dyDescent="0.25">
      <c r="A1004" s="4" t="s">
        <v>1033</v>
      </c>
      <c r="B1004" s="16" t="str">
        <f t="shared" si="73"/>
        <v>MAA DURGA STONE CRUSHING COMPANY</v>
      </c>
      <c r="C1004" s="16" t="str">
        <f t="shared" si="74"/>
        <v>CHADWAS(Chadwas/Bidasar/Sujangarh)</v>
      </c>
      <c r="D1004" s="4" t="s">
        <v>3032</v>
      </c>
      <c r="E1004" s="4" t="s">
        <v>3119</v>
      </c>
      <c r="F1004" s="5">
        <v>46066.999664351853</v>
      </c>
      <c r="G1004" s="16" t="str">
        <f t="shared" si="75"/>
        <v>MasonaryStone (Gitti)</v>
      </c>
      <c r="H1004" s="4" t="s">
        <v>2733</v>
      </c>
      <c r="I1004" s="18" t="str" cm="1">
        <f t="array" ref="I1004">_xlfn.LET(_xlpm.text, D1004,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4" s="18" t="str" cm="1">
        <f t="array" ref="J1004">_xlfn.LET(_xlpm.text, E1004,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4" s="14">
        <f t="shared" si="76"/>
        <v>46067</v>
      </c>
      <c r="L1004" s="14">
        <f t="shared" si="77"/>
        <v>46067.624664351853</v>
      </c>
      <c r="N1004" s="12"/>
    </row>
    <row r="1005" spans="1:14" x14ac:dyDescent="0.25">
      <c r="A1005" s="4" t="s">
        <v>1034</v>
      </c>
      <c r="B1005" s="16" t="str">
        <f t="shared" si="73"/>
        <v>MAA DURGA STONE CRUSHING COMPANY</v>
      </c>
      <c r="C1005" s="16" t="str">
        <f t="shared" si="74"/>
        <v>CHADWAS(Chadwas/Bidasar/Sujangarh)</v>
      </c>
      <c r="D1005" s="4" t="s">
        <v>3032</v>
      </c>
      <c r="E1005" s="4" t="s">
        <v>3119</v>
      </c>
      <c r="F1005" s="5">
        <v>46066.999664351853</v>
      </c>
      <c r="G1005" s="16" t="str">
        <f t="shared" si="75"/>
        <v>MasonaryStone (Gitti)</v>
      </c>
      <c r="H1005" s="4" t="s">
        <v>2470</v>
      </c>
      <c r="I1005" s="18" t="str" cm="1">
        <f t="array" ref="I1005">_xlfn.LET(_xlpm.text, D1005,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5" s="18" t="str" cm="1">
        <f t="array" ref="J1005">_xlfn.LET(_xlpm.text, E1005,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5" s="14">
        <f t="shared" si="76"/>
        <v>46067</v>
      </c>
      <c r="L1005" s="14">
        <f t="shared" si="77"/>
        <v>46067.624664351853</v>
      </c>
      <c r="N1005" s="12"/>
    </row>
    <row r="1006" spans="1:14" x14ac:dyDescent="0.25">
      <c r="A1006" s="4" t="s">
        <v>1035</v>
      </c>
      <c r="B1006" s="16" t="str">
        <f t="shared" si="73"/>
        <v>MAA DURGA STONE CRUSHING COMPANY</v>
      </c>
      <c r="C1006" s="16" t="str">
        <f t="shared" si="74"/>
        <v>CHADWAS(Chadwas/Bidasar/Sujangarh)</v>
      </c>
      <c r="D1006" s="4" t="s">
        <v>3032</v>
      </c>
      <c r="E1006" s="4" t="s">
        <v>3119</v>
      </c>
      <c r="F1006" s="5">
        <v>46066.999664351853</v>
      </c>
      <c r="G1006" s="16" t="str">
        <f t="shared" si="75"/>
        <v>MasonaryStone (Gitti)</v>
      </c>
      <c r="H1006" s="4" t="s">
        <v>2355</v>
      </c>
      <c r="I1006" s="18" t="str" cm="1">
        <f t="array" ref="I1006">_xlfn.LET(_xlpm.text, D1006,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6" s="18" t="str" cm="1">
        <f t="array" ref="J1006">_xlfn.LET(_xlpm.text, E1006,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6" s="14">
        <f t="shared" si="76"/>
        <v>46067</v>
      </c>
      <c r="L1006" s="14">
        <f t="shared" si="77"/>
        <v>46067.624664351853</v>
      </c>
      <c r="N1006" s="12"/>
    </row>
    <row r="1007" spans="1:14" x14ac:dyDescent="0.25">
      <c r="A1007" s="4" t="s">
        <v>1036</v>
      </c>
      <c r="B1007" s="16" t="str">
        <f t="shared" si="73"/>
        <v>MAA DURGA STONE CRUSHING COMPANY</v>
      </c>
      <c r="C1007" s="16" t="str">
        <f t="shared" si="74"/>
        <v>CHADWAS(Chadwas/Bidasar/Sujangarh)</v>
      </c>
      <c r="D1007" s="4" t="s">
        <v>3032</v>
      </c>
      <c r="E1007" s="4" t="s">
        <v>3119</v>
      </c>
      <c r="F1007" s="5">
        <v>46066.999664351853</v>
      </c>
      <c r="G1007" s="16" t="str">
        <f t="shared" si="75"/>
        <v>MasonaryStone (Gitti)</v>
      </c>
      <c r="H1007" s="4" t="s">
        <v>2457</v>
      </c>
      <c r="I1007" s="18" t="str" cm="1">
        <f t="array" ref="I1007">_xlfn.LET(_xlpm.text, D1007,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7" s="18" t="str" cm="1">
        <f t="array" ref="J1007">_xlfn.LET(_xlpm.text, E1007,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7" s="14">
        <f t="shared" si="76"/>
        <v>46067</v>
      </c>
      <c r="L1007" s="14">
        <f t="shared" si="77"/>
        <v>46067.624664351853</v>
      </c>
      <c r="N1007" s="12"/>
    </row>
    <row r="1008" spans="1:14" x14ac:dyDescent="0.25">
      <c r="A1008" s="4" t="s">
        <v>1037</v>
      </c>
      <c r="B1008" s="16" t="str">
        <f t="shared" si="73"/>
        <v>MAA DURGA STONE CRUSHING COMPANY</v>
      </c>
      <c r="C1008" s="16" t="str">
        <f t="shared" si="74"/>
        <v>CHADWAS(Chadwas/Bidasar/Sujangarh)</v>
      </c>
      <c r="D1008" s="4" t="s">
        <v>3032</v>
      </c>
      <c r="E1008" s="4" t="s">
        <v>3119</v>
      </c>
      <c r="F1008" s="5">
        <v>46066.999664351853</v>
      </c>
      <c r="G1008" s="16" t="str">
        <f t="shared" si="75"/>
        <v>MasonaryStone (Gitti)</v>
      </c>
      <c r="H1008" s="4" t="s">
        <v>2705</v>
      </c>
      <c r="I1008" s="18" t="str" cm="1">
        <f t="array" ref="I1008">_xlfn.LET(_xlpm.text, D1008,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8" s="18" t="str" cm="1">
        <f t="array" ref="J1008">_xlfn.LET(_xlpm.text, E1008,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8" s="14">
        <f t="shared" si="76"/>
        <v>46067</v>
      </c>
      <c r="L1008" s="14">
        <f t="shared" si="77"/>
        <v>46067.624664351853</v>
      </c>
      <c r="N1008" s="12"/>
    </row>
    <row r="1009" spans="1:14" x14ac:dyDescent="0.25">
      <c r="A1009" s="4" t="s">
        <v>1038</v>
      </c>
      <c r="B1009" s="16" t="str">
        <f t="shared" si="73"/>
        <v>MAA DURGA STONE CRUSHING COMPANY</v>
      </c>
      <c r="C1009" s="16" t="str">
        <f t="shared" si="74"/>
        <v>CHADWAS(Chadwas/Bidasar/Sujangarh)</v>
      </c>
      <c r="D1009" s="4" t="s">
        <v>3032</v>
      </c>
      <c r="E1009" s="4" t="s">
        <v>3119</v>
      </c>
      <c r="F1009" s="5">
        <v>46066.999664351853</v>
      </c>
      <c r="G1009" s="16" t="str">
        <f t="shared" si="75"/>
        <v>MasonaryStone (Gitti)</v>
      </c>
      <c r="H1009" s="4" t="s">
        <v>2425</v>
      </c>
      <c r="I1009" s="18" t="str" cm="1">
        <f t="array" ref="I1009">_xlfn.LET(_xlpm.text, D1009,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09" s="18" t="str" cm="1">
        <f t="array" ref="J1009">_xlfn.LET(_xlpm.text, E1009,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09" s="14">
        <f t="shared" si="76"/>
        <v>46067</v>
      </c>
      <c r="L1009" s="14">
        <f t="shared" si="77"/>
        <v>46067.624664351853</v>
      </c>
      <c r="N1009" s="12"/>
    </row>
    <row r="1010" spans="1:14" x14ac:dyDescent="0.25">
      <c r="A1010" s="4" t="s">
        <v>1039</v>
      </c>
      <c r="B1010" s="16" t="str">
        <f t="shared" si="73"/>
        <v>MAA DURGA STONE CRUSHING COMPANY</v>
      </c>
      <c r="C1010" s="16" t="str">
        <f t="shared" si="74"/>
        <v>CHADWAS(Chadwas/Bidasar/Sujangarh)</v>
      </c>
      <c r="D1010" s="4" t="s">
        <v>3032</v>
      </c>
      <c r="E1010" s="4" t="s">
        <v>3119</v>
      </c>
      <c r="F1010" s="5">
        <v>46066.999664351853</v>
      </c>
      <c r="G1010" s="16" t="str">
        <f t="shared" si="75"/>
        <v>MasonaryStone (Gitti)</v>
      </c>
      <c r="H1010" s="4" t="s">
        <v>2734</v>
      </c>
      <c r="I1010" s="18" t="str" cm="1">
        <f t="array" ref="I1010">_xlfn.LET(_xlpm.text, D1010,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0" s="18" t="str" cm="1">
        <f t="array" ref="J1010">_xlfn.LET(_xlpm.text, E1010,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0" s="14">
        <f t="shared" si="76"/>
        <v>46067</v>
      </c>
      <c r="L1010" s="14">
        <f t="shared" si="77"/>
        <v>46067.624664351853</v>
      </c>
      <c r="N1010" s="12"/>
    </row>
    <row r="1011" spans="1:14" x14ac:dyDescent="0.25">
      <c r="A1011" s="4" t="s">
        <v>1040</v>
      </c>
      <c r="B1011" s="16" t="str">
        <f t="shared" si="73"/>
        <v>MAA DURGA STONE CRUSHING COMPANY</v>
      </c>
      <c r="C1011" s="16" t="str">
        <f t="shared" si="74"/>
        <v>CHADWAS(Chadwas/Bidasar/Sujangarh)</v>
      </c>
      <c r="D1011" s="4" t="s">
        <v>3032</v>
      </c>
      <c r="E1011" s="4" t="s">
        <v>3119</v>
      </c>
      <c r="F1011" s="5">
        <v>46067.999664351853</v>
      </c>
      <c r="G1011" s="16" t="str">
        <f t="shared" si="75"/>
        <v>MasonaryStone (Gitti)</v>
      </c>
      <c r="H1011" s="4" t="s">
        <v>2486</v>
      </c>
      <c r="I1011" s="18" t="str" cm="1">
        <f t="array" ref="I1011">_xlfn.LET(_xlpm.text, D1011,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1" s="18" t="str" cm="1">
        <f t="array" ref="J1011">_xlfn.LET(_xlpm.text, E1011,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1" s="14">
        <f t="shared" si="76"/>
        <v>46068</v>
      </c>
      <c r="L1011" s="14">
        <f t="shared" si="77"/>
        <v>46068.624664351853</v>
      </c>
      <c r="N1011" s="12"/>
    </row>
    <row r="1012" spans="1:14" x14ac:dyDescent="0.25">
      <c r="A1012" s="4" t="s">
        <v>1041</v>
      </c>
      <c r="B1012" s="16" t="str">
        <f t="shared" si="73"/>
        <v>MAA DURGA STONE CRUSHING COMPANY</v>
      </c>
      <c r="C1012" s="16" t="str">
        <f t="shared" si="74"/>
        <v>CHADWAS(Chadwas/Bidasar/Sujangarh)</v>
      </c>
      <c r="D1012" s="4" t="s">
        <v>3032</v>
      </c>
      <c r="E1012" s="4" t="s">
        <v>3119</v>
      </c>
      <c r="F1012" s="5">
        <v>46067.999664351853</v>
      </c>
      <c r="G1012" s="16" t="str">
        <f t="shared" si="75"/>
        <v>MasonaryStone (Gitti)</v>
      </c>
      <c r="H1012" s="4" t="s">
        <v>2735</v>
      </c>
      <c r="I1012" s="18" t="str" cm="1">
        <f t="array" ref="I1012">_xlfn.LET(_xlpm.text, D1012,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2" s="18" t="str" cm="1">
        <f t="array" ref="J1012">_xlfn.LET(_xlpm.text, E1012,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2" s="14">
        <f t="shared" si="76"/>
        <v>46068</v>
      </c>
      <c r="L1012" s="14">
        <f t="shared" si="77"/>
        <v>46068.624664351853</v>
      </c>
      <c r="N1012" s="12"/>
    </row>
    <row r="1013" spans="1:14" x14ac:dyDescent="0.25">
      <c r="A1013" s="4" t="s">
        <v>1042</v>
      </c>
      <c r="B1013" s="16" t="str">
        <f t="shared" si="73"/>
        <v>MAA DURGA STONE CRUSHING COMPANY</v>
      </c>
      <c r="C1013" s="16" t="str">
        <f t="shared" si="74"/>
        <v>CHADWAS(Chadwas/Bidasar/Sujangarh)</v>
      </c>
      <c r="D1013" s="4" t="s">
        <v>3032</v>
      </c>
      <c r="E1013" s="4" t="s">
        <v>3119</v>
      </c>
      <c r="F1013" s="5">
        <v>46067.999664351853</v>
      </c>
      <c r="G1013" s="16" t="str">
        <f t="shared" si="75"/>
        <v>MasonaryStone (Gitti)</v>
      </c>
      <c r="H1013" s="4" t="s">
        <v>2736</v>
      </c>
      <c r="I1013" s="18" t="str" cm="1">
        <f t="array" ref="I1013">_xlfn.LET(_xlpm.text, D1013,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3" s="18" t="str" cm="1">
        <f t="array" ref="J1013">_xlfn.LET(_xlpm.text, E1013,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3" s="14">
        <f t="shared" si="76"/>
        <v>46068</v>
      </c>
      <c r="L1013" s="14">
        <f t="shared" si="77"/>
        <v>46068.624664351853</v>
      </c>
      <c r="N1013" s="12"/>
    </row>
    <row r="1014" spans="1:14" x14ac:dyDescent="0.25">
      <c r="A1014" s="4" t="s">
        <v>1043</v>
      </c>
      <c r="B1014" s="16" t="str">
        <f t="shared" si="73"/>
        <v>MAA DURGA STONE CRUSHING COMPANY</v>
      </c>
      <c r="C1014" s="16" t="str">
        <f t="shared" si="74"/>
        <v>CHADWAS(Chadwas/Bidasar/Sujangarh)</v>
      </c>
      <c r="D1014" s="4" t="s">
        <v>3032</v>
      </c>
      <c r="E1014" s="4" t="s">
        <v>3119</v>
      </c>
      <c r="F1014" s="5">
        <v>46067.999664351853</v>
      </c>
      <c r="G1014" s="16" t="str">
        <f t="shared" si="75"/>
        <v>MasonaryStone (Gitti)</v>
      </c>
      <c r="H1014" s="4" t="s">
        <v>2737</v>
      </c>
      <c r="I1014" s="18" t="str" cm="1">
        <f t="array" ref="I1014">_xlfn.LET(_xlpm.text, D1014,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4" s="18" t="str" cm="1">
        <f t="array" ref="J1014">_xlfn.LET(_xlpm.text, E1014,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4" s="14">
        <f t="shared" si="76"/>
        <v>46068</v>
      </c>
      <c r="L1014" s="14">
        <f t="shared" si="77"/>
        <v>46068.624664351853</v>
      </c>
      <c r="N1014" s="12"/>
    </row>
    <row r="1015" spans="1:14" x14ac:dyDescent="0.25">
      <c r="A1015" s="4" t="s">
        <v>1044</v>
      </c>
      <c r="B1015" s="16" t="str">
        <f t="shared" si="73"/>
        <v>MAA DURGA STONE CRUSHING COMPANY</v>
      </c>
      <c r="C1015" s="16" t="str">
        <f t="shared" si="74"/>
        <v>CHADWAS(Chadwas/Bidasar/Sujangarh)</v>
      </c>
      <c r="D1015" s="4" t="s">
        <v>3032</v>
      </c>
      <c r="E1015" s="4" t="s">
        <v>3119</v>
      </c>
      <c r="F1015" s="5">
        <v>46067.999664351853</v>
      </c>
      <c r="G1015" s="16" t="str">
        <f t="shared" si="75"/>
        <v>MasonaryStone (Gitti)</v>
      </c>
      <c r="H1015" s="4" t="s">
        <v>418</v>
      </c>
      <c r="I1015" s="18" t="str" cm="1">
        <f t="array" ref="I1015">_xlfn.LET(_xlpm.text, D1015,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5" s="18" t="str" cm="1">
        <f t="array" ref="J1015">_xlfn.LET(_xlpm.text, E1015,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5" s="14">
        <f t="shared" si="76"/>
        <v>46068</v>
      </c>
      <c r="L1015" s="14">
        <f t="shared" si="77"/>
        <v>46068.624664351853</v>
      </c>
      <c r="N1015" s="12"/>
    </row>
    <row r="1016" spans="1:14" x14ac:dyDescent="0.25">
      <c r="A1016" s="4" t="s">
        <v>1045</v>
      </c>
      <c r="B1016" s="16" t="str">
        <f t="shared" si="73"/>
        <v>MAA DURGA STONE CRUSHING COMPANY</v>
      </c>
      <c r="C1016" s="16" t="str">
        <f t="shared" si="74"/>
        <v>CHADWAS(Chadwas/Bidasar/Sujangarh)</v>
      </c>
      <c r="D1016" s="4" t="s">
        <v>3032</v>
      </c>
      <c r="E1016" s="4" t="s">
        <v>3119</v>
      </c>
      <c r="F1016" s="5">
        <v>46067.999664351853</v>
      </c>
      <c r="G1016" s="16" t="str">
        <f t="shared" si="75"/>
        <v>MasonaryStone (Gitti)</v>
      </c>
      <c r="H1016" s="4" t="s">
        <v>2738</v>
      </c>
      <c r="I1016" s="18" t="str" cm="1">
        <f t="array" ref="I1016">_xlfn.LET(_xlpm.text, D1016,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6" s="18" t="str" cm="1">
        <f t="array" ref="J1016">_xlfn.LET(_xlpm.text, E1016,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6" s="14">
        <f t="shared" si="76"/>
        <v>46068</v>
      </c>
      <c r="L1016" s="14">
        <f t="shared" si="77"/>
        <v>46068.624664351853</v>
      </c>
      <c r="N1016" s="12"/>
    </row>
    <row r="1017" spans="1:14" x14ac:dyDescent="0.25">
      <c r="A1017" s="4" t="s">
        <v>1046</v>
      </c>
      <c r="B1017" s="16" t="str">
        <f t="shared" si="73"/>
        <v>MAA DURGA STONE CRUSHING COMPANY</v>
      </c>
      <c r="C1017" s="16" t="str">
        <f t="shared" si="74"/>
        <v>CHADWAS(Chadwas/Bidasar/Sujangarh)</v>
      </c>
      <c r="D1017" s="4" t="s">
        <v>3032</v>
      </c>
      <c r="E1017" s="4" t="s">
        <v>3119</v>
      </c>
      <c r="F1017" s="5">
        <v>46067.999664351853</v>
      </c>
      <c r="G1017" s="16" t="str">
        <f t="shared" si="75"/>
        <v>MasonaryStone (Gitti)</v>
      </c>
      <c r="H1017" s="4" t="s">
        <v>2739</v>
      </c>
      <c r="I1017" s="18" t="str" cm="1">
        <f t="array" ref="I1017">_xlfn.LET(_xlpm.text, D1017,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7" s="18" t="str" cm="1">
        <f t="array" ref="J1017">_xlfn.LET(_xlpm.text, E1017,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7" s="14">
        <f t="shared" si="76"/>
        <v>46068</v>
      </c>
      <c r="L1017" s="14">
        <f t="shared" si="77"/>
        <v>46068.624664351853</v>
      </c>
      <c r="N1017" s="12"/>
    </row>
    <row r="1018" spans="1:14" x14ac:dyDescent="0.25">
      <c r="A1018" s="4" t="s">
        <v>1047</v>
      </c>
      <c r="B1018" s="16" t="str">
        <f t="shared" si="73"/>
        <v>MAA DURGA STONE CRUSHING COMPANY</v>
      </c>
      <c r="C1018" s="16" t="str">
        <f t="shared" si="74"/>
        <v>CHADWAS(Chadwas/Bidasar/Sujangarh)</v>
      </c>
      <c r="D1018" s="4" t="s">
        <v>3032</v>
      </c>
      <c r="E1018" s="4" t="s">
        <v>3119</v>
      </c>
      <c r="F1018" s="5">
        <v>46067.999664351853</v>
      </c>
      <c r="G1018" s="16" t="str">
        <f t="shared" si="75"/>
        <v>MasonaryStone (Gitti)</v>
      </c>
      <c r="H1018" s="4" t="s">
        <v>2740</v>
      </c>
      <c r="I1018" s="18" t="str" cm="1">
        <f t="array" ref="I1018">_xlfn.LET(_xlpm.text, D1018,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8" s="18" t="str" cm="1">
        <f t="array" ref="J1018">_xlfn.LET(_xlpm.text, E1018,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8" s="14">
        <f t="shared" si="76"/>
        <v>46068</v>
      </c>
      <c r="L1018" s="14">
        <f t="shared" si="77"/>
        <v>46068.624664351853</v>
      </c>
      <c r="N1018" s="12"/>
    </row>
    <row r="1019" spans="1:14" x14ac:dyDescent="0.25">
      <c r="A1019" s="4" t="s">
        <v>1048</v>
      </c>
      <c r="B1019" s="16" t="str">
        <f t="shared" si="73"/>
        <v>MAA DURGA STONE CRUSHING COMPANY</v>
      </c>
      <c r="C1019" s="16" t="str">
        <f t="shared" si="74"/>
        <v>CHADWAS(Chadwas/Bidasar/Sujangarh)</v>
      </c>
      <c r="D1019" s="4" t="s">
        <v>3032</v>
      </c>
      <c r="E1019" s="4" t="s">
        <v>3119</v>
      </c>
      <c r="F1019" s="5">
        <v>46067.999664351853</v>
      </c>
      <c r="G1019" s="16" t="str">
        <f t="shared" si="75"/>
        <v>MasonaryStone (Gitti)</v>
      </c>
      <c r="H1019" s="4" t="s">
        <v>2741</v>
      </c>
      <c r="I1019" s="18" t="str" cm="1">
        <f t="array" ref="I1019">_xlfn.LET(_xlpm.text, D1019,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19" s="18" t="str" cm="1">
        <f t="array" ref="J1019">_xlfn.LET(_xlpm.text, E1019,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19" s="14">
        <f t="shared" si="76"/>
        <v>46068</v>
      </c>
      <c r="L1019" s="14">
        <f t="shared" si="77"/>
        <v>46068.624664351853</v>
      </c>
      <c r="N1019" s="12"/>
    </row>
    <row r="1020" spans="1:14" x14ac:dyDescent="0.25">
      <c r="A1020" s="4" t="s">
        <v>1049</v>
      </c>
      <c r="B1020" s="16" t="str">
        <f t="shared" si="73"/>
        <v>MAA DURGA STONE CRUSHING COMPANY</v>
      </c>
      <c r="C1020" s="16" t="str">
        <f t="shared" si="74"/>
        <v>CHADWAS(Chadwas/Bidasar/Sujangarh)</v>
      </c>
      <c r="D1020" s="4" t="s">
        <v>3032</v>
      </c>
      <c r="E1020" s="4" t="s">
        <v>3119</v>
      </c>
      <c r="F1020" s="5">
        <v>46067.999664351853</v>
      </c>
      <c r="G1020" s="16" t="str">
        <f t="shared" si="75"/>
        <v>MasonaryStone (Gitti)</v>
      </c>
      <c r="H1020" s="4" t="s">
        <v>2742</v>
      </c>
      <c r="I1020" s="18" t="str" cm="1">
        <f t="array" ref="I1020">_xlfn.LET(_xlpm.text, D1020,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0" s="18" t="str" cm="1">
        <f t="array" ref="J1020">_xlfn.LET(_xlpm.text, E1020,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0" s="14">
        <f t="shared" si="76"/>
        <v>46068</v>
      </c>
      <c r="L1020" s="14">
        <f t="shared" si="77"/>
        <v>46068.624664351853</v>
      </c>
      <c r="N1020" s="12"/>
    </row>
    <row r="1021" spans="1:14" x14ac:dyDescent="0.25">
      <c r="A1021" s="4" t="s">
        <v>1050</v>
      </c>
      <c r="B1021" s="16" t="str">
        <f t="shared" si="73"/>
        <v>MAA DURGA STONE CRUSHING COMPANY</v>
      </c>
      <c r="C1021" s="16" t="str">
        <f t="shared" si="74"/>
        <v>CHADWAS(Chadwas/Bidasar/Sujangarh)</v>
      </c>
      <c r="D1021" s="4" t="s">
        <v>3032</v>
      </c>
      <c r="E1021" s="4" t="s">
        <v>3119</v>
      </c>
      <c r="F1021" s="5">
        <v>46067.999664351853</v>
      </c>
      <c r="G1021" s="16" t="str">
        <f t="shared" si="75"/>
        <v>MasonaryStone (Gitti)</v>
      </c>
      <c r="H1021" s="4" t="s">
        <v>2743</v>
      </c>
      <c r="I1021" s="18" t="str" cm="1">
        <f t="array" ref="I1021">_xlfn.LET(_xlpm.text, D1021,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1" s="18" t="str" cm="1">
        <f t="array" ref="J1021">_xlfn.LET(_xlpm.text, E1021,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1" s="14">
        <f t="shared" si="76"/>
        <v>46068</v>
      </c>
      <c r="L1021" s="14">
        <f t="shared" si="77"/>
        <v>46068.624664351853</v>
      </c>
      <c r="N1021" s="12"/>
    </row>
    <row r="1022" spans="1:14" x14ac:dyDescent="0.25">
      <c r="A1022" s="4" t="s">
        <v>1051</v>
      </c>
      <c r="B1022" s="16" t="str">
        <f t="shared" si="73"/>
        <v>MAA DURGA STONE CRUSHING COMPANY</v>
      </c>
      <c r="C1022" s="16" t="str">
        <f t="shared" si="74"/>
        <v>CHADWAS(Chadwas/Bidasar/Sujangarh)</v>
      </c>
      <c r="D1022" s="4" t="s">
        <v>3032</v>
      </c>
      <c r="E1022" s="4" t="s">
        <v>3119</v>
      </c>
      <c r="F1022" s="5">
        <v>46067.999664351853</v>
      </c>
      <c r="G1022" s="16" t="str">
        <f t="shared" si="75"/>
        <v>MasonaryStone (Gitti)</v>
      </c>
      <c r="H1022" s="4" t="s">
        <v>2419</v>
      </c>
      <c r="I1022" s="18" t="str" cm="1">
        <f t="array" ref="I1022">_xlfn.LET(_xlpm.text, D1022,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2" s="18" t="str" cm="1">
        <f t="array" ref="J1022">_xlfn.LET(_xlpm.text, E1022,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2" s="14">
        <f t="shared" si="76"/>
        <v>46068</v>
      </c>
      <c r="L1022" s="14">
        <f t="shared" si="77"/>
        <v>46068.624664351853</v>
      </c>
      <c r="N1022" s="12"/>
    </row>
    <row r="1023" spans="1:14" x14ac:dyDescent="0.25">
      <c r="A1023" s="4" t="s">
        <v>1052</v>
      </c>
      <c r="B1023" s="16" t="str">
        <f t="shared" si="73"/>
        <v>MAA DURGA STONE CRUSHING COMPANY</v>
      </c>
      <c r="C1023" s="16" t="str">
        <f t="shared" si="74"/>
        <v>CHADWAS(Chadwas/Bidasar/Sujangarh)</v>
      </c>
      <c r="D1023" s="4" t="s">
        <v>3032</v>
      </c>
      <c r="E1023" s="4" t="s">
        <v>3119</v>
      </c>
      <c r="F1023" s="5">
        <v>46067.999664351853</v>
      </c>
      <c r="G1023" s="16" t="str">
        <f t="shared" si="75"/>
        <v>MasonaryStone (Gitti)</v>
      </c>
      <c r="H1023" s="4" t="s">
        <v>2470</v>
      </c>
      <c r="I1023" s="18" t="str" cm="1">
        <f t="array" ref="I1023">_xlfn.LET(_xlpm.text, D1023,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3" s="18" t="str" cm="1">
        <f t="array" ref="J1023">_xlfn.LET(_xlpm.text, E1023,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3" s="14">
        <f t="shared" si="76"/>
        <v>46068</v>
      </c>
      <c r="L1023" s="14">
        <f t="shared" si="77"/>
        <v>46068.624664351853</v>
      </c>
      <c r="N1023" s="12"/>
    </row>
    <row r="1024" spans="1:14" x14ac:dyDescent="0.25">
      <c r="A1024" s="4" t="s">
        <v>1053</v>
      </c>
      <c r="B1024" s="16" t="str">
        <f t="shared" si="73"/>
        <v>MAA DURGA STONE CRUSHING COMPANY</v>
      </c>
      <c r="C1024" s="16" t="str">
        <f t="shared" si="74"/>
        <v>CHADWAS(Chadwas/Bidasar/Sujangarh)</v>
      </c>
      <c r="D1024" s="4" t="s">
        <v>3032</v>
      </c>
      <c r="E1024" s="4" t="s">
        <v>3119</v>
      </c>
      <c r="F1024" s="5">
        <v>46067.999664351853</v>
      </c>
      <c r="G1024" s="16" t="str">
        <f t="shared" si="75"/>
        <v>MasonaryStone (Gitti)</v>
      </c>
      <c r="H1024" s="4" t="s">
        <v>2744</v>
      </c>
      <c r="I1024" s="18" t="str" cm="1">
        <f t="array" ref="I1024">_xlfn.LET(_xlpm.text, D1024,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4" s="18" t="str" cm="1">
        <f t="array" ref="J1024">_xlfn.LET(_xlpm.text, E1024,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4" s="14">
        <f t="shared" si="76"/>
        <v>46068</v>
      </c>
      <c r="L1024" s="14">
        <f t="shared" si="77"/>
        <v>46068.624664351853</v>
      </c>
      <c r="N1024" s="12"/>
    </row>
    <row r="1025" spans="1:14" x14ac:dyDescent="0.25">
      <c r="A1025" s="4" t="s">
        <v>1054</v>
      </c>
      <c r="B1025" s="16" t="str">
        <f t="shared" si="73"/>
        <v>MAA DURGA STONE CRUSHING COMPANY</v>
      </c>
      <c r="C1025" s="16" t="str">
        <f t="shared" si="74"/>
        <v>CHADWAS(Chadwas/Bidasar/Sujangarh)</v>
      </c>
      <c r="D1025" s="4" t="s">
        <v>3032</v>
      </c>
      <c r="E1025" s="4" t="s">
        <v>3119</v>
      </c>
      <c r="F1025" s="5">
        <v>46067.999664351853</v>
      </c>
      <c r="G1025" s="16" t="str">
        <f t="shared" si="75"/>
        <v>MasonaryStone (Gitti)</v>
      </c>
      <c r="H1025" s="4" t="s">
        <v>2745</v>
      </c>
      <c r="I1025" s="18" t="str" cm="1">
        <f t="array" ref="I1025">_xlfn.LET(_xlpm.text, D1025,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5" s="18" t="str" cm="1">
        <f t="array" ref="J1025">_xlfn.LET(_xlpm.text, E1025,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5" s="14">
        <f t="shared" si="76"/>
        <v>46068</v>
      </c>
      <c r="L1025" s="14">
        <f t="shared" si="77"/>
        <v>46068.624664351853</v>
      </c>
      <c r="N1025" s="12"/>
    </row>
    <row r="1026" spans="1:14" x14ac:dyDescent="0.25">
      <c r="A1026" s="4" t="s">
        <v>1055</v>
      </c>
      <c r="B1026" s="16" t="str">
        <f t="shared" ref="B1026:B1089" si="78">VLOOKUP(LEFT($A1026,4)&amp;"*",$O$3:$R$17, 2, FALSE)</f>
        <v>MAA DURGA STONE CRUSHING COMPANY</v>
      </c>
      <c r="C1026" s="16" t="str">
        <f t="shared" ref="C1026:C1089" si="79">VLOOKUP(LEFT($A1026,4)&amp;"*",$O$3:$R$17, 3, FALSE)</f>
        <v>CHADWAS(Chadwas/Bidasar/Sujangarh)</v>
      </c>
      <c r="D1026" s="4" t="s">
        <v>3032</v>
      </c>
      <c r="E1026" s="4" t="s">
        <v>3119</v>
      </c>
      <c r="F1026" s="5">
        <v>46067.999664351853</v>
      </c>
      <c r="G1026" s="16" t="str">
        <f t="shared" ref="G1026:G1089" si="80">VLOOKUP(LEFT($A1026,4)&amp;"*",$O$3:$R$17, 4, FALSE)</f>
        <v>MasonaryStone (Gitti)</v>
      </c>
      <c r="H1026" s="4" t="s">
        <v>2746</v>
      </c>
      <c r="I1026" s="18" t="str" cm="1">
        <f t="array" ref="I1026">_xlfn.LET(_xlpm.text, D1026,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6" s="18" t="str" cm="1">
        <f t="array" ref="J1026">_xlfn.LET(_xlpm.text, E1026,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6" s="14">
        <f t="shared" si="76"/>
        <v>46068</v>
      </c>
      <c r="L1026" s="14">
        <f t="shared" si="77"/>
        <v>46068.624664351853</v>
      </c>
      <c r="N1026" s="12"/>
    </row>
    <row r="1027" spans="1:14" x14ac:dyDescent="0.25">
      <c r="A1027" s="4" t="s">
        <v>1056</v>
      </c>
      <c r="B1027" s="16" t="str">
        <f t="shared" si="78"/>
        <v>MAA DURGA STONE CRUSHING COMPANY</v>
      </c>
      <c r="C1027" s="16" t="str">
        <f t="shared" si="79"/>
        <v>CHADWAS(Chadwas/Bidasar/Sujangarh)</v>
      </c>
      <c r="D1027" s="4" t="s">
        <v>3032</v>
      </c>
      <c r="E1027" s="4" t="s">
        <v>3119</v>
      </c>
      <c r="F1027" s="5">
        <v>46067.999664351853</v>
      </c>
      <c r="G1027" s="16" t="str">
        <f t="shared" si="80"/>
        <v>MasonaryStone (Gitti)</v>
      </c>
      <c r="H1027" s="4" t="s">
        <v>2664</v>
      </c>
      <c r="I1027" s="18" t="str" cm="1">
        <f t="array" ref="I1027">_xlfn.LET(_xlpm.text, D1027,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7" s="18" t="str" cm="1">
        <f t="array" ref="J1027">_xlfn.LET(_xlpm.text, E1027,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7" s="14">
        <f t="shared" ref="K1027:K1090" si="81">F1027+(29/86400)</f>
        <v>46068</v>
      </c>
      <c r="L1027" s="14">
        <f t="shared" ref="L1027:L1090" si="82">F1027+(15/24)</f>
        <v>46068.624664351853</v>
      </c>
      <c r="N1027" s="12"/>
    </row>
    <row r="1028" spans="1:14" x14ac:dyDescent="0.25">
      <c r="A1028" s="4" t="s">
        <v>1057</v>
      </c>
      <c r="B1028" s="16" t="str">
        <f t="shared" si="78"/>
        <v>MAA DURGA STONE CRUSHING COMPANY</v>
      </c>
      <c r="C1028" s="16" t="str">
        <f t="shared" si="79"/>
        <v>CHADWAS(Chadwas/Bidasar/Sujangarh)</v>
      </c>
      <c r="D1028" s="4" t="s">
        <v>3032</v>
      </c>
      <c r="E1028" s="4" t="s">
        <v>3119</v>
      </c>
      <c r="F1028" s="5">
        <v>46067.999664351853</v>
      </c>
      <c r="G1028" s="16" t="str">
        <f t="shared" si="80"/>
        <v>MasonaryStone (Gitti)</v>
      </c>
      <c r="H1028" s="4" t="s">
        <v>2747</v>
      </c>
      <c r="I1028" s="18" t="str" cm="1">
        <f t="array" ref="I1028">_xlfn.LET(_xlpm.text, D1028,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8" s="18" t="str" cm="1">
        <f t="array" ref="J1028">_xlfn.LET(_xlpm.text, E1028,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8" s="14">
        <f t="shared" si="81"/>
        <v>46068</v>
      </c>
      <c r="L1028" s="14">
        <f t="shared" si="82"/>
        <v>46068.624664351853</v>
      </c>
      <c r="N1028" s="12"/>
    </row>
    <row r="1029" spans="1:14" x14ac:dyDescent="0.25">
      <c r="A1029" s="4" t="s">
        <v>1058</v>
      </c>
      <c r="B1029" s="16" t="str">
        <f t="shared" si="78"/>
        <v>MAA DURGA STONE CRUSHING COMPANY</v>
      </c>
      <c r="C1029" s="16" t="str">
        <f t="shared" si="79"/>
        <v>CHADWAS(Chadwas/Bidasar/Sujangarh)</v>
      </c>
      <c r="D1029" s="4" t="s">
        <v>3032</v>
      </c>
      <c r="E1029" s="4" t="s">
        <v>3119</v>
      </c>
      <c r="F1029" s="5">
        <v>46067.999664351853</v>
      </c>
      <c r="G1029" s="16" t="str">
        <f t="shared" si="80"/>
        <v>MasonaryStone (Gitti)</v>
      </c>
      <c r="H1029" s="4" t="s">
        <v>2748</v>
      </c>
      <c r="I1029" s="18" t="str" cm="1">
        <f t="array" ref="I1029">_xlfn.LET(_xlpm.text, D1029,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29" s="18" t="str" cm="1">
        <f t="array" ref="J1029">_xlfn.LET(_xlpm.text, E1029,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29" s="14">
        <f t="shared" si="81"/>
        <v>46068</v>
      </c>
      <c r="L1029" s="14">
        <f t="shared" si="82"/>
        <v>46068.624664351853</v>
      </c>
      <c r="N1029" s="12"/>
    </row>
    <row r="1030" spans="1:14" x14ac:dyDescent="0.25">
      <c r="A1030" s="4" t="s">
        <v>1059</v>
      </c>
      <c r="B1030" s="16" t="str">
        <f t="shared" si="78"/>
        <v>MAA DURGA STONE CRUSHING COMPANY</v>
      </c>
      <c r="C1030" s="16" t="str">
        <f t="shared" si="79"/>
        <v>CHADWAS(Chadwas/Bidasar/Sujangarh)</v>
      </c>
      <c r="D1030" s="4" t="s">
        <v>3032</v>
      </c>
      <c r="E1030" s="4" t="s">
        <v>3119</v>
      </c>
      <c r="F1030" s="5">
        <v>46067.999664351853</v>
      </c>
      <c r="G1030" s="16" t="str">
        <f t="shared" si="80"/>
        <v>MasonaryStone (Gitti)</v>
      </c>
      <c r="H1030" s="4" t="s">
        <v>2744</v>
      </c>
      <c r="I1030" s="18" t="str" cm="1">
        <f t="array" ref="I1030">_xlfn.LET(_xlpm.text, D1030,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0" s="18" t="str" cm="1">
        <f t="array" ref="J1030">_xlfn.LET(_xlpm.text, E1030,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0" s="14">
        <f t="shared" si="81"/>
        <v>46068</v>
      </c>
      <c r="L1030" s="14">
        <f t="shared" si="82"/>
        <v>46068.624664351853</v>
      </c>
      <c r="N1030" s="12"/>
    </row>
    <row r="1031" spans="1:14" x14ac:dyDescent="0.25">
      <c r="A1031" s="4" t="s">
        <v>1060</v>
      </c>
      <c r="B1031" s="16" t="str">
        <f t="shared" si="78"/>
        <v>MAA DURGA STONE CRUSHING COMPANY</v>
      </c>
      <c r="C1031" s="16" t="str">
        <f t="shared" si="79"/>
        <v>CHADWAS(Chadwas/Bidasar/Sujangarh)</v>
      </c>
      <c r="D1031" s="4" t="s">
        <v>3032</v>
      </c>
      <c r="E1031" s="4" t="s">
        <v>3119</v>
      </c>
      <c r="F1031" s="5">
        <v>46067.999664351853</v>
      </c>
      <c r="G1031" s="16" t="str">
        <f t="shared" si="80"/>
        <v>MasonaryStone (Gitti)</v>
      </c>
      <c r="H1031" s="4" t="s">
        <v>2744</v>
      </c>
      <c r="I1031" s="18" t="str" cm="1">
        <f t="array" ref="I1031">_xlfn.LET(_xlpm.text, D1031,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1" s="18" t="str" cm="1">
        <f t="array" ref="J1031">_xlfn.LET(_xlpm.text, E1031,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1" s="14">
        <f t="shared" si="81"/>
        <v>46068</v>
      </c>
      <c r="L1031" s="14">
        <f t="shared" si="82"/>
        <v>46068.624664351853</v>
      </c>
      <c r="N1031" s="12"/>
    </row>
    <row r="1032" spans="1:14" x14ac:dyDescent="0.25">
      <c r="A1032" s="4" t="s">
        <v>1061</v>
      </c>
      <c r="B1032" s="16" t="str">
        <f t="shared" si="78"/>
        <v>MAA DURGA STONE CRUSHING COMPANY</v>
      </c>
      <c r="C1032" s="16" t="str">
        <f t="shared" si="79"/>
        <v>CHADWAS(Chadwas/Bidasar/Sujangarh)</v>
      </c>
      <c r="D1032" s="4" t="s">
        <v>3032</v>
      </c>
      <c r="E1032" s="4" t="s">
        <v>3119</v>
      </c>
      <c r="F1032" s="5">
        <v>46067.999664351853</v>
      </c>
      <c r="G1032" s="16" t="str">
        <f t="shared" si="80"/>
        <v>MasonaryStone (Gitti)</v>
      </c>
      <c r="H1032" s="4" t="s">
        <v>2483</v>
      </c>
      <c r="I1032" s="18" t="str" cm="1">
        <f t="array" ref="I1032">_xlfn.LET(_xlpm.text, D1032,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2" s="18" t="str" cm="1">
        <f t="array" ref="J1032">_xlfn.LET(_xlpm.text, E1032,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2" s="14">
        <f t="shared" si="81"/>
        <v>46068</v>
      </c>
      <c r="L1032" s="14">
        <f t="shared" si="82"/>
        <v>46068.624664351853</v>
      </c>
      <c r="N1032" s="12"/>
    </row>
    <row r="1033" spans="1:14" x14ac:dyDescent="0.25">
      <c r="A1033" s="4" t="s">
        <v>1062</v>
      </c>
      <c r="B1033" s="16" t="str">
        <f t="shared" si="78"/>
        <v>MAA DURGA STONE CRUSHING COMPANY</v>
      </c>
      <c r="C1033" s="16" t="str">
        <f t="shared" si="79"/>
        <v>CHADWAS(Chadwas/Bidasar/Sujangarh)</v>
      </c>
      <c r="D1033" s="4" t="s">
        <v>3032</v>
      </c>
      <c r="E1033" s="4" t="s">
        <v>3119</v>
      </c>
      <c r="F1033" s="5">
        <v>46053.999664351853</v>
      </c>
      <c r="G1033" s="16" t="str">
        <f t="shared" si="80"/>
        <v>MasonaryStone (Gitti)</v>
      </c>
      <c r="H1033" s="4" t="s">
        <v>2749</v>
      </c>
      <c r="I1033" s="18" t="str" cm="1">
        <f t="array" ref="I1033">_xlfn.LET(_xlpm.text, D1033,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3" s="18" t="str" cm="1">
        <f t="array" ref="J1033">_xlfn.LET(_xlpm.text, E1033,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3" s="14">
        <f t="shared" si="81"/>
        <v>46054</v>
      </c>
      <c r="L1033" s="14">
        <f t="shared" si="82"/>
        <v>46054.624664351853</v>
      </c>
      <c r="N1033" s="12"/>
    </row>
    <row r="1034" spans="1:14" x14ac:dyDescent="0.25">
      <c r="A1034" s="4" t="s">
        <v>1063</v>
      </c>
      <c r="B1034" s="16" t="str">
        <f t="shared" si="78"/>
        <v>MAA DURGA STONE CRUSHING COMPANY</v>
      </c>
      <c r="C1034" s="16" t="str">
        <f t="shared" si="79"/>
        <v>CHADWAS(Chadwas/Bidasar/Sujangarh)</v>
      </c>
      <c r="D1034" s="4" t="s">
        <v>3032</v>
      </c>
      <c r="E1034" s="4" t="s">
        <v>3119</v>
      </c>
      <c r="F1034" s="5">
        <v>46053.999664351853</v>
      </c>
      <c r="G1034" s="16" t="str">
        <f t="shared" si="80"/>
        <v>MasonaryStone (Gitti)</v>
      </c>
      <c r="H1034" s="4" t="s">
        <v>2391</v>
      </c>
      <c r="I1034" s="18" t="str" cm="1">
        <f t="array" ref="I1034">_xlfn.LET(_xlpm.text, D1034,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4" s="18" t="str" cm="1">
        <f t="array" ref="J1034">_xlfn.LET(_xlpm.text, E1034,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4" s="14">
        <f t="shared" si="81"/>
        <v>46054</v>
      </c>
      <c r="L1034" s="14">
        <f t="shared" si="82"/>
        <v>46054.624664351853</v>
      </c>
      <c r="N1034" s="12"/>
    </row>
    <row r="1035" spans="1:14" x14ac:dyDescent="0.25">
      <c r="A1035" s="4" t="s">
        <v>1064</v>
      </c>
      <c r="B1035" s="16" t="str">
        <f t="shared" si="78"/>
        <v>Jagdamba Stone Crusher</v>
      </c>
      <c r="C1035" s="16" t="str">
        <f t="shared" si="79"/>
        <v>Jagdamba Stone Crusher(Kodasar Bidavtaan/Sujangarh/Churu)</v>
      </c>
      <c r="D1035" s="4" t="s">
        <v>3032</v>
      </c>
      <c r="E1035" s="4" t="s">
        <v>3119</v>
      </c>
      <c r="F1035" s="5">
        <v>46067.999664351853</v>
      </c>
      <c r="G1035" s="16" t="str">
        <f t="shared" si="80"/>
        <v>MasonaryStone (Gitti)</v>
      </c>
      <c r="H1035" s="4" t="s">
        <v>2750</v>
      </c>
      <c r="I1035" s="18" t="str" cm="1">
        <f t="array" ref="I1035">_xlfn.LET(_xlpm.text, D1035,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5" s="18" t="str" cm="1">
        <f t="array" ref="J1035">_xlfn.LET(_xlpm.text, E1035,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5" s="14">
        <f t="shared" si="81"/>
        <v>46068</v>
      </c>
      <c r="L1035" s="14">
        <f t="shared" si="82"/>
        <v>46068.624664351853</v>
      </c>
      <c r="N1035" s="12"/>
    </row>
    <row r="1036" spans="1:14" x14ac:dyDescent="0.25">
      <c r="A1036" s="4" t="s">
        <v>1065</v>
      </c>
      <c r="B1036" s="16" t="str">
        <f t="shared" si="78"/>
        <v>Jagdamba Stone Crusher</v>
      </c>
      <c r="C1036" s="16" t="str">
        <f t="shared" si="79"/>
        <v>Jagdamba Stone Crusher(Kodasar Bidavtaan/Sujangarh/Churu)</v>
      </c>
      <c r="D1036" s="4" t="s">
        <v>3032</v>
      </c>
      <c r="E1036" s="4" t="s">
        <v>3119</v>
      </c>
      <c r="F1036" s="5">
        <v>46067.999664351853</v>
      </c>
      <c r="G1036" s="16" t="str">
        <f t="shared" si="80"/>
        <v>MasonaryStone (Gitti)</v>
      </c>
      <c r="H1036" s="4" t="s">
        <v>2374</v>
      </c>
      <c r="I1036" s="18" t="str" cm="1">
        <f t="array" ref="I1036">_xlfn.LET(_xlpm.text, D1036,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6" s="18" t="str" cm="1">
        <f t="array" ref="J1036">_xlfn.LET(_xlpm.text, E1036,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6" s="14">
        <f t="shared" si="81"/>
        <v>46068</v>
      </c>
      <c r="L1036" s="14">
        <f t="shared" si="82"/>
        <v>46068.624664351853</v>
      </c>
      <c r="N1036" s="12"/>
    </row>
    <row r="1037" spans="1:14" x14ac:dyDescent="0.25">
      <c r="A1037" s="4" t="s">
        <v>1066</v>
      </c>
      <c r="B1037" s="16" t="str">
        <f t="shared" si="78"/>
        <v>Jagdamba Stone Crusher</v>
      </c>
      <c r="C1037" s="16" t="str">
        <f t="shared" si="79"/>
        <v>Jagdamba Stone Crusher(Kodasar Bidavtaan/Sujangarh/Churu)</v>
      </c>
      <c r="D1037" s="4" t="s">
        <v>3032</v>
      </c>
      <c r="E1037" s="4" t="s">
        <v>3119</v>
      </c>
      <c r="F1037" s="5">
        <v>46067.999664351853</v>
      </c>
      <c r="G1037" s="16" t="str">
        <f t="shared" si="80"/>
        <v>MasonaryStone (Gitti)</v>
      </c>
      <c r="H1037" s="4" t="s">
        <v>2751</v>
      </c>
      <c r="I1037" s="18" t="str" cm="1">
        <f t="array" ref="I1037">_xlfn.LET(_xlpm.text, D1037,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7" s="18" t="str" cm="1">
        <f t="array" ref="J1037">_xlfn.LET(_xlpm.text, E1037,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7" s="14">
        <f t="shared" si="81"/>
        <v>46068</v>
      </c>
      <c r="L1037" s="14">
        <f t="shared" si="82"/>
        <v>46068.624664351853</v>
      </c>
      <c r="N1037" s="12"/>
    </row>
    <row r="1038" spans="1:14" x14ac:dyDescent="0.25">
      <c r="A1038" s="4" t="s">
        <v>1067</v>
      </c>
      <c r="B1038" s="16" t="str">
        <f t="shared" si="78"/>
        <v>Jagdamba Stone Crusher</v>
      </c>
      <c r="C1038" s="16" t="str">
        <f t="shared" si="79"/>
        <v>Jagdamba Stone Crusher(Kodasar Bidavtaan/Sujangarh/Churu)</v>
      </c>
      <c r="D1038" s="4" t="s">
        <v>3032</v>
      </c>
      <c r="E1038" s="4" t="s">
        <v>3119</v>
      </c>
      <c r="F1038" s="5">
        <v>46067.999664351853</v>
      </c>
      <c r="G1038" s="16" t="str">
        <f t="shared" si="80"/>
        <v>MasonaryStone (Gitti)</v>
      </c>
      <c r="H1038" s="4" t="s">
        <v>2633</v>
      </c>
      <c r="I1038" s="18" t="str" cm="1">
        <f t="array" ref="I1038">_xlfn.LET(_xlpm.text, D1038,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8" s="18" t="str" cm="1">
        <f t="array" ref="J1038">_xlfn.LET(_xlpm.text, E1038,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8" s="14">
        <f t="shared" si="81"/>
        <v>46068</v>
      </c>
      <c r="L1038" s="14">
        <f t="shared" si="82"/>
        <v>46068.624664351853</v>
      </c>
      <c r="N1038" s="12"/>
    </row>
    <row r="1039" spans="1:14" x14ac:dyDescent="0.25">
      <c r="A1039" s="4" t="s">
        <v>1068</v>
      </c>
      <c r="B1039" s="16" t="str">
        <f t="shared" si="78"/>
        <v>Jagdamba Stone Crusher</v>
      </c>
      <c r="C1039" s="16" t="str">
        <f t="shared" si="79"/>
        <v>Jagdamba Stone Crusher(Kodasar Bidavtaan/Sujangarh/Churu)</v>
      </c>
      <c r="D1039" s="4" t="s">
        <v>3032</v>
      </c>
      <c r="E1039" s="4" t="s">
        <v>3119</v>
      </c>
      <c r="F1039" s="5">
        <v>46067.999664351853</v>
      </c>
      <c r="G1039" s="16" t="str">
        <f t="shared" si="80"/>
        <v>MasonaryStone (Gitti)</v>
      </c>
      <c r="H1039" s="4" t="s">
        <v>2752</v>
      </c>
      <c r="I1039" s="18" t="str" cm="1">
        <f t="array" ref="I1039">_xlfn.LET(_xlpm.text, D1039,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39" s="18" t="str" cm="1">
        <f t="array" ref="J1039">_xlfn.LET(_xlpm.text, E1039,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39" s="14">
        <f t="shared" si="81"/>
        <v>46068</v>
      </c>
      <c r="L1039" s="14">
        <f t="shared" si="82"/>
        <v>46068.624664351853</v>
      </c>
      <c r="N1039" s="12"/>
    </row>
    <row r="1040" spans="1:14" x14ac:dyDescent="0.25">
      <c r="A1040" s="4" t="s">
        <v>1069</v>
      </c>
      <c r="B1040" s="16" t="str">
        <f t="shared" si="78"/>
        <v>Jagdamba Stone Crusher</v>
      </c>
      <c r="C1040" s="16" t="str">
        <f t="shared" si="79"/>
        <v>Jagdamba Stone Crusher(Kodasar Bidavtaan/Sujangarh/Churu)</v>
      </c>
      <c r="D1040" s="4" t="s">
        <v>3032</v>
      </c>
      <c r="E1040" s="4" t="s">
        <v>3119</v>
      </c>
      <c r="F1040" s="5">
        <v>46067.999664351853</v>
      </c>
      <c r="G1040" s="16" t="str">
        <f t="shared" si="80"/>
        <v>MasonaryStone (Gitti)</v>
      </c>
      <c r="H1040" s="4" t="s">
        <v>2753</v>
      </c>
      <c r="I1040" s="18" t="str" cm="1">
        <f t="array" ref="I1040">_xlfn.LET(_xlpm.text, D1040,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0" s="18" t="str" cm="1">
        <f t="array" ref="J1040">_xlfn.LET(_xlpm.text, E1040,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0" s="14">
        <f t="shared" si="81"/>
        <v>46068</v>
      </c>
      <c r="L1040" s="14">
        <f t="shared" si="82"/>
        <v>46068.624664351853</v>
      </c>
      <c r="N1040" s="12"/>
    </row>
    <row r="1041" spans="1:14" x14ac:dyDescent="0.25">
      <c r="A1041" s="4" t="s">
        <v>1070</v>
      </c>
      <c r="B1041" s="16" t="str">
        <f t="shared" si="78"/>
        <v>Jagdamba Stone Crusher</v>
      </c>
      <c r="C1041" s="16" t="str">
        <f t="shared" si="79"/>
        <v>Jagdamba Stone Crusher(Kodasar Bidavtaan/Sujangarh/Churu)</v>
      </c>
      <c r="D1041" s="4" t="s">
        <v>3032</v>
      </c>
      <c r="E1041" s="4" t="s">
        <v>3119</v>
      </c>
      <c r="F1041" s="5">
        <v>46067.999664351853</v>
      </c>
      <c r="G1041" s="16" t="str">
        <f t="shared" si="80"/>
        <v>MasonaryStone (Gitti)</v>
      </c>
      <c r="H1041" s="4" t="s">
        <v>2754</v>
      </c>
      <c r="I1041" s="18" t="str" cm="1">
        <f t="array" ref="I1041">_xlfn.LET(_xlpm.text, D1041,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1" s="18" t="str" cm="1">
        <f t="array" ref="J1041">_xlfn.LET(_xlpm.text, E1041,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1" s="14">
        <f t="shared" si="81"/>
        <v>46068</v>
      </c>
      <c r="L1041" s="14">
        <f t="shared" si="82"/>
        <v>46068.624664351853</v>
      </c>
      <c r="N1041" s="12"/>
    </row>
    <row r="1042" spans="1:14" x14ac:dyDescent="0.25">
      <c r="A1042" s="4" t="s">
        <v>1071</v>
      </c>
      <c r="B1042" s="16" t="str">
        <f t="shared" si="78"/>
        <v>Jagdamba Stone Crusher</v>
      </c>
      <c r="C1042" s="16" t="str">
        <f t="shared" si="79"/>
        <v>Jagdamba Stone Crusher(Kodasar Bidavtaan/Sujangarh/Churu)</v>
      </c>
      <c r="D1042" s="4" t="s">
        <v>3032</v>
      </c>
      <c r="E1042" s="4" t="s">
        <v>3119</v>
      </c>
      <c r="F1042" s="5">
        <v>46067.999664351853</v>
      </c>
      <c r="G1042" s="16" t="str">
        <f t="shared" si="80"/>
        <v>MasonaryStone (Gitti)</v>
      </c>
      <c r="H1042" s="4" t="s">
        <v>2755</v>
      </c>
      <c r="I1042" s="18" t="str" cm="1">
        <f t="array" ref="I1042">_xlfn.LET(_xlpm.text, D1042,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2" s="18" t="str" cm="1">
        <f t="array" ref="J1042">_xlfn.LET(_xlpm.text, E1042,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2" s="14">
        <f t="shared" si="81"/>
        <v>46068</v>
      </c>
      <c r="L1042" s="14">
        <f t="shared" si="82"/>
        <v>46068.624664351853</v>
      </c>
      <c r="N1042" s="12"/>
    </row>
    <row r="1043" spans="1:14" x14ac:dyDescent="0.25">
      <c r="A1043" s="4" t="s">
        <v>1072</v>
      </c>
      <c r="B1043" s="16" t="str">
        <f t="shared" si="78"/>
        <v>Jagdamba Stone Crusher</v>
      </c>
      <c r="C1043" s="16" t="str">
        <f t="shared" si="79"/>
        <v>Jagdamba Stone Crusher(Kodasar Bidavtaan/Sujangarh/Churu)</v>
      </c>
      <c r="D1043" s="4" t="s">
        <v>3032</v>
      </c>
      <c r="E1043" s="4" t="s">
        <v>3119</v>
      </c>
      <c r="F1043" s="5">
        <v>46067.999664351853</v>
      </c>
      <c r="G1043" s="16" t="str">
        <f t="shared" si="80"/>
        <v>MasonaryStone (Gitti)</v>
      </c>
      <c r="H1043" s="4" t="s">
        <v>2756</v>
      </c>
      <c r="I1043" s="18" t="str" cm="1">
        <f t="array" ref="I1043">_xlfn.LET(_xlpm.text, D1043,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3" s="18" t="str" cm="1">
        <f t="array" ref="J1043">_xlfn.LET(_xlpm.text, E1043,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3" s="14">
        <f t="shared" si="81"/>
        <v>46068</v>
      </c>
      <c r="L1043" s="14">
        <f t="shared" si="82"/>
        <v>46068.624664351853</v>
      </c>
      <c r="N1043" s="12"/>
    </row>
    <row r="1044" spans="1:14" x14ac:dyDescent="0.25">
      <c r="A1044" s="4" t="s">
        <v>1073</v>
      </c>
      <c r="B1044" s="16" t="str">
        <f t="shared" si="78"/>
        <v>Jagdamba Stone Crusher</v>
      </c>
      <c r="C1044" s="16" t="str">
        <f t="shared" si="79"/>
        <v>Jagdamba Stone Crusher(Kodasar Bidavtaan/Sujangarh/Churu)</v>
      </c>
      <c r="D1044" s="4" t="s">
        <v>3032</v>
      </c>
      <c r="E1044" s="4" t="s">
        <v>3119</v>
      </c>
      <c r="F1044" s="5">
        <v>46067.999664351853</v>
      </c>
      <c r="G1044" s="16" t="str">
        <f t="shared" si="80"/>
        <v>MasonaryStone (Gitti)</v>
      </c>
      <c r="H1044" s="4" t="s">
        <v>2757</v>
      </c>
      <c r="I1044" s="18" t="str" cm="1">
        <f t="array" ref="I1044">_xlfn.LET(_xlpm.text, D1044,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4" s="18" t="str" cm="1">
        <f t="array" ref="J1044">_xlfn.LET(_xlpm.text, E1044,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4" s="14">
        <f t="shared" si="81"/>
        <v>46068</v>
      </c>
      <c r="L1044" s="14">
        <f t="shared" si="82"/>
        <v>46068.624664351853</v>
      </c>
      <c r="N1044" s="12"/>
    </row>
    <row r="1045" spans="1:14" x14ac:dyDescent="0.25">
      <c r="A1045" s="4" t="s">
        <v>1074</v>
      </c>
      <c r="B1045" s="16" t="str">
        <f t="shared" si="78"/>
        <v>Jagdamba Stone Crusher</v>
      </c>
      <c r="C1045" s="16" t="str">
        <f t="shared" si="79"/>
        <v>Jagdamba Stone Crusher(Kodasar Bidavtaan/Sujangarh/Churu)</v>
      </c>
      <c r="D1045" s="4" t="s">
        <v>3032</v>
      </c>
      <c r="E1045" s="4" t="s">
        <v>3119</v>
      </c>
      <c r="F1045" s="5">
        <v>46067.999664351853</v>
      </c>
      <c r="G1045" s="16" t="str">
        <f t="shared" si="80"/>
        <v>MasonaryStone (Gitti)</v>
      </c>
      <c r="H1045" s="4" t="s">
        <v>2758</v>
      </c>
      <c r="I1045" s="18" t="str" cm="1">
        <f t="array" ref="I1045">_xlfn.LET(_xlpm.text, D1045,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5" s="18" t="str" cm="1">
        <f t="array" ref="J1045">_xlfn.LET(_xlpm.text, E1045,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5" s="14">
        <f t="shared" si="81"/>
        <v>46068</v>
      </c>
      <c r="L1045" s="14">
        <f t="shared" si="82"/>
        <v>46068.624664351853</v>
      </c>
      <c r="N1045" s="12"/>
    </row>
    <row r="1046" spans="1:14" x14ac:dyDescent="0.25">
      <c r="A1046" s="4" t="s">
        <v>1075</v>
      </c>
      <c r="B1046" s="16" t="str">
        <f t="shared" si="78"/>
        <v>Jagdamba Stone Crusher</v>
      </c>
      <c r="C1046" s="16" t="str">
        <f t="shared" si="79"/>
        <v>Jagdamba Stone Crusher(Kodasar Bidavtaan/Sujangarh/Churu)</v>
      </c>
      <c r="D1046" s="4" t="s">
        <v>3032</v>
      </c>
      <c r="E1046" s="4" t="s">
        <v>3119</v>
      </c>
      <c r="F1046" s="5">
        <v>46067.999664351853</v>
      </c>
      <c r="G1046" s="16" t="str">
        <f t="shared" si="80"/>
        <v>MasonaryStone (Gitti)</v>
      </c>
      <c r="H1046" s="4" t="s">
        <v>2726</v>
      </c>
      <c r="I1046" s="18" t="str" cm="1">
        <f t="array" ref="I1046">_xlfn.LET(_xlpm.text, D1046,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046" s="18" t="str" cm="1">
        <f t="array" ref="J1046">_xlfn.LET(_xlpm.text, E1046,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6" s="14">
        <f t="shared" si="81"/>
        <v>46068</v>
      </c>
      <c r="L1046" s="14">
        <f t="shared" si="82"/>
        <v>46068.624664351853</v>
      </c>
      <c r="N1046" s="12"/>
    </row>
    <row r="1047" spans="1:14" x14ac:dyDescent="0.25">
      <c r="A1047" s="4" t="s">
        <v>1076</v>
      </c>
      <c r="B1047" s="16" t="str">
        <f t="shared" si="78"/>
        <v>MAA DURGA STONE CRUSHING COMPANY</v>
      </c>
      <c r="C1047" s="16" t="str">
        <f t="shared" si="79"/>
        <v>CHADWAS(Chadwas/Bidasar/Sujangarh)</v>
      </c>
      <c r="D1047" s="4" t="s">
        <v>3035</v>
      </c>
      <c r="E1047" s="4" t="s">
        <v>3119</v>
      </c>
      <c r="F1047" s="5">
        <v>46060.999664351853</v>
      </c>
      <c r="G1047" s="16" t="str">
        <f t="shared" si="80"/>
        <v>MasonaryStone (Gitti)</v>
      </c>
      <c r="H1047" s="4" t="s">
        <v>2759</v>
      </c>
      <c r="I1047" s="18" t="str" cm="1">
        <f t="array" ref="I1047">_xlfn.LET(_xlpm.text, D1047,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47" s="18" t="str" cm="1">
        <f t="array" ref="J1047">_xlfn.LET(_xlpm.text, E1047,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7" s="14">
        <f t="shared" si="81"/>
        <v>46061</v>
      </c>
      <c r="L1047" s="14">
        <f t="shared" si="82"/>
        <v>46061.624664351853</v>
      </c>
      <c r="N1047" s="12"/>
    </row>
    <row r="1048" spans="1:14" x14ac:dyDescent="0.25">
      <c r="A1048" s="4" t="s">
        <v>1077</v>
      </c>
      <c r="B1048" s="16" t="str">
        <f t="shared" si="78"/>
        <v>MAA DURGA STONE CRUSHING COMPANY</v>
      </c>
      <c r="C1048" s="16" t="str">
        <f t="shared" si="79"/>
        <v>CHADWAS(Chadwas/Bidasar/Sujangarh)</v>
      </c>
      <c r="D1048" s="4" t="s">
        <v>3035</v>
      </c>
      <c r="E1048" s="4" t="s">
        <v>3119</v>
      </c>
      <c r="F1048" s="5">
        <v>46069.999664351853</v>
      </c>
      <c r="G1048" s="16" t="str">
        <f t="shared" si="80"/>
        <v>MasonaryStone (Gitti)</v>
      </c>
      <c r="H1048" s="4" t="s">
        <v>2522</v>
      </c>
      <c r="I1048" s="18" t="str" cm="1">
        <f t="array" ref="I1048">_xlfn.LET(_xlpm.text, D1048,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48" s="18" t="str" cm="1">
        <f t="array" ref="J1048">_xlfn.LET(_xlpm.text, E1048,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8" s="14">
        <f t="shared" si="81"/>
        <v>46070</v>
      </c>
      <c r="L1048" s="14">
        <f t="shared" si="82"/>
        <v>46070.624664351853</v>
      </c>
      <c r="N1048" s="12"/>
    </row>
    <row r="1049" spans="1:14" x14ac:dyDescent="0.25">
      <c r="A1049" s="4" t="s">
        <v>1078</v>
      </c>
      <c r="B1049" s="16" t="str">
        <f t="shared" si="78"/>
        <v>MAA DURGA STONE CRUSHING COMPANY</v>
      </c>
      <c r="C1049" s="16" t="str">
        <f t="shared" si="79"/>
        <v>CHADWAS(Chadwas/Bidasar/Sujangarh)</v>
      </c>
      <c r="D1049" s="4" t="s">
        <v>3035</v>
      </c>
      <c r="E1049" s="4" t="s">
        <v>3119</v>
      </c>
      <c r="F1049" s="5">
        <v>46070.999664351853</v>
      </c>
      <c r="G1049" s="16" t="str">
        <f t="shared" si="80"/>
        <v>MasonaryStone (Gitti)</v>
      </c>
      <c r="H1049" s="4" t="s">
        <v>2760</v>
      </c>
      <c r="I1049" s="18" t="str" cm="1">
        <f t="array" ref="I1049">_xlfn.LET(_xlpm.text, D1049,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49" s="18" t="str" cm="1">
        <f t="array" ref="J1049">_xlfn.LET(_xlpm.text, E1049,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49" s="14">
        <f t="shared" si="81"/>
        <v>46071</v>
      </c>
      <c r="L1049" s="14">
        <f t="shared" si="82"/>
        <v>46071.624664351853</v>
      </c>
      <c r="N1049" s="12"/>
    </row>
    <row r="1050" spans="1:14" x14ac:dyDescent="0.25">
      <c r="A1050" s="4" t="s">
        <v>1079</v>
      </c>
      <c r="B1050" s="16" t="str">
        <f t="shared" si="78"/>
        <v>MAA DURGA STONE CRUSHING COMPANY</v>
      </c>
      <c r="C1050" s="16" t="str">
        <f t="shared" si="79"/>
        <v>CHADWAS(Chadwas/Bidasar/Sujangarh)</v>
      </c>
      <c r="D1050" s="4" t="s">
        <v>3035</v>
      </c>
      <c r="E1050" s="4" t="s">
        <v>3119</v>
      </c>
      <c r="F1050" s="5">
        <v>46070.999664351853</v>
      </c>
      <c r="G1050" s="16" t="str">
        <f t="shared" si="80"/>
        <v>MasonaryStone (Gitti)</v>
      </c>
      <c r="H1050" s="4" t="s">
        <v>2761</v>
      </c>
      <c r="I1050" s="18" t="str" cm="1">
        <f t="array" ref="I1050">_xlfn.LET(_xlpm.text, D1050,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0" s="18" t="str" cm="1">
        <f t="array" ref="J1050">_xlfn.LET(_xlpm.text, E1050,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0" s="14">
        <f t="shared" si="81"/>
        <v>46071</v>
      </c>
      <c r="L1050" s="14">
        <f t="shared" si="82"/>
        <v>46071.624664351853</v>
      </c>
      <c r="N1050" s="12"/>
    </row>
    <row r="1051" spans="1:14" x14ac:dyDescent="0.25">
      <c r="A1051" s="4" t="s">
        <v>1080</v>
      </c>
      <c r="B1051" s="16" t="str">
        <f t="shared" si="78"/>
        <v>MAA DURGA STONE CRUSHING COMPANY</v>
      </c>
      <c r="C1051" s="16" t="str">
        <f t="shared" si="79"/>
        <v>CHADWAS(Chadwas/Bidasar/Sujangarh)</v>
      </c>
      <c r="D1051" s="4" t="s">
        <v>3035</v>
      </c>
      <c r="E1051" s="4" t="s">
        <v>3119</v>
      </c>
      <c r="F1051" s="5">
        <v>46071.999664351853</v>
      </c>
      <c r="G1051" s="16" t="str">
        <f t="shared" si="80"/>
        <v>MasonaryStone (Gitti)</v>
      </c>
      <c r="H1051" s="4" t="s">
        <v>2561</v>
      </c>
      <c r="I1051" s="18" t="str" cm="1">
        <f t="array" ref="I1051">_xlfn.LET(_xlpm.text, D1051,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1" s="18" t="str" cm="1">
        <f t="array" ref="J1051">_xlfn.LET(_xlpm.text, E1051,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1" s="14">
        <f t="shared" si="81"/>
        <v>46072</v>
      </c>
      <c r="L1051" s="14">
        <f t="shared" si="82"/>
        <v>46072.624664351853</v>
      </c>
      <c r="N1051" s="12"/>
    </row>
    <row r="1052" spans="1:14" x14ac:dyDescent="0.25">
      <c r="A1052" s="4" t="s">
        <v>1081</v>
      </c>
      <c r="B1052" s="16" t="str">
        <f t="shared" si="78"/>
        <v>MAA DURGA STONE CRUSHING COMPANY</v>
      </c>
      <c r="C1052" s="16" t="str">
        <f t="shared" si="79"/>
        <v>CHADWAS(Chadwas/Bidasar/Sujangarh)</v>
      </c>
      <c r="D1052" s="4" t="s">
        <v>3035</v>
      </c>
      <c r="E1052" s="4" t="s">
        <v>3119</v>
      </c>
      <c r="F1052" s="5">
        <v>46067.999664351853</v>
      </c>
      <c r="G1052" s="16" t="str">
        <f t="shared" si="80"/>
        <v>MasonaryStone (Gitti)</v>
      </c>
      <c r="H1052" s="4" t="s">
        <v>2762</v>
      </c>
      <c r="I1052" s="18" t="str" cm="1">
        <f t="array" ref="I1052">_xlfn.LET(_xlpm.text, D1052,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2" s="18" t="str" cm="1">
        <f t="array" ref="J1052">_xlfn.LET(_xlpm.text, E1052,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2" s="14">
        <f t="shared" si="81"/>
        <v>46068</v>
      </c>
      <c r="L1052" s="14">
        <f t="shared" si="82"/>
        <v>46068.624664351853</v>
      </c>
      <c r="N1052" s="12"/>
    </row>
    <row r="1053" spans="1:14" x14ac:dyDescent="0.25">
      <c r="A1053" s="4" t="s">
        <v>1082</v>
      </c>
      <c r="B1053" s="16" t="str">
        <f t="shared" si="78"/>
        <v>MAA DURGA STONE CRUSHING COMPANY</v>
      </c>
      <c r="C1053" s="16" t="str">
        <f t="shared" si="79"/>
        <v>CHADWAS(Chadwas/Bidasar/Sujangarh)</v>
      </c>
      <c r="D1053" s="4" t="s">
        <v>3035</v>
      </c>
      <c r="E1053" s="4" t="s">
        <v>3119</v>
      </c>
      <c r="F1053" s="5">
        <v>46069.999664351853</v>
      </c>
      <c r="G1053" s="16" t="str">
        <f t="shared" si="80"/>
        <v>MasonaryStone (Gitti)</v>
      </c>
      <c r="H1053" s="4" t="s">
        <v>2763</v>
      </c>
      <c r="I1053" s="18" t="str" cm="1">
        <f t="array" ref="I1053">_xlfn.LET(_xlpm.text, D1053,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3" s="18" t="str" cm="1">
        <f t="array" ref="J1053">_xlfn.LET(_xlpm.text, E1053,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3" s="14">
        <f t="shared" si="81"/>
        <v>46070</v>
      </c>
      <c r="L1053" s="14">
        <f t="shared" si="82"/>
        <v>46070.624664351853</v>
      </c>
      <c r="N1053" s="12"/>
    </row>
    <row r="1054" spans="1:14" x14ac:dyDescent="0.25">
      <c r="A1054" s="4" t="s">
        <v>1083</v>
      </c>
      <c r="B1054" s="16" t="str">
        <f t="shared" si="78"/>
        <v>MAA DURGA STONE CRUSHING COMPANY</v>
      </c>
      <c r="C1054" s="16" t="str">
        <f t="shared" si="79"/>
        <v>CHADWAS(Chadwas/Bidasar/Sujangarh)</v>
      </c>
      <c r="D1054" s="4" t="s">
        <v>3035</v>
      </c>
      <c r="E1054" s="4" t="s">
        <v>3119</v>
      </c>
      <c r="F1054" s="5">
        <v>46068.999664351853</v>
      </c>
      <c r="G1054" s="16" t="str">
        <f t="shared" si="80"/>
        <v>MasonaryStone (Gitti)</v>
      </c>
      <c r="H1054" s="4" t="s">
        <v>2764</v>
      </c>
      <c r="I1054" s="18" t="str" cm="1">
        <f t="array" ref="I1054">_xlfn.LET(_xlpm.text, D1054,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4" s="18" t="str" cm="1">
        <f t="array" ref="J1054">_xlfn.LET(_xlpm.text, E1054,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4" s="14">
        <f t="shared" si="81"/>
        <v>46069</v>
      </c>
      <c r="L1054" s="14">
        <f t="shared" si="82"/>
        <v>46069.624664351853</v>
      </c>
      <c r="N1054" s="12"/>
    </row>
    <row r="1055" spans="1:14" x14ac:dyDescent="0.25">
      <c r="A1055" s="4" t="s">
        <v>1084</v>
      </c>
      <c r="B1055" s="16" t="str">
        <f t="shared" si="78"/>
        <v>MAA DURGA STONE CRUSHING COMPANY</v>
      </c>
      <c r="C1055" s="16" t="str">
        <f t="shared" si="79"/>
        <v>CHADWAS(Chadwas/Bidasar/Sujangarh)</v>
      </c>
      <c r="D1055" s="4" t="s">
        <v>3035</v>
      </c>
      <c r="E1055" s="4" t="s">
        <v>3119</v>
      </c>
      <c r="F1055" s="5">
        <v>46070.999664351853</v>
      </c>
      <c r="G1055" s="16" t="str">
        <f t="shared" si="80"/>
        <v>MasonaryStone (Gitti)</v>
      </c>
      <c r="H1055" s="4" t="s">
        <v>2424</v>
      </c>
      <c r="I1055" s="18" t="str" cm="1">
        <f t="array" ref="I1055">_xlfn.LET(_xlpm.text, D1055,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5" s="18" t="str" cm="1">
        <f t="array" ref="J1055">_xlfn.LET(_xlpm.text, E1055,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5" s="14">
        <f t="shared" si="81"/>
        <v>46071</v>
      </c>
      <c r="L1055" s="14">
        <f t="shared" si="82"/>
        <v>46071.624664351853</v>
      </c>
      <c r="N1055" s="12"/>
    </row>
    <row r="1056" spans="1:14" x14ac:dyDescent="0.25">
      <c r="A1056" s="4" t="s">
        <v>1085</v>
      </c>
      <c r="B1056" s="16" t="str">
        <f t="shared" si="78"/>
        <v>MAA DURGA STONE CRUSHING COMPANY</v>
      </c>
      <c r="C1056" s="16" t="str">
        <f t="shared" si="79"/>
        <v>CHADWAS(Chadwas/Bidasar/Sujangarh)</v>
      </c>
      <c r="D1056" s="4" t="s">
        <v>3035</v>
      </c>
      <c r="E1056" s="4" t="s">
        <v>3119</v>
      </c>
      <c r="F1056" s="5">
        <v>46070.999664351853</v>
      </c>
      <c r="G1056" s="16" t="str">
        <f t="shared" si="80"/>
        <v>MasonaryStone (Gitti)</v>
      </c>
      <c r="H1056" s="4" t="s">
        <v>2765</v>
      </c>
      <c r="I1056" s="18" t="str" cm="1">
        <f t="array" ref="I1056">_xlfn.LET(_xlpm.text, D1056,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056" s="18" t="str" cm="1">
        <f t="array" ref="J1056">_xlfn.LET(_xlpm.text, E1056,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6" s="14">
        <f t="shared" si="81"/>
        <v>46071</v>
      </c>
      <c r="L1056" s="14">
        <f t="shared" si="82"/>
        <v>46071.624664351853</v>
      </c>
      <c r="N1056" s="12"/>
    </row>
    <row r="1057" spans="1:14" x14ac:dyDescent="0.25">
      <c r="A1057" s="4" t="s">
        <v>1086</v>
      </c>
      <c r="B1057" s="16" t="str">
        <f t="shared" si="78"/>
        <v>M/s Sidhi Vinayak Aggregates Private Limated</v>
      </c>
      <c r="C1057" s="16" t="str">
        <f t="shared" si="79"/>
        <v>Barsingo Ka Bas Lohawat()</v>
      </c>
      <c r="D1057" s="4" t="s">
        <v>1382</v>
      </c>
      <c r="E1057" s="4" t="s">
        <v>3119</v>
      </c>
      <c r="F1057" s="5">
        <v>46050.999664351853</v>
      </c>
      <c r="G1057" s="16" t="str">
        <f t="shared" si="80"/>
        <v>MasonaryStone (Gitti)</v>
      </c>
      <c r="H1057" s="4" t="s">
        <v>2615</v>
      </c>
      <c r="I1057" s="18" t="str" cm="1">
        <f t="array" ref="I1057">_xlfn.LET(_xlpm.text, D1057,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57" s="18" t="str" cm="1">
        <f t="array" ref="J1057">_xlfn.LET(_xlpm.text, E1057,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7" s="14">
        <f t="shared" si="81"/>
        <v>46051</v>
      </c>
      <c r="L1057" s="14">
        <f t="shared" si="82"/>
        <v>46051.624664351853</v>
      </c>
      <c r="N1057" s="12"/>
    </row>
    <row r="1058" spans="1:14" x14ac:dyDescent="0.25">
      <c r="A1058" s="4" t="s">
        <v>1087</v>
      </c>
      <c r="B1058" s="16" t="str">
        <f t="shared" si="78"/>
        <v>M/s Sidhi Vinayak Aggregates Private Limated</v>
      </c>
      <c r="C1058" s="16" t="str">
        <f t="shared" si="79"/>
        <v>Barsingo Ka Bas Lohawat()</v>
      </c>
      <c r="D1058" s="4" t="s">
        <v>1382</v>
      </c>
      <c r="E1058" s="4" t="s">
        <v>3119</v>
      </c>
      <c r="F1058" s="5">
        <v>46052.999664351853</v>
      </c>
      <c r="G1058" s="16" t="str">
        <f t="shared" si="80"/>
        <v>MasonaryStone (Gitti)</v>
      </c>
      <c r="H1058" s="4" t="s">
        <v>2766</v>
      </c>
      <c r="I1058" s="18" t="str" cm="1">
        <f t="array" ref="I1058">_xlfn.LET(_xlpm.text, D1058,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58" s="18" t="str" cm="1">
        <f t="array" ref="J1058">_xlfn.LET(_xlpm.text, E1058,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8" s="14">
        <f t="shared" si="81"/>
        <v>46053</v>
      </c>
      <c r="L1058" s="14">
        <f t="shared" si="82"/>
        <v>46053.624664351853</v>
      </c>
      <c r="N1058" s="12"/>
    </row>
    <row r="1059" spans="1:14" x14ac:dyDescent="0.25">
      <c r="A1059" s="4" t="s">
        <v>1088</v>
      </c>
      <c r="B1059" s="16" t="str">
        <f t="shared" si="78"/>
        <v>M/s Sidhi Vinayak Aggregates Private Limated</v>
      </c>
      <c r="C1059" s="16" t="str">
        <f t="shared" si="79"/>
        <v>Barsingo Ka Bas Lohawat()</v>
      </c>
      <c r="D1059" s="4" t="s">
        <v>1382</v>
      </c>
      <c r="E1059" s="4" t="s">
        <v>3119</v>
      </c>
      <c r="F1059" s="5">
        <v>46051.999664351853</v>
      </c>
      <c r="G1059" s="16" t="str">
        <f t="shared" si="80"/>
        <v>MasonaryStone (Gitti)</v>
      </c>
      <c r="H1059" s="4" t="s">
        <v>2315</v>
      </c>
      <c r="I1059" s="18" t="str" cm="1">
        <f t="array" ref="I1059">_xlfn.LET(_xlpm.text, D1059,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59" s="18" t="str" cm="1">
        <f t="array" ref="J1059">_xlfn.LET(_xlpm.text, E1059,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59" s="14">
        <f t="shared" si="81"/>
        <v>46052</v>
      </c>
      <c r="L1059" s="14">
        <f t="shared" si="82"/>
        <v>46052.624664351853</v>
      </c>
      <c r="N1059" s="12"/>
    </row>
    <row r="1060" spans="1:14" x14ac:dyDescent="0.25">
      <c r="A1060" s="4" t="s">
        <v>1089</v>
      </c>
      <c r="B1060" s="16" t="str">
        <f t="shared" si="78"/>
        <v>M/s Sidhi Vinayak Aggregates Private Limated</v>
      </c>
      <c r="C1060" s="16" t="str">
        <f t="shared" si="79"/>
        <v>Barsingo Ka Bas Lohawat()</v>
      </c>
      <c r="D1060" s="4" t="s">
        <v>1382</v>
      </c>
      <c r="E1060" s="4" t="s">
        <v>3119</v>
      </c>
      <c r="F1060" s="5">
        <v>46048.999664351853</v>
      </c>
      <c r="G1060" s="16" t="str">
        <f t="shared" si="80"/>
        <v>MasonaryStone (Gitti)</v>
      </c>
      <c r="H1060" s="4" t="s">
        <v>2667</v>
      </c>
      <c r="I1060" s="18" t="str" cm="1">
        <f t="array" ref="I1060">_xlfn.LET(_xlpm.text, D1060,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0" s="18" t="str" cm="1">
        <f t="array" ref="J1060">_xlfn.LET(_xlpm.text, E1060,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0" s="14">
        <f t="shared" si="81"/>
        <v>46049</v>
      </c>
      <c r="L1060" s="14">
        <f t="shared" si="82"/>
        <v>46049.624664351853</v>
      </c>
      <c r="N1060" s="12"/>
    </row>
    <row r="1061" spans="1:14" x14ac:dyDescent="0.25">
      <c r="A1061" s="4" t="s">
        <v>1090</v>
      </c>
      <c r="B1061" s="16" t="str">
        <f t="shared" si="78"/>
        <v>ADWAITH AGGREGATE SOLUTIONS</v>
      </c>
      <c r="C1061" s="16" t="str">
        <f t="shared" si="79"/>
        <v>KHASRA NO. 942/779 HANUMAN NAGAR (Hanuman Nagar/Nagaur/Nagaur)</v>
      </c>
      <c r="D1061" s="4" t="s">
        <v>1382</v>
      </c>
      <c r="E1061" s="4" t="s">
        <v>3119</v>
      </c>
      <c r="F1061" s="5">
        <v>46052.999664351853</v>
      </c>
      <c r="G1061" s="16" t="str">
        <f t="shared" si="80"/>
        <v>MasonaryStone (Gitti)</v>
      </c>
      <c r="H1061" s="4" t="s">
        <v>2385</v>
      </c>
      <c r="I1061" s="18" t="str" cm="1">
        <f t="array" ref="I1061">_xlfn.LET(_xlpm.text, D1061,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1" s="18" t="str" cm="1">
        <f t="array" ref="J1061">_xlfn.LET(_xlpm.text, E1061,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1" s="14">
        <f t="shared" si="81"/>
        <v>46053</v>
      </c>
      <c r="L1061" s="14">
        <f t="shared" si="82"/>
        <v>46053.624664351853</v>
      </c>
      <c r="N1061" s="12"/>
    </row>
    <row r="1062" spans="1:14" x14ac:dyDescent="0.25">
      <c r="A1062" s="4" t="s">
        <v>1091</v>
      </c>
      <c r="B1062" s="16" t="str">
        <f t="shared" si="78"/>
        <v>ADWAITH AGGREGATE SOLUTIONS</v>
      </c>
      <c r="C1062" s="16" t="str">
        <f t="shared" si="79"/>
        <v>KHASRA NO. 942/779 HANUMAN NAGAR (Hanuman Nagar/Nagaur/Nagaur)</v>
      </c>
      <c r="D1062" s="4" t="s">
        <v>1382</v>
      </c>
      <c r="E1062" s="4" t="s">
        <v>3119</v>
      </c>
      <c r="F1062" s="5">
        <v>46052.999664351853</v>
      </c>
      <c r="G1062" s="16" t="str">
        <f t="shared" si="80"/>
        <v>MasonaryStone (Gitti)</v>
      </c>
      <c r="H1062" s="4" t="s">
        <v>2385</v>
      </c>
      <c r="I1062" s="18" t="str" cm="1">
        <f t="array" ref="I1062">_xlfn.LET(_xlpm.text, D1062,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2" s="18" t="str" cm="1">
        <f t="array" ref="J1062">_xlfn.LET(_xlpm.text, E1062,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2" s="14">
        <f t="shared" si="81"/>
        <v>46053</v>
      </c>
      <c r="L1062" s="14">
        <f t="shared" si="82"/>
        <v>46053.624664351853</v>
      </c>
      <c r="N1062" s="12"/>
    </row>
    <row r="1063" spans="1:14" x14ac:dyDescent="0.25">
      <c r="A1063" s="4" t="s">
        <v>1092</v>
      </c>
      <c r="B1063" s="16" t="str">
        <f t="shared" si="78"/>
        <v>Jagdamba Stone Crusher</v>
      </c>
      <c r="C1063" s="16" t="str">
        <f t="shared" si="79"/>
        <v>Jagdamba Stone Crusher(Kodasar Bidavtaan/Sujangarh/Churu)</v>
      </c>
      <c r="D1063" s="4" t="s">
        <v>1382</v>
      </c>
      <c r="E1063" s="4" t="s">
        <v>3119</v>
      </c>
      <c r="F1063" s="5">
        <v>46075.999664351853</v>
      </c>
      <c r="G1063" s="16" t="str">
        <f t="shared" si="80"/>
        <v>MasonaryStone (Gitti)</v>
      </c>
      <c r="H1063" s="4" t="s">
        <v>2767</v>
      </c>
      <c r="I1063" s="18" t="str" cm="1">
        <f t="array" ref="I1063">_xlfn.LET(_xlpm.text, D1063,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3" s="18" t="str" cm="1">
        <f t="array" ref="J1063">_xlfn.LET(_xlpm.text, E1063,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3" s="14">
        <f t="shared" si="81"/>
        <v>46076</v>
      </c>
      <c r="L1063" s="14">
        <f t="shared" si="82"/>
        <v>46076.624664351853</v>
      </c>
      <c r="N1063" s="12"/>
    </row>
    <row r="1064" spans="1:14" x14ac:dyDescent="0.25">
      <c r="A1064" s="4" t="s">
        <v>1093</v>
      </c>
      <c r="B1064" s="16" t="str">
        <f t="shared" si="78"/>
        <v>Jagdamba Stone Crusher</v>
      </c>
      <c r="C1064" s="16" t="str">
        <f t="shared" si="79"/>
        <v>Jagdamba Stone Crusher(Kodasar Bidavtaan/Sujangarh/Churu)</v>
      </c>
      <c r="D1064" s="4" t="s">
        <v>1382</v>
      </c>
      <c r="E1064" s="4" t="s">
        <v>3119</v>
      </c>
      <c r="F1064" s="5">
        <v>46076.999664351853</v>
      </c>
      <c r="G1064" s="16" t="str">
        <f t="shared" si="80"/>
        <v>MasonaryStone (Gitti)</v>
      </c>
      <c r="H1064" s="4" t="s">
        <v>2768</v>
      </c>
      <c r="I1064" s="18" t="str" cm="1">
        <f t="array" ref="I1064">_xlfn.LET(_xlpm.text, D1064,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4" s="18" t="str" cm="1">
        <f t="array" ref="J1064">_xlfn.LET(_xlpm.text, E1064,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4" s="14">
        <f t="shared" si="81"/>
        <v>46077</v>
      </c>
      <c r="L1064" s="14">
        <f t="shared" si="82"/>
        <v>46077.624664351853</v>
      </c>
      <c r="N1064" s="12"/>
    </row>
    <row r="1065" spans="1:14" x14ac:dyDescent="0.25">
      <c r="A1065" s="4" t="s">
        <v>1094</v>
      </c>
      <c r="B1065" s="16" t="str">
        <f t="shared" si="78"/>
        <v>Jagdamba Stone Crusher</v>
      </c>
      <c r="C1065" s="16" t="str">
        <f t="shared" si="79"/>
        <v>Jagdamba Stone Crusher(Kodasar Bidavtaan/Sujangarh/Churu)</v>
      </c>
      <c r="D1065" s="4" t="s">
        <v>1382</v>
      </c>
      <c r="E1065" s="4" t="s">
        <v>3119</v>
      </c>
      <c r="F1065" s="5">
        <v>46075.999664351853</v>
      </c>
      <c r="G1065" s="16" t="str">
        <f t="shared" si="80"/>
        <v>MasonaryStone (Gitti)</v>
      </c>
      <c r="H1065" s="4" t="s">
        <v>2769</v>
      </c>
      <c r="I1065" s="18" t="str" cm="1">
        <f t="array" ref="I1065">_xlfn.LET(_xlpm.text, D1065,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5" s="18" t="str" cm="1">
        <f t="array" ref="J1065">_xlfn.LET(_xlpm.text, E1065,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5" s="14">
        <f t="shared" si="81"/>
        <v>46076</v>
      </c>
      <c r="L1065" s="14">
        <f t="shared" si="82"/>
        <v>46076.624664351853</v>
      </c>
      <c r="N1065" s="12"/>
    </row>
    <row r="1066" spans="1:14" x14ac:dyDescent="0.25">
      <c r="A1066" s="4" t="s">
        <v>1095</v>
      </c>
      <c r="B1066" s="16" t="str">
        <f t="shared" si="78"/>
        <v>Jagdamba Stone Crusher</v>
      </c>
      <c r="C1066" s="16" t="str">
        <f t="shared" si="79"/>
        <v>Jagdamba Stone Crusher(Kodasar Bidavtaan/Sujangarh/Churu)</v>
      </c>
      <c r="D1066" s="4" t="s">
        <v>1382</v>
      </c>
      <c r="E1066" s="4" t="s">
        <v>3119</v>
      </c>
      <c r="F1066" s="5">
        <v>46076.999664351853</v>
      </c>
      <c r="G1066" s="16" t="str">
        <f t="shared" si="80"/>
        <v>MasonaryStone (Gitti)</v>
      </c>
      <c r="H1066" s="4" t="s">
        <v>2604</v>
      </c>
      <c r="I1066" s="18" t="str" cm="1">
        <f t="array" ref="I1066">_xlfn.LET(_xlpm.text, D1066,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6" s="18" t="str" cm="1">
        <f t="array" ref="J1066">_xlfn.LET(_xlpm.text, E1066,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6" s="14">
        <f t="shared" si="81"/>
        <v>46077</v>
      </c>
      <c r="L1066" s="14">
        <f t="shared" si="82"/>
        <v>46077.624664351853</v>
      </c>
      <c r="N1066" s="12"/>
    </row>
    <row r="1067" spans="1:14" x14ac:dyDescent="0.25">
      <c r="A1067" s="4" t="s">
        <v>1096</v>
      </c>
      <c r="B1067" s="16" t="str">
        <f t="shared" si="78"/>
        <v>Jagdamba Stone Crusher</v>
      </c>
      <c r="C1067" s="16" t="str">
        <f t="shared" si="79"/>
        <v>Jagdamba Stone Crusher(Kodasar Bidavtaan/Sujangarh/Churu)</v>
      </c>
      <c r="D1067" s="4" t="s">
        <v>1382</v>
      </c>
      <c r="E1067" s="4" t="s">
        <v>3119</v>
      </c>
      <c r="F1067" s="5">
        <v>46075.999664351853</v>
      </c>
      <c r="G1067" s="16" t="str">
        <f t="shared" si="80"/>
        <v>MasonaryStone (Gitti)</v>
      </c>
      <c r="H1067" s="4" t="s">
        <v>2648</v>
      </c>
      <c r="I1067" s="18" t="str" cm="1">
        <f t="array" ref="I1067">_xlfn.LET(_xlpm.text, D1067,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7" s="18" t="str" cm="1">
        <f t="array" ref="J1067">_xlfn.LET(_xlpm.text, E1067,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7" s="14">
        <f t="shared" si="81"/>
        <v>46076</v>
      </c>
      <c r="L1067" s="14">
        <f t="shared" si="82"/>
        <v>46076.624664351853</v>
      </c>
      <c r="N1067" s="12"/>
    </row>
    <row r="1068" spans="1:14" x14ac:dyDescent="0.25">
      <c r="A1068" s="4" t="s">
        <v>1097</v>
      </c>
      <c r="B1068" s="16" t="str">
        <f t="shared" si="78"/>
        <v>Jagdamba Stone Crusher</v>
      </c>
      <c r="C1068" s="16" t="str">
        <f t="shared" si="79"/>
        <v>Jagdamba Stone Crusher(Kodasar Bidavtaan/Sujangarh/Churu)</v>
      </c>
      <c r="D1068" s="4" t="s">
        <v>1382</v>
      </c>
      <c r="E1068" s="4" t="s">
        <v>3119</v>
      </c>
      <c r="F1068" s="5">
        <v>46075.999664351853</v>
      </c>
      <c r="G1068" s="16" t="str">
        <f t="shared" si="80"/>
        <v>MasonaryStone (Gitti)</v>
      </c>
      <c r="H1068" s="4" t="s">
        <v>2604</v>
      </c>
      <c r="I1068" s="18" t="str" cm="1">
        <f t="array" ref="I1068">_xlfn.LET(_xlpm.text, D1068,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8" s="18" t="str" cm="1">
        <f t="array" ref="J1068">_xlfn.LET(_xlpm.text, E1068,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8" s="14">
        <f t="shared" si="81"/>
        <v>46076</v>
      </c>
      <c r="L1068" s="14">
        <f t="shared" si="82"/>
        <v>46076.624664351853</v>
      </c>
      <c r="N1068" s="12"/>
    </row>
    <row r="1069" spans="1:14" x14ac:dyDescent="0.25">
      <c r="A1069" s="4" t="s">
        <v>1098</v>
      </c>
      <c r="B1069" s="16" t="str">
        <f t="shared" si="78"/>
        <v>Jagdamba Stone Crusher</v>
      </c>
      <c r="C1069" s="16" t="str">
        <f t="shared" si="79"/>
        <v>Jagdamba Stone Crusher(Kodasar Bidavtaan/Sujangarh/Churu)</v>
      </c>
      <c r="D1069" s="4" t="s">
        <v>1382</v>
      </c>
      <c r="E1069" s="4" t="s">
        <v>3119</v>
      </c>
      <c r="F1069" s="5">
        <v>46076.999664351853</v>
      </c>
      <c r="G1069" s="16" t="str">
        <f t="shared" si="80"/>
        <v>MasonaryStone (Gitti)</v>
      </c>
      <c r="H1069" s="4" t="s">
        <v>2770</v>
      </c>
      <c r="I1069" s="18" t="str" cm="1">
        <f t="array" ref="I1069">_xlfn.LET(_xlpm.text, D1069,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69" s="18" t="str" cm="1">
        <f t="array" ref="J1069">_xlfn.LET(_xlpm.text, E1069,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69" s="14">
        <f t="shared" si="81"/>
        <v>46077</v>
      </c>
      <c r="L1069" s="14">
        <f t="shared" si="82"/>
        <v>46077.624664351853</v>
      </c>
      <c r="N1069" s="12"/>
    </row>
    <row r="1070" spans="1:14" x14ac:dyDescent="0.25">
      <c r="A1070" s="4" t="s">
        <v>1099</v>
      </c>
      <c r="B1070" s="16" t="str">
        <f t="shared" si="78"/>
        <v>Jagdamba Stone Crusher</v>
      </c>
      <c r="C1070" s="16" t="str">
        <f t="shared" si="79"/>
        <v>Jagdamba Stone Crusher(Kodasar Bidavtaan/Sujangarh/Churu)</v>
      </c>
      <c r="D1070" s="4" t="s">
        <v>1382</v>
      </c>
      <c r="E1070" s="4" t="s">
        <v>3119</v>
      </c>
      <c r="F1070" s="5">
        <v>46075.999664351853</v>
      </c>
      <c r="G1070" s="16" t="str">
        <f t="shared" si="80"/>
        <v>MasonaryStone (Gitti)</v>
      </c>
      <c r="H1070" s="4" t="s">
        <v>2771</v>
      </c>
      <c r="I1070" s="18" t="str" cm="1">
        <f t="array" ref="I1070">_xlfn.LET(_xlpm.text, D1070,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0" s="18" t="str" cm="1">
        <f t="array" ref="J1070">_xlfn.LET(_xlpm.text, E1070,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0" s="14">
        <f t="shared" si="81"/>
        <v>46076</v>
      </c>
      <c r="L1070" s="14">
        <f t="shared" si="82"/>
        <v>46076.624664351853</v>
      </c>
      <c r="N1070" s="12"/>
    </row>
    <row r="1071" spans="1:14" x14ac:dyDescent="0.25">
      <c r="A1071" s="4" t="s">
        <v>1100</v>
      </c>
      <c r="B1071" s="16" t="str">
        <f t="shared" si="78"/>
        <v>Jagdamba Stone Crusher</v>
      </c>
      <c r="C1071" s="16" t="str">
        <f t="shared" si="79"/>
        <v>Jagdamba Stone Crusher(Kodasar Bidavtaan/Sujangarh/Churu)</v>
      </c>
      <c r="D1071" s="4" t="s">
        <v>1382</v>
      </c>
      <c r="E1071" s="4" t="s">
        <v>3119</v>
      </c>
      <c r="F1071" s="5">
        <v>46075.999664351853</v>
      </c>
      <c r="G1071" s="16" t="str">
        <f t="shared" si="80"/>
        <v>MasonaryStone (Gitti)</v>
      </c>
      <c r="H1071" s="4" t="s">
        <v>2772</v>
      </c>
      <c r="I1071" s="18" t="str" cm="1">
        <f t="array" ref="I1071">_xlfn.LET(_xlpm.text, D1071,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1" s="18" t="str" cm="1">
        <f t="array" ref="J1071">_xlfn.LET(_xlpm.text, E1071,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1" s="14">
        <f t="shared" si="81"/>
        <v>46076</v>
      </c>
      <c r="L1071" s="14">
        <f t="shared" si="82"/>
        <v>46076.624664351853</v>
      </c>
      <c r="N1071" s="12"/>
    </row>
    <row r="1072" spans="1:14" x14ac:dyDescent="0.25">
      <c r="A1072" s="4" t="s">
        <v>1101</v>
      </c>
      <c r="B1072" s="16" t="str">
        <f t="shared" si="78"/>
        <v>Jagdamba Stone Crusher</v>
      </c>
      <c r="C1072" s="16" t="str">
        <f t="shared" si="79"/>
        <v>Jagdamba Stone Crusher(Kodasar Bidavtaan/Sujangarh/Churu)</v>
      </c>
      <c r="D1072" s="4" t="s">
        <v>1382</v>
      </c>
      <c r="E1072" s="4" t="s">
        <v>3119</v>
      </c>
      <c r="F1072" s="5">
        <v>46075.999664351853</v>
      </c>
      <c r="G1072" s="16" t="str">
        <f t="shared" si="80"/>
        <v>MasonaryStone (Gitti)</v>
      </c>
      <c r="H1072" s="4" t="s">
        <v>2773</v>
      </c>
      <c r="I1072" s="18" t="str" cm="1">
        <f t="array" ref="I1072">_xlfn.LET(_xlpm.text, D1072,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2" s="18" t="str" cm="1">
        <f t="array" ref="J1072">_xlfn.LET(_xlpm.text, E1072,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2" s="14">
        <f t="shared" si="81"/>
        <v>46076</v>
      </c>
      <c r="L1072" s="14">
        <f t="shared" si="82"/>
        <v>46076.624664351853</v>
      </c>
      <c r="N1072" s="12"/>
    </row>
    <row r="1073" spans="1:14" x14ac:dyDescent="0.25">
      <c r="A1073" s="4" t="s">
        <v>1102</v>
      </c>
      <c r="B1073" s="16" t="str">
        <f t="shared" si="78"/>
        <v>Jagdamba Stone Crusher</v>
      </c>
      <c r="C1073" s="16" t="str">
        <f t="shared" si="79"/>
        <v>Jagdamba Stone Crusher(Kodasar Bidavtaan/Sujangarh/Churu)</v>
      </c>
      <c r="D1073" s="4" t="s">
        <v>1382</v>
      </c>
      <c r="E1073" s="4" t="s">
        <v>3119</v>
      </c>
      <c r="F1073" s="5">
        <v>46075.999664351853</v>
      </c>
      <c r="G1073" s="16" t="str">
        <f t="shared" si="80"/>
        <v>MasonaryStone (Gitti)</v>
      </c>
      <c r="H1073" s="4" t="s">
        <v>2447</v>
      </c>
      <c r="I1073" s="18" t="str" cm="1">
        <f t="array" ref="I1073">_xlfn.LET(_xlpm.text, D1073,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3" s="18" t="str" cm="1">
        <f t="array" ref="J1073">_xlfn.LET(_xlpm.text, E1073,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3" s="14">
        <f t="shared" si="81"/>
        <v>46076</v>
      </c>
      <c r="L1073" s="14">
        <f t="shared" si="82"/>
        <v>46076.624664351853</v>
      </c>
      <c r="N1073" s="12"/>
    </row>
    <row r="1074" spans="1:14" x14ac:dyDescent="0.25">
      <c r="A1074" s="4" t="s">
        <v>1103</v>
      </c>
      <c r="B1074" s="16" t="str">
        <f t="shared" si="78"/>
        <v>Jagdamba Stone Crusher</v>
      </c>
      <c r="C1074" s="16" t="str">
        <f t="shared" si="79"/>
        <v>Jagdamba Stone Crusher(Kodasar Bidavtaan/Sujangarh/Churu)</v>
      </c>
      <c r="D1074" s="4" t="s">
        <v>1382</v>
      </c>
      <c r="E1074" s="4" t="s">
        <v>3119</v>
      </c>
      <c r="F1074" s="5">
        <v>46075.999664351853</v>
      </c>
      <c r="G1074" s="16" t="str">
        <f t="shared" si="80"/>
        <v>MasonaryStone (Gitti)</v>
      </c>
      <c r="H1074" s="4" t="s">
        <v>2774</v>
      </c>
      <c r="I1074" s="18" t="str" cm="1">
        <f t="array" ref="I1074">_xlfn.LET(_xlpm.text, D1074,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4" s="18" t="str" cm="1">
        <f t="array" ref="J1074">_xlfn.LET(_xlpm.text, E1074,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4" s="14">
        <f t="shared" si="81"/>
        <v>46076</v>
      </c>
      <c r="L1074" s="14">
        <f t="shared" si="82"/>
        <v>46076.624664351853</v>
      </c>
      <c r="N1074" s="12"/>
    </row>
    <row r="1075" spans="1:14" x14ac:dyDescent="0.25">
      <c r="A1075" s="4" t="s">
        <v>1104</v>
      </c>
      <c r="B1075" s="16" t="str">
        <f t="shared" si="78"/>
        <v>Jagdamba Stone Crusher</v>
      </c>
      <c r="C1075" s="16" t="str">
        <f t="shared" si="79"/>
        <v>Jagdamba Stone Crusher(Kodasar Bidavtaan/Sujangarh/Churu)</v>
      </c>
      <c r="D1075" s="4" t="s">
        <v>1382</v>
      </c>
      <c r="E1075" s="4" t="s">
        <v>3119</v>
      </c>
      <c r="F1075" s="5">
        <v>46076.999664351853</v>
      </c>
      <c r="G1075" s="16" t="str">
        <f t="shared" si="80"/>
        <v>MasonaryStone (Gitti)</v>
      </c>
      <c r="H1075" s="4" t="s">
        <v>2775</v>
      </c>
      <c r="I1075" s="18" t="str" cm="1">
        <f t="array" ref="I1075">_xlfn.LET(_xlpm.text, D1075,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5" s="18" t="str" cm="1">
        <f t="array" ref="J1075">_xlfn.LET(_xlpm.text, E1075,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5" s="14">
        <f t="shared" si="81"/>
        <v>46077</v>
      </c>
      <c r="L1075" s="14">
        <f t="shared" si="82"/>
        <v>46077.624664351853</v>
      </c>
      <c r="N1075" s="12"/>
    </row>
    <row r="1076" spans="1:14" x14ac:dyDescent="0.25">
      <c r="A1076" s="4" t="s">
        <v>1105</v>
      </c>
      <c r="B1076" s="16" t="str">
        <f t="shared" si="78"/>
        <v>Jagdamba Stone Crusher</v>
      </c>
      <c r="C1076" s="16" t="str">
        <f t="shared" si="79"/>
        <v>Jagdamba Stone Crusher(Kodasar Bidavtaan/Sujangarh/Churu)</v>
      </c>
      <c r="D1076" s="4" t="s">
        <v>1382</v>
      </c>
      <c r="E1076" s="4" t="s">
        <v>3119</v>
      </c>
      <c r="F1076" s="5">
        <v>46075.999664351853</v>
      </c>
      <c r="G1076" s="16" t="str">
        <f t="shared" si="80"/>
        <v>MasonaryStone (Gitti)</v>
      </c>
      <c r="H1076" s="4" t="s">
        <v>2776</v>
      </c>
      <c r="I1076" s="18" t="str" cm="1">
        <f t="array" ref="I1076">_xlfn.LET(_xlpm.text, D1076,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6" s="18" t="str" cm="1">
        <f t="array" ref="J1076">_xlfn.LET(_xlpm.text, E1076,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6" s="14">
        <f t="shared" si="81"/>
        <v>46076</v>
      </c>
      <c r="L1076" s="14">
        <f t="shared" si="82"/>
        <v>46076.624664351853</v>
      </c>
      <c r="N1076" s="12"/>
    </row>
    <row r="1077" spans="1:14" x14ac:dyDescent="0.25">
      <c r="A1077" s="4" t="s">
        <v>1106</v>
      </c>
      <c r="B1077" s="16" t="str">
        <f t="shared" si="78"/>
        <v>Jagdamba Stone Crusher</v>
      </c>
      <c r="C1077" s="16" t="str">
        <f t="shared" si="79"/>
        <v>Jagdamba Stone Crusher(Kodasar Bidavtaan/Sujangarh/Churu)</v>
      </c>
      <c r="D1077" s="4" t="s">
        <v>1382</v>
      </c>
      <c r="E1077" s="4" t="s">
        <v>3119</v>
      </c>
      <c r="F1077" s="5">
        <v>46075.999664351853</v>
      </c>
      <c r="G1077" s="16" t="str">
        <f t="shared" si="80"/>
        <v>MasonaryStone (Gitti)</v>
      </c>
      <c r="H1077" s="4" t="s">
        <v>2777</v>
      </c>
      <c r="I1077" s="18" t="str" cm="1">
        <f t="array" ref="I1077">_xlfn.LET(_xlpm.text, D1077,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7" s="18" t="str" cm="1">
        <f t="array" ref="J1077">_xlfn.LET(_xlpm.text, E1077,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7" s="14">
        <f t="shared" si="81"/>
        <v>46076</v>
      </c>
      <c r="L1077" s="14">
        <f t="shared" si="82"/>
        <v>46076.624664351853</v>
      </c>
      <c r="N1077" s="12"/>
    </row>
    <row r="1078" spans="1:14" x14ac:dyDescent="0.25">
      <c r="A1078" s="4" t="s">
        <v>1107</v>
      </c>
      <c r="B1078" s="16" t="str">
        <f t="shared" si="78"/>
        <v>Jagdamba Stone Crusher</v>
      </c>
      <c r="C1078" s="16" t="str">
        <f t="shared" si="79"/>
        <v>Jagdamba Stone Crusher(Kodasar Bidavtaan/Sujangarh/Churu)</v>
      </c>
      <c r="D1078" s="4" t="s">
        <v>1382</v>
      </c>
      <c r="E1078" s="4" t="s">
        <v>3119</v>
      </c>
      <c r="F1078" s="5">
        <v>46076.999664351853</v>
      </c>
      <c r="G1078" s="16" t="str">
        <f t="shared" si="80"/>
        <v>MasonaryStone (Gitti)</v>
      </c>
      <c r="H1078" s="4" t="s">
        <v>2778</v>
      </c>
      <c r="I1078" s="18" t="str" cm="1">
        <f t="array" ref="I1078">_xlfn.LET(_xlpm.text, D1078,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8" s="18" t="str" cm="1">
        <f t="array" ref="J1078">_xlfn.LET(_xlpm.text, E1078,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8" s="14">
        <f t="shared" si="81"/>
        <v>46077</v>
      </c>
      <c r="L1078" s="14">
        <f t="shared" si="82"/>
        <v>46077.624664351853</v>
      </c>
      <c r="N1078" s="12"/>
    </row>
    <row r="1079" spans="1:14" x14ac:dyDescent="0.25">
      <c r="A1079" s="4" t="s">
        <v>1108</v>
      </c>
      <c r="B1079" s="16" t="str">
        <f t="shared" si="78"/>
        <v>Jagdamba Stone Crusher</v>
      </c>
      <c r="C1079" s="16" t="str">
        <f t="shared" si="79"/>
        <v>Jagdamba Stone Crusher(Kodasar Bidavtaan/Sujangarh/Churu)</v>
      </c>
      <c r="D1079" s="4" t="s">
        <v>1382</v>
      </c>
      <c r="E1079" s="4" t="s">
        <v>3119</v>
      </c>
      <c r="F1079" s="5">
        <v>46076.999664351853</v>
      </c>
      <c r="G1079" s="16" t="str">
        <f t="shared" si="80"/>
        <v>MasonaryStone (Gitti)</v>
      </c>
      <c r="H1079" s="4" t="s">
        <v>427</v>
      </c>
      <c r="I1079" s="18" t="str" cm="1">
        <f t="array" ref="I1079">_xlfn.LET(_xlpm.text, D1079,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79" s="18" t="str" cm="1">
        <f t="array" ref="J1079">_xlfn.LET(_xlpm.text, E1079,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79" s="14">
        <f t="shared" si="81"/>
        <v>46077</v>
      </c>
      <c r="L1079" s="14">
        <f t="shared" si="82"/>
        <v>46077.624664351853</v>
      </c>
      <c r="N1079" s="12"/>
    </row>
    <row r="1080" spans="1:14" x14ac:dyDescent="0.25">
      <c r="A1080" s="4" t="s">
        <v>1109</v>
      </c>
      <c r="B1080" s="16" t="str">
        <f t="shared" si="78"/>
        <v>Jagdamba Stone Crusher</v>
      </c>
      <c r="C1080" s="16" t="str">
        <f t="shared" si="79"/>
        <v>Jagdamba Stone Crusher(Kodasar Bidavtaan/Sujangarh/Churu)</v>
      </c>
      <c r="D1080" s="4" t="s">
        <v>1382</v>
      </c>
      <c r="E1080" s="4" t="s">
        <v>3119</v>
      </c>
      <c r="F1080" s="5">
        <v>46076.999664351853</v>
      </c>
      <c r="G1080" s="16" t="str">
        <f t="shared" si="80"/>
        <v>MasonaryStone (Gitti)</v>
      </c>
      <c r="H1080" s="4" t="s">
        <v>2779</v>
      </c>
      <c r="I1080" s="18" t="str" cm="1">
        <f t="array" ref="I1080">_xlfn.LET(_xlpm.text, D1080,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0" s="18" t="str" cm="1">
        <f t="array" ref="J1080">_xlfn.LET(_xlpm.text, E1080,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0" s="14">
        <f t="shared" si="81"/>
        <v>46077</v>
      </c>
      <c r="L1080" s="14">
        <f t="shared" si="82"/>
        <v>46077.624664351853</v>
      </c>
      <c r="N1080" s="12"/>
    </row>
    <row r="1081" spans="1:14" x14ac:dyDescent="0.25">
      <c r="A1081" s="4" t="s">
        <v>1110</v>
      </c>
      <c r="B1081" s="16" t="str">
        <f t="shared" si="78"/>
        <v>Jagdamba Stone Crusher</v>
      </c>
      <c r="C1081" s="16" t="str">
        <f t="shared" si="79"/>
        <v>Jagdamba Stone Crusher(Kodasar Bidavtaan/Sujangarh/Churu)</v>
      </c>
      <c r="D1081" s="4" t="s">
        <v>1382</v>
      </c>
      <c r="E1081" s="4" t="s">
        <v>3119</v>
      </c>
      <c r="F1081" s="5">
        <v>46076.999664351853</v>
      </c>
      <c r="G1081" s="16" t="str">
        <f t="shared" si="80"/>
        <v>MasonaryStone (Gitti)</v>
      </c>
      <c r="H1081" s="4" t="s">
        <v>2780</v>
      </c>
      <c r="I1081" s="18" t="str" cm="1">
        <f t="array" ref="I1081">_xlfn.LET(_xlpm.text, D1081,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1" s="18" t="str" cm="1">
        <f t="array" ref="J1081">_xlfn.LET(_xlpm.text, E1081,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1" s="14">
        <f t="shared" si="81"/>
        <v>46077</v>
      </c>
      <c r="L1081" s="14">
        <f t="shared" si="82"/>
        <v>46077.624664351853</v>
      </c>
      <c r="N1081" s="12"/>
    </row>
    <row r="1082" spans="1:14" x14ac:dyDescent="0.25">
      <c r="A1082" s="4" t="s">
        <v>1111</v>
      </c>
      <c r="B1082" s="16" t="str">
        <f t="shared" si="78"/>
        <v>Jagdamba Stone Crusher</v>
      </c>
      <c r="C1082" s="16" t="str">
        <f t="shared" si="79"/>
        <v>Jagdamba Stone Crusher(Kodasar Bidavtaan/Sujangarh/Churu)</v>
      </c>
      <c r="D1082" s="4" t="s">
        <v>1382</v>
      </c>
      <c r="E1082" s="4" t="s">
        <v>3119</v>
      </c>
      <c r="F1082" s="5">
        <v>46076.999664351853</v>
      </c>
      <c r="G1082" s="16" t="str">
        <f t="shared" si="80"/>
        <v>MasonaryStone (Gitti)</v>
      </c>
      <c r="H1082" s="4" t="s">
        <v>2781</v>
      </c>
      <c r="I1082" s="18" t="str" cm="1">
        <f t="array" ref="I1082">_xlfn.LET(_xlpm.text, D1082,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2" s="18" t="str" cm="1">
        <f t="array" ref="J1082">_xlfn.LET(_xlpm.text, E1082,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2" s="14">
        <f t="shared" si="81"/>
        <v>46077</v>
      </c>
      <c r="L1082" s="14">
        <f t="shared" si="82"/>
        <v>46077.624664351853</v>
      </c>
      <c r="N1082" s="12"/>
    </row>
    <row r="1083" spans="1:14" x14ac:dyDescent="0.25">
      <c r="A1083" s="4" t="s">
        <v>1112</v>
      </c>
      <c r="B1083" s="16" t="str">
        <f t="shared" si="78"/>
        <v>Jagdamba Stone Crusher</v>
      </c>
      <c r="C1083" s="16" t="str">
        <f t="shared" si="79"/>
        <v>Jagdamba Stone Crusher(Kodasar Bidavtaan/Sujangarh/Churu)</v>
      </c>
      <c r="D1083" s="4" t="s">
        <v>1382</v>
      </c>
      <c r="E1083" s="4" t="s">
        <v>3119</v>
      </c>
      <c r="F1083" s="5">
        <v>46076.999664351853</v>
      </c>
      <c r="G1083" s="16" t="str">
        <f t="shared" si="80"/>
        <v>MasonaryStone (Gitti)</v>
      </c>
      <c r="H1083" s="4" t="s">
        <v>2782</v>
      </c>
      <c r="I1083" s="18" t="str" cm="1">
        <f t="array" ref="I1083">_xlfn.LET(_xlpm.text, D1083,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3" s="18" t="str" cm="1">
        <f t="array" ref="J1083">_xlfn.LET(_xlpm.text, E1083,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3" s="14">
        <f t="shared" si="81"/>
        <v>46077</v>
      </c>
      <c r="L1083" s="14">
        <f t="shared" si="82"/>
        <v>46077.624664351853</v>
      </c>
      <c r="N1083" s="12"/>
    </row>
    <row r="1084" spans="1:14" x14ac:dyDescent="0.25">
      <c r="A1084" s="4" t="s">
        <v>1113</v>
      </c>
      <c r="B1084" s="16" t="str">
        <f t="shared" si="78"/>
        <v>Jagdamba Stone Crusher</v>
      </c>
      <c r="C1084" s="16" t="str">
        <f t="shared" si="79"/>
        <v>Jagdamba Stone Crusher(Kodasar Bidavtaan/Sujangarh/Churu)</v>
      </c>
      <c r="D1084" s="4" t="s">
        <v>1382</v>
      </c>
      <c r="E1084" s="4" t="s">
        <v>3119</v>
      </c>
      <c r="F1084" s="5">
        <v>46045.999664351853</v>
      </c>
      <c r="G1084" s="16" t="str">
        <f t="shared" si="80"/>
        <v>MasonaryStone (Gitti)</v>
      </c>
      <c r="H1084" s="4" t="s">
        <v>2783</v>
      </c>
      <c r="I1084" s="18" t="str" cm="1">
        <f t="array" ref="I1084">_xlfn.LET(_xlpm.text, D1084,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4" s="18" t="str" cm="1">
        <f t="array" ref="J1084">_xlfn.LET(_xlpm.text, E1084,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4" s="14">
        <f t="shared" si="81"/>
        <v>46046</v>
      </c>
      <c r="L1084" s="14">
        <f t="shared" si="82"/>
        <v>46046.624664351853</v>
      </c>
      <c r="N1084" s="12"/>
    </row>
    <row r="1085" spans="1:14" x14ac:dyDescent="0.25">
      <c r="A1085" s="4" t="s">
        <v>1114</v>
      </c>
      <c r="B1085" s="16" t="str">
        <f t="shared" si="78"/>
        <v>Jagdamba Stone Crusher</v>
      </c>
      <c r="C1085" s="16" t="str">
        <f t="shared" si="79"/>
        <v>Jagdamba Stone Crusher(Kodasar Bidavtaan/Sujangarh/Churu)</v>
      </c>
      <c r="D1085" s="4" t="s">
        <v>1382</v>
      </c>
      <c r="E1085" s="4" t="s">
        <v>3119</v>
      </c>
      <c r="F1085" s="5">
        <v>46073.999664351853</v>
      </c>
      <c r="G1085" s="16" t="str">
        <f t="shared" si="80"/>
        <v>MasonaryStone (Gitti)</v>
      </c>
      <c r="H1085" s="4" t="s">
        <v>2721</v>
      </c>
      <c r="I1085" s="18" t="str" cm="1">
        <f t="array" ref="I1085">_xlfn.LET(_xlpm.text, D1085,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5" s="18" t="str" cm="1">
        <f t="array" ref="J1085">_xlfn.LET(_xlpm.text, E1085,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5" s="14">
        <f t="shared" si="81"/>
        <v>46074</v>
      </c>
      <c r="L1085" s="14">
        <f t="shared" si="82"/>
        <v>46074.624664351853</v>
      </c>
      <c r="N1085" s="12"/>
    </row>
    <row r="1086" spans="1:14" x14ac:dyDescent="0.25">
      <c r="A1086" s="4" t="s">
        <v>1115</v>
      </c>
      <c r="B1086" s="16" t="str">
        <f t="shared" si="78"/>
        <v>Jagdamba Stone Crusher</v>
      </c>
      <c r="C1086" s="16" t="str">
        <f t="shared" si="79"/>
        <v>Jagdamba Stone Crusher(Kodasar Bidavtaan/Sujangarh/Churu)</v>
      </c>
      <c r="D1086" s="4" t="s">
        <v>1382</v>
      </c>
      <c r="E1086" s="4" t="s">
        <v>3119</v>
      </c>
      <c r="F1086" s="5">
        <v>46073.999664351853</v>
      </c>
      <c r="G1086" s="16" t="str">
        <f t="shared" si="80"/>
        <v>MasonaryStone (Gitti)</v>
      </c>
      <c r="H1086" s="4" t="s">
        <v>2784</v>
      </c>
      <c r="I1086" s="18" t="str" cm="1">
        <f t="array" ref="I1086">_xlfn.LET(_xlpm.text, D1086,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6" s="18" t="str" cm="1">
        <f t="array" ref="J1086">_xlfn.LET(_xlpm.text, E1086,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6" s="14">
        <f t="shared" si="81"/>
        <v>46074</v>
      </c>
      <c r="L1086" s="14">
        <f t="shared" si="82"/>
        <v>46074.624664351853</v>
      </c>
      <c r="N1086" s="12"/>
    </row>
    <row r="1087" spans="1:14" x14ac:dyDescent="0.25">
      <c r="A1087" s="4" t="s">
        <v>1116</v>
      </c>
      <c r="B1087" s="16" t="str">
        <f t="shared" si="78"/>
        <v>Jagdamba Stone Crusher</v>
      </c>
      <c r="C1087" s="16" t="str">
        <f t="shared" si="79"/>
        <v>Jagdamba Stone Crusher(Kodasar Bidavtaan/Sujangarh/Churu)</v>
      </c>
      <c r="D1087" s="4" t="s">
        <v>1382</v>
      </c>
      <c r="E1087" s="4" t="s">
        <v>3119</v>
      </c>
      <c r="F1087" s="5">
        <v>46073.999664351853</v>
      </c>
      <c r="G1087" s="16" t="str">
        <f t="shared" si="80"/>
        <v>MasonaryStone (Gitti)</v>
      </c>
      <c r="H1087" s="4" t="s">
        <v>2719</v>
      </c>
      <c r="I1087" s="18" t="str" cm="1">
        <f t="array" ref="I1087">_xlfn.LET(_xlpm.text, D1087,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7" s="18" t="str" cm="1">
        <f t="array" ref="J1087">_xlfn.LET(_xlpm.text, E1087,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7" s="14">
        <f t="shared" si="81"/>
        <v>46074</v>
      </c>
      <c r="L1087" s="14">
        <f t="shared" si="82"/>
        <v>46074.624664351853</v>
      </c>
      <c r="N1087" s="12"/>
    </row>
    <row r="1088" spans="1:14" x14ac:dyDescent="0.25">
      <c r="A1088" s="4" t="s">
        <v>1117</v>
      </c>
      <c r="B1088" s="16" t="str">
        <f t="shared" si="78"/>
        <v>Jagdamba Stone Crusher</v>
      </c>
      <c r="C1088" s="16" t="str">
        <f t="shared" si="79"/>
        <v>Jagdamba Stone Crusher(Kodasar Bidavtaan/Sujangarh/Churu)</v>
      </c>
      <c r="D1088" s="4" t="s">
        <v>1382</v>
      </c>
      <c r="E1088" s="4" t="s">
        <v>3119</v>
      </c>
      <c r="F1088" s="5">
        <v>46073.999664351853</v>
      </c>
      <c r="G1088" s="16" t="str">
        <f t="shared" si="80"/>
        <v>MasonaryStone (Gitti)</v>
      </c>
      <c r="H1088" s="4" t="s">
        <v>2785</v>
      </c>
      <c r="I1088" s="18" t="str" cm="1">
        <f t="array" ref="I1088">_xlfn.LET(_xlpm.text, D1088,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8" s="18" t="str" cm="1">
        <f t="array" ref="J1088">_xlfn.LET(_xlpm.text, E1088,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8" s="14">
        <f t="shared" si="81"/>
        <v>46074</v>
      </c>
      <c r="L1088" s="14">
        <f t="shared" si="82"/>
        <v>46074.624664351853</v>
      </c>
      <c r="N1088" s="12"/>
    </row>
    <row r="1089" spans="1:14" x14ac:dyDescent="0.25">
      <c r="A1089" s="4" t="s">
        <v>1118</v>
      </c>
      <c r="B1089" s="16" t="str">
        <f t="shared" si="78"/>
        <v>Jagdamba Stone Crusher</v>
      </c>
      <c r="C1089" s="16" t="str">
        <f t="shared" si="79"/>
        <v>Jagdamba Stone Crusher(Kodasar Bidavtaan/Sujangarh/Churu)</v>
      </c>
      <c r="D1089" s="4" t="s">
        <v>1382</v>
      </c>
      <c r="E1089" s="4" t="s">
        <v>3119</v>
      </c>
      <c r="F1089" s="5">
        <v>46073.999664351853</v>
      </c>
      <c r="G1089" s="16" t="str">
        <f t="shared" si="80"/>
        <v>MasonaryStone (Gitti)</v>
      </c>
      <c r="H1089" s="4" t="s">
        <v>2751</v>
      </c>
      <c r="I1089" s="18" t="str" cm="1">
        <f t="array" ref="I1089">_xlfn.LET(_xlpm.text, D1089,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89" s="18" t="str" cm="1">
        <f t="array" ref="J1089">_xlfn.LET(_xlpm.text, E1089,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89" s="14">
        <f t="shared" si="81"/>
        <v>46074</v>
      </c>
      <c r="L1089" s="14">
        <f t="shared" si="82"/>
        <v>46074.624664351853</v>
      </c>
      <c r="N1089" s="12"/>
    </row>
    <row r="1090" spans="1:14" x14ac:dyDescent="0.25">
      <c r="A1090" s="4" t="s">
        <v>1119</v>
      </c>
      <c r="B1090" s="16" t="str">
        <f t="shared" ref="B1090:B1153" si="83">VLOOKUP(LEFT($A1090,4)&amp;"*",$O$3:$R$17, 2, FALSE)</f>
        <v>Jagdamba Stone Crusher</v>
      </c>
      <c r="C1090" s="16" t="str">
        <f t="shared" ref="C1090:C1153" si="84">VLOOKUP(LEFT($A1090,4)&amp;"*",$O$3:$R$17, 3, FALSE)</f>
        <v>Jagdamba Stone Crusher(Kodasar Bidavtaan/Sujangarh/Churu)</v>
      </c>
      <c r="D1090" s="4" t="s">
        <v>1382</v>
      </c>
      <c r="E1090" s="4" t="s">
        <v>3119</v>
      </c>
      <c r="F1090" s="5">
        <v>46073.999664351853</v>
      </c>
      <c r="G1090" s="16" t="str">
        <f t="shared" ref="G1090:G1153" si="85">VLOOKUP(LEFT($A1090,4)&amp;"*",$O$3:$R$17, 4, FALSE)</f>
        <v>MasonaryStone (Gitti)</v>
      </c>
      <c r="H1090" s="4" t="s">
        <v>2721</v>
      </c>
      <c r="I1090" s="18" t="str" cm="1">
        <f t="array" ref="I1090">_xlfn.LET(_xlpm.text, D1090,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0" s="18" t="str" cm="1">
        <f t="array" ref="J1090">_xlfn.LET(_xlpm.text, E1090,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0" s="14">
        <f t="shared" si="81"/>
        <v>46074</v>
      </c>
      <c r="L1090" s="14">
        <f t="shared" si="82"/>
        <v>46074.624664351853</v>
      </c>
      <c r="N1090" s="12"/>
    </row>
    <row r="1091" spans="1:14" x14ac:dyDescent="0.25">
      <c r="A1091" s="4" t="s">
        <v>1120</v>
      </c>
      <c r="B1091" s="16" t="str">
        <f t="shared" si="83"/>
        <v>Jagdamba Stone Crusher</v>
      </c>
      <c r="C1091" s="16" t="str">
        <f t="shared" si="84"/>
        <v>Jagdamba Stone Crusher(Kodasar Bidavtaan/Sujangarh/Churu)</v>
      </c>
      <c r="D1091" s="4" t="s">
        <v>1382</v>
      </c>
      <c r="E1091" s="4" t="s">
        <v>3119</v>
      </c>
      <c r="F1091" s="5">
        <v>46073.999664351853</v>
      </c>
      <c r="G1091" s="16" t="str">
        <f t="shared" si="85"/>
        <v>MasonaryStone (Gitti)</v>
      </c>
      <c r="H1091" s="4" t="s">
        <v>2626</v>
      </c>
      <c r="I1091" s="18" t="str" cm="1">
        <f t="array" ref="I1091">_xlfn.LET(_xlpm.text, D1091,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1" s="18" t="str" cm="1">
        <f t="array" ref="J1091">_xlfn.LET(_xlpm.text, E1091,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1" s="14">
        <f t="shared" ref="K1091:K1154" si="86">F1091+(29/86400)</f>
        <v>46074</v>
      </c>
      <c r="L1091" s="14">
        <f t="shared" ref="L1091:L1154" si="87">F1091+(15/24)</f>
        <v>46074.624664351853</v>
      </c>
      <c r="N1091" s="12"/>
    </row>
    <row r="1092" spans="1:14" x14ac:dyDescent="0.25">
      <c r="A1092" s="4" t="s">
        <v>1121</v>
      </c>
      <c r="B1092" s="16" t="str">
        <f t="shared" si="83"/>
        <v>Jagdamba Stone Crusher</v>
      </c>
      <c r="C1092" s="16" t="str">
        <f t="shared" si="84"/>
        <v>Jagdamba Stone Crusher(Kodasar Bidavtaan/Sujangarh/Churu)</v>
      </c>
      <c r="D1092" s="4" t="s">
        <v>1382</v>
      </c>
      <c r="E1092" s="4" t="s">
        <v>3119</v>
      </c>
      <c r="F1092" s="5">
        <v>46073.999664351853</v>
      </c>
      <c r="G1092" s="16" t="str">
        <f t="shared" si="85"/>
        <v>MasonaryStone (Gitti)</v>
      </c>
      <c r="H1092" s="4" t="s">
        <v>2618</v>
      </c>
      <c r="I1092" s="18" t="str" cm="1">
        <f t="array" ref="I1092">_xlfn.LET(_xlpm.text, D1092,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2" s="18" t="str" cm="1">
        <f t="array" ref="J1092">_xlfn.LET(_xlpm.text, E1092,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2" s="14">
        <f t="shared" si="86"/>
        <v>46074</v>
      </c>
      <c r="L1092" s="14">
        <f t="shared" si="87"/>
        <v>46074.624664351853</v>
      </c>
      <c r="N1092" s="12"/>
    </row>
    <row r="1093" spans="1:14" x14ac:dyDescent="0.25">
      <c r="A1093" s="4" t="s">
        <v>1122</v>
      </c>
      <c r="B1093" s="16" t="str">
        <f t="shared" si="83"/>
        <v>Jagdamba Stone Crusher</v>
      </c>
      <c r="C1093" s="16" t="str">
        <f t="shared" si="84"/>
        <v>Jagdamba Stone Crusher(Kodasar Bidavtaan/Sujangarh/Churu)</v>
      </c>
      <c r="D1093" s="4" t="s">
        <v>1382</v>
      </c>
      <c r="E1093" s="4" t="s">
        <v>3119</v>
      </c>
      <c r="F1093" s="5">
        <v>46073.999664351853</v>
      </c>
      <c r="G1093" s="16" t="str">
        <f t="shared" si="85"/>
        <v>MasonaryStone (Gitti)</v>
      </c>
      <c r="H1093" s="4" t="s">
        <v>2786</v>
      </c>
      <c r="I1093" s="18" t="str" cm="1">
        <f t="array" ref="I1093">_xlfn.LET(_xlpm.text, D1093,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3" s="18" t="str" cm="1">
        <f t="array" ref="J1093">_xlfn.LET(_xlpm.text, E1093,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3" s="14">
        <f t="shared" si="86"/>
        <v>46074</v>
      </c>
      <c r="L1093" s="14">
        <f t="shared" si="87"/>
        <v>46074.624664351853</v>
      </c>
      <c r="N1093" s="12"/>
    </row>
    <row r="1094" spans="1:14" x14ac:dyDescent="0.25">
      <c r="A1094" s="4" t="s">
        <v>1123</v>
      </c>
      <c r="B1094" s="16" t="str">
        <f t="shared" si="83"/>
        <v>Jagdamba Stone Crusher</v>
      </c>
      <c r="C1094" s="16" t="str">
        <f t="shared" si="84"/>
        <v>Jagdamba Stone Crusher(Kodasar Bidavtaan/Sujangarh/Churu)</v>
      </c>
      <c r="D1094" s="4" t="s">
        <v>1382</v>
      </c>
      <c r="E1094" s="4" t="s">
        <v>3119</v>
      </c>
      <c r="F1094" s="5">
        <v>46073.999664351853</v>
      </c>
      <c r="G1094" s="16" t="str">
        <f t="shared" si="85"/>
        <v>MasonaryStone (Gitti)</v>
      </c>
      <c r="H1094" s="4" t="s">
        <v>2787</v>
      </c>
      <c r="I1094" s="18" t="str" cm="1">
        <f t="array" ref="I1094">_xlfn.LET(_xlpm.text, D1094,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4" s="18" t="str" cm="1">
        <f t="array" ref="J1094">_xlfn.LET(_xlpm.text, E1094,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4" s="14">
        <f t="shared" si="86"/>
        <v>46074</v>
      </c>
      <c r="L1094" s="14">
        <f t="shared" si="87"/>
        <v>46074.624664351853</v>
      </c>
      <c r="N1094" s="12"/>
    </row>
    <row r="1095" spans="1:14" x14ac:dyDescent="0.25">
      <c r="A1095" s="4" t="s">
        <v>1124</v>
      </c>
      <c r="B1095" s="16" t="str">
        <f t="shared" si="83"/>
        <v>Jagdamba Stone Crusher</v>
      </c>
      <c r="C1095" s="16" t="str">
        <f t="shared" si="84"/>
        <v>Jagdamba Stone Crusher(Kodasar Bidavtaan/Sujangarh/Churu)</v>
      </c>
      <c r="D1095" s="4" t="s">
        <v>1382</v>
      </c>
      <c r="E1095" s="4" t="s">
        <v>3119</v>
      </c>
      <c r="F1095" s="5">
        <v>46073.999664351853</v>
      </c>
      <c r="G1095" s="16" t="str">
        <f t="shared" si="85"/>
        <v>MasonaryStone (Gitti)</v>
      </c>
      <c r="H1095" s="4" t="s">
        <v>2788</v>
      </c>
      <c r="I1095" s="18" t="str" cm="1">
        <f t="array" ref="I1095">_xlfn.LET(_xlpm.text, D1095,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5" s="18" t="str" cm="1">
        <f t="array" ref="J1095">_xlfn.LET(_xlpm.text, E1095,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5" s="14">
        <f t="shared" si="86"/>
        <v>46074</v>
      </c>
      <c r="L1095" s="14">
        <f t="shared" si="87"/>
        <v>46074.624664351853</v>
      </c>
      <c r="N1095" s="12"/>
    </row>
    <row r="1096" spans="1:14" x14ac:dyDescent="0.25">
      <c r="A1096" s="4" t="s">
        <v>1125</v>
      </c>
      <c r="B1096" s="16" t="str">
        <f t="shared" si="83"/>
        <v>Jagdamba Stone Crusher</v>
      </c>
      <c r="C1096" s="16" t="str">
        <f t="shared" si="84"/>
        <v>Jagdamba Stone Crusher(Kodasar Bidavtaan/Sujangarh/Churu)</v>
      </c>
      <c r="D1096" s="4" t="s">
        <v>1382</v>
      </c>
      <c r="E1096" s="4" t="s">
        <v>3119</v>
      </c>
      <c r="F1096" s="5">
        <v>46073.999664351853</v>
      </c>
      <c r="G1096" s="16" t="str">
        <f t="shared" si="85"/>
        <v>MasonaryStone (Gitti)</v>
      </c>
      <c r="H1096" s="4" t="s">
        <v>2789</v>
      </c>
      <c r="I1096" s="18" t="str" cm="1">
        <f t="array" ref="I1096">_xlfn.LET(_xlpm.text, D1096,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6" s="18" t="str" cm="1">
        <f t="array" ref="J1096">_xlfn.LET(_xlpm.text, E1096,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6" s="14">
        <f t="shared" si="86"/>
        <v>46074</v>
      </c>
      <c r="L1096" s="14">
        <f t="shared" si="87"/>
        <v>46074.624664351853</v>
      </c>
      <c r="N1096" s="12"/>
    </row>
    <row r="1097" spans="1:14" x14ac:dyDescent="0.25">
      <c r="A1097" s="4" t="s">
        <v>1126</v>
      </c>
      <c r="B1097" s="16" t="str">
        <f t="shared" si="83"/>
        <v>Jagdamba Stone Crusher</v>
      </c>
      <c r="C1097" s="16" t="str">
        <f t="shared" si="84"/>
        <v>Jagdamba Stone Crusher(Kodasar Bidavtaan/Sujangarh/Churu)</v>
      </c>
      <c r="D1097" s="4" t="s">
        <v>1382</v>
      </c>
      <c r="E1097" s="4" t="s">
        <v>3119</v>
      </c>
      <c r="F1097" s="5">
        <v>46073.999664351853</v>
      </c>
      <c r="G1097" s="16" t="str">
        <f t="shared" si="85"/>
        <v>MasonaryStone (Gitti)</v>
      </c>
      <c r="H1097" s="4" t="s">
        <v>2649</v>
      </c>
      <c r="I1097" s="18" t="str" cm="1">
        <f t="array" ref="I1097">_xlfn.LET(_xlpm.text, D1097,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7" s="18" t="str" cm="1">
        <f t="array" ref="J1097">_xlfn.LET(_xlpm.text, E1097,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7" s="14">
        <f t="shared" si="86"/>
        <v>46074</v>
      </c>
      <c r="L1097" s="14">
        <f t="shared" si="87"/>
        <v>46074.624664351853</v>
      </c>
      <c r="N1097" s="12"/>
    </row>
    <row r="1098" spans="1:14" x14ac:dyDescent="0.25">
      <c r="A1098" s="4" t="s">
        <v>1127</v>
      </c>
      <c r="B1098" s="16" t="str">
        <f t="shared" si="83"/>
        <v>Jagdamba Stone Crusher</v>
      </c>
      <c r="C1098" s="16" t="str">
        <f t="shared" si="84"/>
        <v>Jagdamba Stone Crusher(Kodasar Bidavtaan/Sujangarh/Churu)</v>
      </c>
      <c r="D1098" s="4" t="s">
        <v>1382</v>
      </c>
      <c r="E1098" s="4" t="s">
        <v>3119</v>
      </c>
      <c r="F1098" s="5">
        <v>46073.999664351853</v>
      </c>
      <c r="G1098" s="16" t="str">
        <f t="shared" si="85"/>
        <v>MasonaryStone (Gitti)</v>
      </c>
      <c r="H1098" s="4" t="s">
        <v>2790</v>
      </c>
      <c r="I1098" s="18" t="str" cm="1">
        <f t="array" ref="I1098">_xlfn.LET(_xlpm.text, D1098,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8" s="18" t="str" cm="1">
        <f t="array" ref="J1098">_xlfn.LET(_xlpm.text, E1098,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8" s="14">
        <f t="shared" si="86"/>
        <v>46074</v>
      </c>
      <c r="L1098" s="14">
        <f t="shared" si="87"/>
        <v>46074.624664351853</v>
      </c>
      <c r="N1098" s="12"/>
    </row>
    <row r="1099" spans="1:14" x14ac:dyDescent="0.25">
      <c r="A1099" s="4" t="s">
        <v>1128</v>
      </c>
      <c r="B1099" s="16" t="str">
        <f t="shared" si="83"/>
        <v>Jagdamba Stone Crusher</v>
      </c>
      <c r="C1099" s="16" t="str">
        <f t="shared" si="84"/>
        <v>Jagdamba Stone Crusher(Kodasar Bidavtaan/Sujangarh/Churu)</v>
      </c>
      <c r="D1099" s="4" t="s">
        <v>1382</v>
      </c>
      <c r="E1099" s="4" t="s">
        <v>3119</v>
      </c>
      <c r="F1099" s="5">
        <v>46072.999664351853</v>
      </c>
      <c r="G1099" s="16" t="str">
        <f t="shared" si="85"/>
        <v>MasonaryStone (Gitti)</v>
      </c>
      <c r="H1099" s="4" t="s">
        <v>2727</v>
      </c>
      <c r="I1099" s="18" t="str" cm="1">
        <f t="array" ref="I1099">_xlfn.LET(_xlpm.text, D1099,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099" s="18" t="str" cm="1">
        <f t="array" ref="J1099">_xlfn.LET(_xlpm.text, E1099,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099" s="14">
        <f t="shared" si="86"/>
        <v>46073</v>
      </c>
      <c r="L1099" s="14">
        <f t="shared" si="87"/>
        <v>46073.624664351853</v>
      </c>
      <c r="N1099" s="12"/>
    </row>
    <row r="1100" spans="1:14" x14ac:dyDescent="0.25">
      <c r="A1100" s="4" t="s">
        <v>1129</v>
      </c>
      <c r="B1100" s="16" t="str">
        <f t="shared" si="83"/>
        <v>Jagdamba Stone Crusher</v>
      </c>
      <c r="C1100" s="16" t="str">
        <f t="shared" si="84"/>
        <v>Jagdamba Stone Crusher(Kodasar Bidavtaan/Sujangarh/Churu)</v>
      </c>
      <c r="D1100" s="4" t="s">
        <v>1382</v>
      </c>
      <c r="E1100" s="4" t="s">
        <v>3119</v>
      </c>
      <c r="F1100" s="5">
        <v>46072.999664351853</v>
      </c>
      <c r="G1100" s="16" t="str">
        <f t="shared" si="85"/>
        <v>MasonaryStone (Gitti)</v>
      </c>
      <c r="H1100" s="4" t="s">
        <v>2789</v>
      </c>
      <c r="I1100" s="18" t="str" cm="1">
        <f t="array" ref="I1100">_xlfn.LET(_xlpm.text, D1100,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0" s="18" t="str" cm="1">
        <f t="array" ref="J1100">_xlfn.LET(_xlpm.text, E1100,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0" s="14">
        <f t="shared" si="86"/>
        <v>46073</v>
      </c>
      <c r="L1100" s="14">
        <f t="shared" si="87"/>
        <v>46073.624664351853</v>
      </c>
      <c r="N1100" s="12"/>
    </row>
    <row r="1101" spans="1:14" x14ac:dyDescent="0.25">
      <c r="A1101" s="4" t="s">
        <v>1130</v>
      </c>
      <c r="B1101" s="16" t="str">
        <f t="shared" si="83"/>
        <v>Jagdamba Stone Crusher</v>
      </c>
      <c r="C1101" s="16" t="str">
        <f t="shared" si="84"/>
        <v>Jagdamba Stone Crusher(Kodasar Bidavtaan/Sujangarh/Churu)</v>
      </c>
      <c r="D1101" s="4" t="s">
        <v>1382</v>
      </c>
      <c r="E1101" s="4" t="s">
        <v>3119</v>
      </c>
      <c r="F1101" s="5">
        <v>46073.999664351853</v>
      </c>
      <c r="G1101" s="16" t="str">
        <f t="shared" si="85"/>
        <v>MasonaryStone (Gitti)</v>
      </c>
      <c r="H1101" s="4" t="s">
        <v>2791</v>
      </c>
      <c r="I1101" s="18" t="str" cm="1">
        <f t="array" ref="I1101">_xlfn.LET(_xlpm.text, D1101,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1" s="18" t="str" cm="1">
        <f t="array" ref="J1101">_xlfn.LET(_xlpm.text, E1101,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1" s="14">
        <f t="shared" si="86"/>
        <v>46074</v>
      </c>
      <c r="L1101" s="14">
        <f t="shared" si="87"/>
        <v>46074.624664351853</v>
      </c>
      <c r="N1101" s="12"/>
    </row>
    <row r="1102" spans="1:14" x14ac:dyDescent="0.25">
      <c r="A1102" s="4" t="s">
        <v>1131</v>
      </c>
      <c r="B1102" s="16" t="str">
        <f t="shared" si="83"/>
        <v>Jagdamba Stone Crusher</v>
      </c>
      <c r="C1102" s="16" t="str">
        <f t="shared" si="84"/>
        <v>Jagdamba Stone Crusher(Kodasar Bidavtaan/Sujangarh/Churu)</v>
      </c>
      <c r="D1102" s="4" t="s">
        <v>1382</v>
      </c>
      <c r="E1102" s="4" t="s">
        <v>3119</v>
      </c>
      <c r="F1102" s="5">
        <v>46072.999664351853</v>
      </c>
      <c r="G1102" s="16" t="str">
        <f t="shared" si="85"/>
        <v>MasonaryStone (Gitti)</v>
      </c>
      <c r="H1102" s="4" t="s">
        <v>2792</v>
      </c>
      <c r="I1102" s="18" t="str" cm="1">
        <f t="array" ref="I1102">_xlfn.LET(_xlpm.text, D1102,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2" s="18" t="str" cm="1">
        <f t="array" ref="J1102">_xlfn.LET(_xlpm.text, E1102,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2" s="14">
        <f t="shared" si="86"/>
        <v>46073</v>
      </c>
      <c r="L1102" s="14">
        <f t="shared" si="87"/>
        <v>46073.624664351853</v>
      </c>
      <c r="N1102" s="12"/>
    </row>
    <row r="1103" spans="1:14" x14ac:dyDescent="0.25">
      <c r="A1103" s="4" t="s">
        <v>1132</v>
      </c>
      <c r="B1103" s="16" t="str">
        <f t="shared" si="83"/>
        <v>Jagdamba Stone Crusher</v>
      </c>
      <c r="C1103" s="16" t="str">
        <f t="shared" si="84"/>
        <v>Jagdamba Stone Crusher(Kodasar Bidavtaan/Sujangarh/Churu)</v>
      </c>
      <c r="D1103" s="4" t="s">
        <v>1382</v>
      </c>
      <c r="E1103" s="4" t="s">
        <v>3119</v>
      </c>
      <c r="F1103" s="5">
        <v>46073.999664351853</v>
      </c>
      <c r="G1103" s="16" t="str">
        <f t="shared" si="85"/>
        <v>MasonaryStone (Gitti)</v>
      </c>
      <c r="H1103" s="4" t="s">
        <v>2793</v>
      </c>
      <c r="I1103" s="18" t="str" cm="1">
        <f t="array" ref="I1103">_xlfn.LET(_xlpm.text, D1103,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3" s="18" t="str" cm="1">
        <f t="array" ref="J1103">_xlfn.LET(_xlpm.text, E1103,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3" s="14">
        <f t="shared" si="86"/>
        <v>46074</v>
      </c>
      <c r="L1103" s="14">
        <f t="shared" si="87"/>
        <v>46074.624664351853</v>
      </c>
      <c r="N1103" s="12"/>
    </row>
    <row r="1104" spans="1:14" x14ac:dyDescent="0.25">
      <c r="A1104" s="4" t="s">
        <v>1133</v>
      </c>
      <c r="B1104" s="16" t="str">
        <f t="shared" si="83"/>
        <v>Jagdamba Stone Crusher</v>
      </c>
      <c r="C1104" s="16" t="str">
        <f t="shared" si="84"/>
        <v>Jagdamba Stone Crusher(Kodasar Bidavtaan/Sujangarh/Churu)</v>
      </c>
      <c r="D1104" s="4" t="s">
        <v>1382</v>
      </c>
      <c r="E1104" s="4" t="s">
        <v>3119</v>
      </c>
      <c r="F1104" s="5">
        <v>46073.999664351853</v>
      </c>
      <c r="G1104" s="16" t="str">
        <f t="shared" si="85"/>
        <v>MasonaryStone (Gitti)</v>
      </c>
      <c r="H1104" s="4" t="s">
        <v>2794</v>
      </c>
      <c r="I1104" s="18" t="str" cm="1">
        <f t="array" ref="I1104">_xlfn.LET(_xlpm.text, D1104,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4" s="18" t="str" cm="1">
        <f t="array" ref="J1104">_xlfn.LET(_xlpm.text, E1104,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4" s="14">
        <f t="shared" si="86"/>
        <v>46074</v>
      </c>
      <c r="L1104" s="14">
        <f t="shared" si="87"/>
        <v>46074.624664351853</v>
      </c>
      <c r="N1104" s="12"/>
    </row>
    <row r="1105" spans="1:14" x14ac:dyDescent="0.25">
      <c r="A1105" s="4" t="s">
        <v>1134</v>
      </c>
      <c r="B1105" s="16" t="str">
        <f t="shared" si="83"/>
        <v>Jagdamba Stone Crusher</v>
      </c>
      <c r="C1105" s="16" t="str">
        <f t="shared" si="84"/>
        <v>Jagdamba Stone Crusher(Kodasar Bidavtaan/Sujangarh/Churu)</v>
      </c>
      <c r="D1105" s="4" t="s">
        <v>1382</v>
      </c>
      <c r="E1105" s="4" t="s">
        <v>3119</v>
      </c>
      <c r="F1105" s="5">
        <v>46073.999664351853</v>
      </c>
      <c r="G1105" s="16" t="str">
        <f t="shared" si="85"/>
        <v>MasonaryStone (Gitti)</v>
      </c>
      <c r="H1105" s="4" t="s">
        <v>2648</v>
      </c>
      <c r="I1105" s="18" t="str" cm="1">
        <f t="array" ref="I1105">_xlfn.LET(_xlpm.text, D1105,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5" s="18" t="str" cm="1">
        <f t="array" ref="J1105">_xlfn.LET(_xlpm.text, E1105,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5" s="14">
        <f t="shared" si="86"/>
        <v>46074</v>
      </c>
      <c r="L1105" s="14">
        <f t="shared" si="87"/>
        <v>46074.624664351853</v>
      </c>
      <c r="N1105" s="12"/>
    </row>
    <row r="1106" spans="1:14" x14ac:dyDescent="0.25">
      <c r="A1106" s="4" t="s">
        <v>1135</v>
      </c>
      <c r="B1106" s="16" t="str">
        <f t="shared" si="83"/>
        <v>Jagdamba Stone Crusher</v>
      </c>
      <c r="C1106" s="16" t="str">
        <f t="shared" si="84"/>
        <v>Jagdamba Stone Crusher(Kodasar Bidavtaan/Sujangarh/Churu)</v>
      </c>
      <c r="D1106" s="4" t="s">
        <v>1382</v>
      </c>
      <c r="E1106" s="4" t="s">
        <v>3119</v>
      </c>
      <c r="F1106" s="5">
        <v>46072.999664351853</v>
      </c>
      <c r="G1106" s="16" t="str">
        <f t="shared" si="85"/>
        <v>MasonaryStone (Gitti)</v>
      </c>
      <c r="H1106" s="4" t="s">
        <v>2726</v>
      </c>
      <c r="I1106" s="18" t="str" cm="1">
        <f t="array" ref="I1106">_xlfn.LET(_xlpm.text, D1106,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6" s="18" t="str" cm="1">
        <f t="array" ref="J1106">_xlfn.LET(_xlpm.text, E1106,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6" s="14">
        <f t="shared" si="86"/>
        <v>46073</v>
      </c>
      <c r="L1106" s="14">
        <f t="shared" si="87"/>
        <v>46073.624664351853</v>
      </c>
      <c r="N1106" s="12"/>
    </row>
    <row r="1107" spans="1:14" x14ac:dyDescent="0.25">
      <c r="A1107" s="4" t="s">
        <v>1136</v>
      </c>
      <c r="B1107" s="16" t="str">
        <f t="shared" si="83"/>
        <v>Jagdamba Stone Crusher</v>
      </c>
      <c r="C1107" s="16" t="str">
        <f t="shared" si="84"/>
        <v>Jagdamba Stone Crusher(Kodasar Bidavtaan/Sujangarh/Churu)</v>
      </c>
      <c r="D1107" s="4" t="s">
        <v>1382</v>
      </c>
      <c r="E1107" s="4" t="s">
        <v>3119</v>
      </c>
      <c r="F1107" s="5">
        <v>46073.999664351853</v>
      </c>
      <c r="G1107" s="16" t="str">
        <f t="shared" si="85"/>
        <v>MasonaryStone (Gitti)</v>
      </c>
      <c r="H1107" s="4" t="s">
        <v>2795</v>
      </c>
      <c r="I1107" s="18" t="str" cm="1">
        <f t="array" ref="I1107">_xlfn.LET(_xlpm.text, D1107,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7" s="18" t="str" cm="1">
        <f t="array" ref="J1107">_xlfn.LET(_xlpm.text, E1107,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7" s="14">
        <f t="shared" si="86"/>
        <v>46074</v>
      </c>
      <c r="L1107" s="14">
        <f t="shared" si="87"/>
        <v>46074.624664351853</v>
      </c>
      <c r="N1107" s="12"/>
    </row>
    <row r="1108" spans="1:14" x14ac:dyDescent="0.25">
      <c r="A1108" s="4" t="s">
        <v>1137</v>
      </c>
      <c r="B1108" s="16" t="str">
        <f t="shared" si="83"/>
        <v>Jagdamba Stone Crusher</v>
      </c>
      <c r="C1108" s="16" t="str">
        <f t="shared" si="84"/>
        <v>Jagdamba Stone Crusher(Kodasar Bidavtaan/Sujangarh/Churu)</v>
      </c>
      <c r="D1108" s="4" t="s">
        <v>1382</v>
      </c>
      <c r="E1108" s="4" t="s">
        <v>3119</v>
      </c>
      <c r="F1108" s="5">
        <v>46073.999664351853</v>
      </c>
      <c r="G1108" s="16" t="str">
        <f t="shared" si="85"/>
        <v>MasonaryStone (Gitti)</v>
      </c>
      <c r="H1108" s="4" t="s">
        <v>2796</v>
      </c>
      <c r="I1108" s="18" t="str" cm="1">
        <f t="array" ref="I1108">_xlfn.LET(_xlpm.text, D1108,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8" s="18" t="str" cm="1">
        <f t="array" ref="J1108">_xlfn.LET(_xlpm.text, E1108,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8" s="14">
        <f t="shared" si="86"/>
        <v>46074</v>
      </c>
      <c r="L1108" s="14">
        <f t="shared" si="87"/>
        <v>46074.624664351853</v>
      </c>
      <c r="N1108" s="12"/>
    </row>
    <row r="1109" spans="1:14" x14ac:dyDescent="0.25">
      <c r="A1109" s="4" t="s">
        <v>1138</v>
      </c>
      <c r="B1109" s="16" t="str">
        <f t="shared" si="83"/>
        <v>Jagdamba Stone Crusher</v>
      </c>
      <c r="C1109" s="16" t="str">
        <f t="shared" si="84"/>
        <v>Jagdamba Stone Crusher(Kodasar Bidavtaan/Sujangarh/Churu)</v>
      </c>
      <c r="D1109" s="4" t="s">
        <v>1382</v>
      </c>
      <c r="E1109" s="4" t="s">
        <v>3119</v>
      </c>
      <c r="F1109" s="5">
        <v>46072.999664351853</v>
      </c>
      <c r="G1109" s="16" t="str">
        <f t="shared" si="85"/>
        <v>MasonaryStone (Gitti)</v>
      </c>
      <c r="H1109" s="4" t="s">
        <v>2797</v>
      </c>
      <c r="I1109" s="18" t="str" cm="1">
        <f t="array" ref="I1109">_xlfn.LET(_xlpm.text, D1109,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109" s="18" t="str" cm="1">
        <f t="array" ref="J1109">_xlfn.LET(_xlpm.text, E1109,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09" s="14">
        <f t="shared" si="86"/>
        <v>46073</v>
      </c>
      <c r="L1109" s="14">
        <f t="shared" si="87"/>
        <v>46073.624664351853</v>
      </c>
      <c r="N1109" s="12"/>
    </row>
    <row r="1110" spans="1:14" x14ac:dyDescent="0.25">
      <c r="A1110" s="4" t="s">
        <v>1139</v>
      </c>
      <c r="B1110" s="16" t="str">
        <f t="shared" si="83"/>
        <v>Jagdamba Stone Crusher</v>
      </c>
      <c r="C1110" s="16" t="str">
        <f t="shared" si="84"/>
        <v>Jagdamba Stone Crusher(Kodasar Bidavtaan/Sujangarh/Churu)</v>
      </c>
      <c r="D1110" s="4" t="s">
        <v>3032</v>
      </c>
      <c r="E1110" s="4" t="s">
        <v>3119</v>
      </c>
      <c r="F1110" s="5">
        <v>46078.999664351853</v>
      </c>
      <c r="G1110" s="16" t="str">
        <f t="shared" si="85"/>
        <v>MasonaryStone (Gitti)</v>
      </c>
      <c r="H1110" s="4" t="s">
        <v>2798</v>
      </c>
      <c r="I1110" s="18" t="str" cm="1">
        <f t="array" ref="I1110">_xlfn.LET(_xlpm.text, D1110,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0" s="18" t="str" cm="1">
        <f t="array" ref="J1110">_xlfn.LET(_xlpm.text, E1110,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0" s="14">
        <f t="shared" si="86"/>
        <v>46079</v>
      </c>
      <c r="L1110" s="14">
        <f t="shared" si="87"/>
        <v>46079.624664351853</v>
      </c>
      <c r="N1110" s="12"/>
    </row>
    <row r="1111" spans="1:14" x14ac:dyDescent="0.25">
      <c r="A1111" s="4" t="s">
        <v>1140</v>
      </c>
      <c r="B1111" s="16" t="str">
        <f t="shared" si="83"/>
        <v>Jagdamba Stone Crusher</v>
      </c>
      <c r="C1111" s="16" t="str">
        <f t="shared" si="84"/>
        <v>Jagdamba Stone Crusher(Kodasar Bidavtaan/Sujangarh/Churu)</v>
      </c>
      <c r="D1111" s="4" t="s">
        <v>3032</v>
      </c>
      <c r="E1111" s="4" t="s">
        <v>3119</v>
      </c>
      <c r="F1111" s="5">
        <v>46078.999664351853</v>
      </c>
      <c r="G1111" s="16" t="str">
        <f t="shared" si="85"/>
        <v>MasonaryStone (Gitti)</v>
      </c>
      <c r="H1111" s="4" t="s">
        <v>2799</v>
      </c>
      <c r="I1111" s="18" t="str" cm="1">
        <f t="array" ref="I1111">_xlfn.LET(_xlpm.text, D1111,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1" s="18" t="str" cm="1">
        <f t="array" ref="J1111">_xlfn.LET(_xlpm.text, E1111,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1" s="14">
        <f t="shared" si="86"/>
        <v>46079</v>
      </c>
      <c r="L1111" s="14">
        <f t="shared" si="87"/>
        <v>46079.624664351853</v>
      </c>
      <c r="N1111" s="12"/>
    </row>
    <row r="1112" spans="1:14" x14ac:dyDescent="0.25">
      <c r="A1112" s="4" t="s">
        <v>1141</v>
      </c>
      <c r="B1112" s="16" t="str">
        <f t="shared" si="83"/>
        <v>Jagdamba Stone Crusher</v>
      </c>
      <c r="C1112" s="16" t="str">
        <f t="shared" si="84"/>
        <v>Jagdamba Stone Crusher(Kodasar Bidavtaan/Sujangarh/Churu)</v>
      </c>
      <c r="D1112" s="4" t="s">
        <v>3032</v>
      </c>
      <c r="E1112" s="4" t="s">
        <v>3119</v>
      </c>
      <c r="F1112" s="5">
        <v>46078.999664351853</v>
      </c>
      <c r="G1112" s="16" t="str">
        <f t="shared" si="85"/>
        <v>MasonaryStone (Gitti)</v>
      </c>
      <c r="H1112" s="4" t="s">
        <v>2648</v>
      </c>
      <c r="I1112" s="18" t="str" cm="1">
        <f t="array" ref="I1112">_xlfn.LET(_xlpm.text, D1112,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2" s="18" t="str" cm="1">
        <f t="array" ref="J1112">_xlfn.LET(_xlpm.text, E1112,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2" s="14">
        <f t="shared" si="86"/>
        <v>46079</v>
      </c>
      <c r="L1112" s="14">
        <f t="shared" si="87"/>
        <v>46079.624664351853</v>
      </c>
      <c r="N1112" s="12"/>
    </row>
    <row r="1113" spans="1:14" x14ac:dyDescent="0.25">
      <c r="A1113" s="4" t="s">
        <v>1142</v>
      </c>
      <c r="B1113" s="16" t="str">
        <f t="shared" si="83"/>
        <v>Jagdamba Stone Crusher</v>
      </c>
      <c r="C1113" s="16" t="str">
        <f t="shared" si="84"/>
        <v>Jagdamba Stone Crusher(Kodasar Bidavtaan/Sujangarh/Churu)</v>
      </c>
      <c r="D1113" s="4" t="s">
        <v>3032</v>
      </c>
      <c r="E1113" s="4" t="s">
        <v>3119</v>
      </c>
      <c r="F1113" s="5">
        <v>46078.999664351853</v>
      </c>
      <c r="G1113" s="16" t="str">
        <f t="shared" si="85"/>
        <v>MasonaryStone (Gitti)</v>
      </c>
      <c r="H1113" s="4" t="s">
        <v>2800</v>
      </c>
      <c r="I1113" s="18" t="str" cm="1">
        <f t="array" ref="I1113">_xlfn.LET(_xlpm.text, D1113,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3" s="18" t="str" cm="1">
        <f t="array" ref="J1113">_xlfn.LET(_xlpm.text, E1113,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3" s="14">
        <f t="shared" si="86"/>
        <v>46079</v>
      </c>
      <c r="L1113" s="14">
        <f t="shared" si="87"/>
        <v>46079.624664351853</v>
      </c>
      <c r="N1113" s="12"/>
    </row>
    <row r="1114" spans="1:14" x14ac:dyDescent="0.25">
      <c r="A1114" s="4" t="s">
        <v>1143</v>
      </c>
      <c r="B1114" s="16" t="str">
        <f t="shared" si="83"/>
        <v>Jagdamba Stone Crusher</v>
      </c>
      <c r="C1114" s="16" t="str">
        <f t="shared" si="84"/>
        <v>Jagdamba Stone Crusher(Kodasar Bidavtaan/Sujangarh/Churu)</v>
      </c>
      <c r="D1114" s="4" t="s">
        <v>3032</v>
      </c>
      <c r="E1114" s="4" t="s">
        <v>3119</v>
      </c>
      <c r="F1114" s="5">
        <v>46078.999664351853</v>
      </c>
      <c r="G1114" s="16" t="str">
        <f t="shared" si="85"/>
        <v>MasonaryStone (Gitti)</v>
      </c>
      <c r="H1114" s="4" t="s">
        <v>2801</v>
      </c>
      <c r="I1114" s="18" t="str" cm="1">
        <f t="array" ref="I1114">_xlfn.LET(_xlpm.text, D1114,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4" s="18" t="str" cm="1">
        <f t="array" ref="J1114">_xlfn.LET(_xlpm.text, E1114,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4" s="14">
        <f t="shared" si="86"/>
        <v>46079</v>
      </c>
      <c r="L1114" s="14">
        <f t="shared" si="87"/>
        <v>46079.624664351853</v>
      </c>
      <c r="N1114" s="12"/>
    </row>
    <row r="1115" spans="1:14" x14ac:dyDescent="0.25">
      <c r="A1115" s="4" t="s">
        <v>1144</v>
      </c>
      <c r="B1115" s="16" t="str">
        <f t="shared" si="83"/>
        <v>Jagdamba Stone Crusher</v>
      </c>
      <c r="C1115" s="16" t="str">
        <f t="shared" si="84"/>
        <v>Jagdamba Stone Crusher(Kodasar Bidavtaan/Sujangarh/Churu)</v>
      </c>
      <c r="D1115" s="4" t="s">
        <v>3032</v>
      </c>
      <c r="E1115" s="4" t="s">
        <v>3119</v>
      </c>
      <c r="F1115" s="5">
        <v>46078.999664351853</v>
      </c>
      <c r="G1115" s="16" t="str">
        <f t="shared" si="85"/>
        <v>MasonaryStone (Gitti)</v>
      </c>
      <c r="H1115" s="4" t="s">
        <v>2648</v>
      </c>
      <c r="I1115" s="18" t="str" cm="1">
        <f t="array" ref="I1115">_xlfn.LET(_xlpm.text, D1115,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5" s="18" t="str" cm="1">
        <f t="array" ref="J1115">_xlfn.LET(_xlpm.text, E1115,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5" s="14">
        <f t="shared" si="86"/>
        <v>46079</v>
      </c>
      <c r="L1115" s="14">
        <f t="shared" si="87"/>
        <v>46079.624664351853</v>
      </c>
      <c r="N1115" s="12"/>
    </row>
    <row r="1116" spans="1:14" x14ac:dyDescent="0.25">
      <c r="A1116" s="4" t="s">
        <v>1145</v>
      </c>
      <c r="B1116" s="16" t="str">
        <f t="shared" si="83"/>
        <v>Jagdamba Stone Crusher</v>
      </c>
      <c r="C1116" s="16" t="str">
        <f t="shared" si="84"/>
        <v>Jagdamba Stone Crusher(Kodasar Bidavtaan/Sujangarh/Churu)</v>
      </c>
      <c r="D1116" s="4" t="s">
        <v>3032</v>
      </c>
      <c r="E1116" s="4" t="s">
        <v>3119</v>
      </c>
      <c r="F1116" s="5">
        <v>46078.999664351853</v>
      </c>
      <c r="G1116" s="16" t="str">
        <f t="shared" si="85"/>
        <v>MasonaryStone (Gitti)</v>
      </c>
      <c r="H1116" s="4" t="s">
        <v>2802</v>
      </c>
      <c r="I1116" s="18" t="str" cm="1">
        <f t="array" ref="I1116">_xlfn.LET(_xlpm.text, D1116,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6" s="18" t="str" cm="1">
        <f t="array" ref="J1116">_xlfn.LET(_xlpm.text, E1116,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6" s="14">
        <f t="shared" si="86"/>
        <v>46079</v>
      </c>
      <c r="L1116" s="14">
        <f t="shared" si="87"/>
        <v>46079.624664351853</v>
      </c>
      <c r="N1116" s="12"/>
    </row>
    <row r="1117" spans="1:14" x14ac:dyDescent="0.25">
      <c r="A1117" s="4" t="s">
        <v>1146</v>
      </c>
      <c r="B1117" s="16" t="str">
        <f t="shared" si="83"/>
        <v>Jagdamba Stone Crusher</v>
      </c>
      <c r="C1117" s="16" t="str">
        <f t="shared" si="84"/>
        <v>Jagdamba Stone Crusher(Kodasar Bidavtaan/Sujangarh/Churu)</v>
      </c>
      <c r="D1117" s="4" t="s">
        <v>3032</v>
      </c>
      <c r="E1117" s="4" t="s">
        <v>3119</v>
      </c>
      <c r="F1117" s="5">
        <v>46078.999664351853</v>
      </c>
      <c r="G1117" s="16" t="str">
        <f t="shared" si="85"/>
        <v>MasonaryStone (Gitti)</v>
      </c>
      <c r="H1117" s="4" t="s">
        <v>2803</v>
      </c>
      <c r="I1117" s="18" t="str" cm="1">
        <f t="array" ref="I1117">_xlfn.LET(_xlpm.text, D1117,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7" s="18" t="str" cm="1">
        <f t="array" ref="J1117">_xlfn.LET(_xlpm.text, E1117,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7" s="14">
        <f t="shared" si="86"/>
        <v>46079</v>
      </c>
      <c r="L1117" s="14">
        <f t="shared" si="87"/>
        <v>46079.624664351853</v>
      </c>
      <c r="N1117" s="12"/>
    </row>
    <row r="1118" spans="1:14" x14ac:dyDescent="0.25">
      <c r="A1118" s="4" t="s">
        <v>1147</v>
      </c>
      <c r="B1118" s="16" t="str">
        <f t="shared" si="83"/>
        <v>Jagdamba Stone Crusher</v>
      </c>
      <c r="C1118" s="16" t="str">
        <f t="shared" si="84"/>
        <v>Jagdamba Stone Crusher(Kodasar Bidavtaan/Sujangarh/Churu)</v>
      </c>
      <c r="D1118" s="4" t="s">
        <v>3032</v>
      </c>
      <c r="E1118" s="4" t="s">
        <v>3119</v>
      </c>
      <c r="F1118" s="5">
        <v>46078.999664351853</v>
      </c>
      <c r="G1118" s="16" t="str">
        <f t="shared" si="85"/>
        <v>MasonaryStone (Gitti)</v>
      </c>
      <c r="H1118" s="4" t="s">
        <v>2804</v>
      </c>
      <c r="I1118" s="18" t="str" cm="1">
        <f t="array" ref="I1118">_xlfn.LET(_xlpm.text, D1118,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8" s="18" t="str" cm="1">
        <f t="array" ref="J1118">_xlfn.LET(_xlpm.text, E1118,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8" s="14">
        <f t="shared" si="86"/>
        <v>46079</v>
      </c>
      <c r="L1118" s="14">
        <f t="shared" si="87"/>
        <v>46079.624664351853</v>
      </c>
      <c r="N1118" s="12"/>
    </row>
    <row r="1119" spans="1:14" x14ac:dyDescent="0.25">
      <c r="A1119" s="4" t="s">
        <v>1148</v>
      </c>
      <c r="B1119" s="16" t="str">
        <f t="shared" si="83"/>
        <v>Jagdamba Stone Crusher</v>
      </c>
      <c r="C1119" s="16" t="str">
        <f t="shared" si="84"/>
        <v>Jagdamba Stone Crusher(Kodasar Bidavtaan/Sujangarh/Churu)</v>
      </c>
      <c r="D1119" s="4" t="s">
        <v>3032</v>
      </c>
      <c r="E1119" s="4" t="s">
        <v>3119</v>
      </c>
      <c r="F1119" s="5">
        <v>46078.999664351853</v>
      </c>
      <c r="G1119" s="16" t="str">
        <f t="shared" si="85"/>
        <v>MasonaryStone (Gitti)</v>
      </c>
      <c r="H1119" s="4" t="s">
        <v>2727</v>
      </c>
      <c r="I1119" s="18" t="str" cm="1">
        <f t="array" ref="I1119">_xlfn.LET(_xlpm.text, D1119,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19" s="18" t="str" cm="1">
        <f t="array" ref="J1119">_xlfn.LET(_xlpm.text, E1119,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19" s="14">
        <f t="shared" si="86"/>
        <v>46079</v>
      </c>
      <c r="L1119" s="14">
        <f t="shared" si="87"/>
        <v>46079.624664351853</v>
      </c>
      <c r="N1119" s="12"/>
    </row>
    <row r="1120" spans="1:14" x14ac:dyDescent="0.25">
      <c r="A1120" s="4" t="s">
        <v>1149</v>
      </c>
      <c r="B1120" s="16" t="str">
        <f t="shared" si="83"/>
        <v>Jagdamba Stone Crusher</v>
      </c>
      <c r="C1120" s="16" t="str">
        <f t="shared" si="84"/>
        <v>Jagdamba Stone Crusher(Kodasar Bidavtaan/Sujangarh/Churu)</v>
      </c>
      <c r="D1120" s="4" t="s">
        <v>3032</v>
      </c>
      <c r="E1120" s="4" t="s">
        <v>3119</v>
      </c>
      <c r="F1120" s="5">
        <v>46078.999664351853</v>
      </c>
      <c r="G1120" s="16" t="str">
        <f t="shared" si="85"/>
        <v>MasonaryStone (Gitti)</v>
      </c>
      <c r="H1120" s="4" t="s">
        <v>2617</v>
      </c>
      <c r="I1120" s="18" t="str" cm="1">
        <f t="array" ref="I1120">_xlfn.LET(_xlpm.text, D1120,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0" s="18" t="str" cm="1">
        <f t="array" ref="J1120">_xlfn.LET(_xlpm.text, E1120,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0" s="14">
        <f t="shared" si="86"/>
        <v>46079</v>
      </c>
      <c r="L1120" s="14">
        <f t="shared" si="87"/>
        <v>46079.624664351853</v>
      </c>
      <c r="N1120" s="12"/>
    </row>
    <row r="1121" spans="1:14" x14ac:dyDescent="0.25">
      <c r="A1121" s="4" t="s">
        <v>1150</v>
      </c>
      <c r="B1121" s="16" t="str">
        <f t="shared" si="83"/>
        <v>Jagdamba Stone Crusher</v>
      </c>
      <c r="C1121" s="16" t="str">
        <f t="shared" si="84"/>
        <v>Jagdamba Stone Crusher(Kodasar Bidavtaan/Sujangarh/Churu)</v>
      </c>
      <c r="D1121" s="4" t="s">
        <v>3032</v>
      </c>
      <c r="E1121" s="4" t="s">
        <v>3119</v>
      </c>
      <c r="F1121" s="5">
        <v>46078.999664351853</v>
      </c>
      <c r="G1121" s="16" t="str">
        <f t="shared" si="85"/>
        <v>MasonaryStone (Gitti)</v>
      </c>
      <c r="H1121" s="4" t="s">
        <v>2791</v>
      </c>
      <c r="I1121" s="18" t="str" cm="1">
        <f t="array" ref="I1121">_xlfn.LET(_xlpm.text, D1121,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1" s="18" t="str" cm="1">
        <f t="array" ref="J1121">_xlfn.LET(_xlpm.text, E1121,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1" s="14">
        <f t="shared" si="86"/>
        <v>46079</v>
      </c>
      <c r="L1121" s="14">
        <f t="shared" si="87"/>
        <v>46079.624664351853</v>
      </c>
      <c r="N1121" s="12"/>
    </row>
    <row r="1122" spans="1:14" x14ac:dyDescent="0.25">
      <c r="A1122" s="4" t="s">
        <v>1151</v>
      </c>
      <c r="B1122" s="16" t="str">
        <f t="shared" si="83"/>
        <v>Jagdamba Stone Crusher</v>
      </c>
      <c r="C1122" s="16" t="str">
        <f t="shared" si="84"/>
        <v>Jagdamba Stone Crusher(Kodasar Bidavtaan/Sujangarh/Churu)</v>
      </c>
      <c r="D1122" s="4" t="s">
        <v>3032</v>
      </c>
      <c r="E1122" s="4" t="s">
        <v>3119</v>
      </c>
      <c r="F1122" s="5">
        <v>46078.999664351853</v>
      </c>
      <c r="G1122" s="16" t="str">
        <f t="shared" si="85"/>
        <v>MasonaryStone (Gitti)</v>
      </c>
      <c r="H1122" s="4" t="s">
        <v>2805</v>
      </c>
      <c r="I1122" s="18" t="str" cm="1">
        <f t="array" ref="I1122">_xlfn.LET(_xlpm.text, D1122,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2" s="18" t="str" cm="1">
        <f t="array" ref="J1122">_xlfn.LET(_xlpm.text, E1122,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2" s="14">
        <f t="shared" si="86"/>
        <v>46079</v>
      </c>
      <c r="L1122" s="14">
        <f t="shared" si="87"/>
        <v>46079.624664351853</v>
      </c>
      <c r="N1122" s="12"/>
    </row>
    <row r="1123" spans="1:14" x14ac:dyDescent="0.25">
      <c r="A1123" s="4" t="s">
        <v>1152</v>
      </c>
      <c r="B1123" s="16" t="str">
        <f t="shared" si="83"/>
        <v>Jagdamba Stone Crusher</v>
      </c>
      <c r="C1123" s="16" t="str">
        <f t="shared" si="84"/>
        <v>Jagdamba Stone Crusher(Kodasar Bidavtaan/Sujangarh/Churu)</v>
      </c>
      <c r="D1123" s="4" t="s">
        <v>3032</v>
      </c>
      <c r="E1123" s="4" t="s">
        <v>3119</v>
      </c>
      <c r="F1123" s="5">
        <v>46078.999664351853</v>
      </c>
      <c r="G1123" s="16" t="str">
        <f t="shared" si="85"/>
        <v>MasonaryStone (Gitti)</v>
      </c>
      <c r="H1123" s="4" t="s">
        <v>2802</v>
      </c>
      <c r="I1123" s="18" t="str" cm="1">
        <f t="array" ref="I1123">_xlfn.LET(_xlpm.text, D1123,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3" s="18" t="str" cm="1">
        <f t="array" ref="J1123">_xlfn.LET(_xlpm.text, E1123,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3" s="14">
        <f t="shared" si="86"/>
        <v>46079</v>
      </c>
      <c r="L1123" s="14">
        <f t="shared" si="87"/>
        <v>46079.624664351853</v>
      </c>
      <c r="N1123" s="12"/>
    </row>
    <row r="1124" spans="1:14" x14ac:dyDescent="0.25">
      <c r="A1124" s="4" t="s">
        <v>1153</v>
      </c>
      <c r="B1124" s="16" t="str">
        <f t="shared" si="83"/>
        <v>Jagdamba Stone Crusher</v>
      </c>
      <c r="C1124" s="16" t="str">
        <f t="shared" si="84"/>
        <v>Jagdamba Stone Crusher(Kodasar Bidavtaan/Sujangarh/Churu)</v>
      </c>
      <c r="D1124" s="4" t="s">
        <v>3032</v>
      </c>
      <c r="E1124" s="4" t="s">
        <v>3119</v>
      </c>
      <c r="F1124" s="5">
        <v>46078.999664351853</v>
      </c>
      <c r="G1124" s="16" t="str">
        <f t="shared" si="85"/>
        <v>MasonaryStone (Gitti)</v>
      </c>
      <c r="H1124" s="4" t="s">
        <v>2751</v>
      </c>
      <c r="I1124" s="18" t="str" cm="1">
        <f t="array" ref="I1124">_xlfn.LET(_xlpm.text, D1124,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4" s="18" t="str" cm="1">
        <f t="array" ref="J1124">_xlfn.LET(_xlpm.text, E1124,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4" s="14">
        <f t="shared" si="86"/>
        <v>46079</v>
      </c>
      <c r="L1124" s="14">
        <f t="shared" si="87"/>
        <v>46079.624664351853</v>
      </c>
      <c r="N1124" s="12"/>
    </row>
    <row r="1125" spans="1:14" x14ac:dyDescent="0.25">
      <c r="A1125" s="4" t="s">
        <v>1154</v>
      </c>
      <c r="B1125" s="16" t="str">
        <f t="shared" si="83"/>
        <v>Jagdamba Stone Crusher</v>
      </c>
      <c r="C1125" s="16" t="str">
        <f t="shared" si="84"/>
        <v>Jagdamba Stone Crusher(Kodasar Bidavtaan/Sujangarh/Churu)</v>
      </c>
      <c r="D1125" s="4" t="s">
        <v>3032</v>
      </c>
      <c r="E1125" s="4" t="s">
        <v>3119</v>
      </c>
      <c r="F1125" s="5">
        <v>46078.999664351853</v>
      </c>
      <c r="G1125" s="16" t="str">
        <f t="shared" si="85"/>
        <v>MasonaryStone (Gitti)</v>
      </c>
      <c r="H1125" s="4" t="s">
        <v>2631</v>
      </c>
      <c r="I1125" s="18" t="str" cm="1">
        <f t="array" ref="I1125">_xlfn.LET(_xlpm.text, D1125,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5" s="18" t="str" cm="1">
        <f t="array" ref="J1125">_xlfn.LET(_xlpm.text, E1125,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5" s="14">
        <f t="shared" si="86"/>
        <v>46079</v>
      </c>
      <c r="L1125" s="14">
        <f t="shared" si="87"/>
        <v>46079.624664351853</v>
      </c>
      <c r="N1125" s="12"/>
    </row>
    <row r="1126" spans="1:14" x14ac:dyDescent="0.25">
      <c r="A1126" s="4" t="s">
        <v>1155</v>
      </c>
      <c r="B1126" s="16" t="str">
        <f t="shared" si="83"/>
        <v>Jagdamba Stone Crusher</v>
      </c>
      <c r="C1126" s="16" t="str">
        <f t="shared" si="84"/>
        <v>Jagdamba Stone Crusher(Kodasar Bidavtaan/Sujangarh/Churu)</v>
      </c>
      <c r="D1126" s="4" t="s">
        <v>3032</v>
      </c>
      <c r="E1126" s="4" t="s">
        <v>3119</v>
      </c>
      <c r="F1126" s="5">
        <v>46078.999664351853</v>
      </c>
      <c r="G1126" s="16" t="str">
        <f t="shared" si="85"/>
        <v>MasonaryStone (Gitti)</v>
      </c>
      <c r="H1126" s="4" t="s">
        <v>2806</v>
      </c>
      <c r="I1126" s="18" t="str" cm="1">
        <f t="array" ref="I1126">_xlfn.LET(_xlpm.text, D1126,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6" s="18" t="str" cm="1">
        <f t="array" ref="J1126">_xlfn.LET(_xlpm.text, E1126,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6" s="14">
        <f t="shared" si="86"/>
        <v>46079</v>
      </c>
      <c r="L1126" s="14">
        <f t="shared" si="87"/>
        <v>46079.624664351853</v>
      </c>
      <c r="N1126" s="12"/>
    </row>
    <row r="1127" spans="1:14" x14ac:dyDescent="0.25">
      <c r="A1127" s="4" t="s">
        <v>1156</v>
      </c>
      <c r="B1127" s="16" t="str">
        <f t="shared" si="83"/>
        <v>Jagdamba Stone Crusher</v>
      </c>
      <c r="C1127" s="16" t="str">
        <f t="shared" si="84"/>
        <v>Jagdamba Stone Crusher(Kodasar Bidavtaan/Sujangarh/Churu)</v>
      </c>
      <c r="D1127" s="4" t="s">
        <v>3032</v>
      </c>
      <c r="E1127" s="4" t="s">
        <v>3119</v>
      </c>
      <c r="F1127" s="5">
        <v>46079.999664351853</v>
      </c>
      <c r="G1127" s="16" t="str">
        <f t="shared" si="85"/>
        <v>MasonaryStone (Gitti)</v>
      </c>
      <c r="H1127" s="4" t="s">
        <v>2807</v>
      </c>
      <c r="I1127" s="18" t="str" cm="1">
        <f t="array" ref="I1127">_xlfn.LET(_xlpm.text, D1127,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7" s="18" t="str" cm="1">
        <f t="array" ref="J1127">_xlfn.LET(_xlpm.text, E1127,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7" s="14">
        <f t="shared" si="86"/>
        <v>46080</v>
      </c>
      <c r="L1127" s="14">
        <f t="shared" si="87"/>
        <v>46080.624664351853</v>
      </c>
      <c r="N1127" s="12"/>
    </row>
    <row r="1128" spans="1:14" x14ac:dyDescent="0.25">
      <c r="A1128" s="4" t="s">
        <v>1157</v>
      </c>
      <c r="B1128" s="16" t="str">
        <f t="shared" si="83"/>
        <v>Jagdamba Stone Crusher</v>
      </c>
      <c r="C1128" s="16" t="str">
        <f t="shared" si="84"/>
        <v>Jagdamba Stone Crusher(Kodasar Bidavtaan/Sujangarh/Churu)</v>
      </c>
      <c r="D1128" s="4" t="s">
        <v>3032</v>
      </c>
      <c r="E1128" s="4" t="s">
        <v>3119</v>
      </c>
      <c r="F1128" s="5">
        <v>46079.999664351853</v>
      </c>
      <c r="G1128" s="16" t="str">
        <f t="shared" si="85"/>
        <v>MasonaryStone (Gitti)</v>
      </c>
      <c r="H1128" s="4" t="s">
        <v>2808</v>
      </c>
      <c r="I1128" s="18" t="str" cm="1">
        <f t="array" ref="I1128">_xlfn.LET(_xlpm.text, D1128,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8" s="18" t="str" cm="1">
        <f t="array" ref="J1128">_xlfn.LET(_xlpm.text, E1128,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8" s="14">
        <f t="shared" si="86"/>
        <v>46080</v>
      </c>
      <c r="L1128" s="14">
        <f t="shared" si="87"/>
        <v>46080.624664351853</v>
      </c>
      <c r="N1128" s="12"/>
    </row>
    <row r="1129" spans="1:14" x14ac:dyDescent="0.25">
      <c r="A1129" s="4" t="s">
        <v>1158</v>
      </c>
      <c r="B1129" s="16" t="str">
        <f t="shared" si="83"/>
        <v>Jagdamba Stone Crusher</v>
      </c>
      <c r="C1129" s="16" t="str">
        <f t="shared" si="84"/>
        <v>Jagdamba Stone Crusher(Kodasar Bidavtaan/Sujangarh/Churu)</v>
      </c>
      <c r="D1129" s="4" t="s">
        <v>3032</v>
      </c>
      <c r="E1129" s="4" t="s">
        <v>3119</v>
      </c>
      <c r="F1129" s="5">
        <v>46079.999664351853</v>
      </c>
      <c r="G1129" s="16" t="str">
        <f t="shared" si="85"/>
        <v>MasonaryStone (Gitti)</v>
      </c>
      <c r="H1129" s="4" t="s">
        <v>2808</v>
      </c>
      <c r="I1129" s="18" t="str" cm="1">
        <f t="array" ref="I1129">_xlfn.LET(_xlpm.text, D1129,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29" s="18" t="str" cm="1">
        <f t="array" ref="J1129">_xlfn.LET(_xlpm.text, E1129,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29" s="14">
        <f t="shared" si="86"/>
        <v>46080</v>
      </c>
      <c r="L1129" s="14">
        <f t="shared" si="87"/>
        <v>46080.624664351853</v>
      </c>
      <c r="N1129" s="12"/>
    </row>
    <row r="1130" spans="1:14" x14ac:dyDescent="0.25">
      <c r="A1130" s="4" t="s">
        <v>1159</v>
      </c>
      <c r="B1130" s="16" t="str">
        <f t="shared" si="83"/>
        <v>Jagdamba Stone Crusher</v>
      </c>
      <c r="C1130" s="16" t="str">
        <f t="shared" si="84"/>
        <v>Jagdamba Stone Crusher(Kodasar Bidavtaan/Sujangarh/Churu)</v>
      </c>
      <c r="D1130" s="4" t="s">
        <v>3032</v>
      </c>
      <c r="E1130" s="4" t="s">
        <v>3119</v>
      </c>
      <c r="F1130" s="5">
        <v>46079.999664351853</v>
      </c>
      <c r="G1130" s="16" t="str">
        <f t="shared" si="85"/>
        <v>MasonaryStone (Gitti)</v>
      </c>
      <c r="H1130" s="4" t="s">
        <v>2809</v>
      </c>
      <c r="I1130" s="18" t="str" cm="1">
        <f t="array" ref="I1130">_xlfn.LET(_xlpm.text, D1130,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30" s="18" t="str" cm="1">
        <f t="array" ref="J1130">_xlfn.LET(_xlpm.text, E1130,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0" s="14">
        <f t="shared" si="86"/>
        <v>46080</v>
      </c>
      <c r="L1130" s="14">
        <f t="shared" si="87"/>
        <v>46080.624664351853</v>
      </c>
      <c r="N1130" s="12"/>
    </row>
    <row r="1131" spans="1:14" x14ac:dyDescent="0.25">
      <c r="A1131" s="4" t="s">
        <v>1160</v>
      </c>
      <c r="B1131" s="16" t="str">
        <f t="shared" si="83"/>
        <v>Jagdamba Stone Crusher</v>
      </c>
      <c r="C1131" s="16" t="str">
        <f t="shared" si="84"/>
        <v>Jagdamba Stone Crusher(Kodasar Bidavtaan/Sujangarh/Churu)</v>
      </c>
      <c r="D1131" s="4" t="s">
        <v>3032</v>
      </c>
      <c r="E1131" s="4" t="s">
        <v>3119</v>
      </c>
      <c r="F1131" s="5">
        <v>46079.999664351853</v>
      </c>
      <c r="G1131" s="16" t="str">
        <f t="shared" si="85"/>
        <v>MasonaryStone (Gitti)</v>
      </c>
      <c r="H1131" s="4" t="s">
        <v>2810</v>
      </c>
      <c r="I1131" s="18" t="str" cm="1">
        <f t="array" ref="I1131">_xlfn.LET(_xlpm.text, D1131,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31" s="18" t="str" cm="1">
        <f t="array" ref="J1131">_xlfn.LET(_xlpm.text, E1131,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1" s="14">
        <f t="shared" si="86"/>
        <v>46080</v>
      </c>
      <c r="L1131" s="14">
        <f t="shared" si="87"/>
        <v>46080.624664351853</v>
      </c>
      <c r="N1131" s="12"/>
    </row>
    <row r="1132" spans="1:14" x14ac:dyDescent="0.25">
      <c r="A1132" s="4" t="s">
        <v>1161</v>
      </c>
      <c r="B1132" s="16" t="str">
        <f t="shared" si="83"/>
        <v>Jagdamba Stone Crusher</v>
      </c>
      <c r="C1132" s="16" t="str">
        <f t="shared" si="84"/>
        <v>Jagdamba Stone Crusher(Kodasar Bidavtaan/Sujangarh/Churu)</v>
      </c>
      <c r="D1132" s="4" t="s">
        <v>3032</v>
      </c>
      <c r="E1132" s="4" t="s">
        <v>3119</v>
      </c>
      <c r="F1132" s="5">
        <v>46079.999664351853</v>
      </c>
      <c r="G1132" s="16" t="str">
        <f t="shared" si="85"/>
        <v>MasonaryStone (Gitti)</v>
      </c>
      <c r="H1132" s="4" t="s">
        <v>2811</v>
      </c>
      <c r="I1132" s="18" t="str" cm="1">
        <f t="array" ref="I1132">_xlfn.LET(_xlpm.text, D1132,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32" s="18" t="str" cm="1">
        <f t="array" ref="J1132">_xlfn.LET(_xlpm.text, E1132,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2" s="14">
        <f t="shared" si="86"/>
        <v>46080</v>
      </c>
      <c r="L1132" s="14">
        <f t="shared" si="87"/>
        <v>46080.624664351853</v>
      </c>
      <c r="N1132" s="12"/>
    </row>
    <row r="1133" spans="1:14" x14ac:dyDescent="0.25">
      <c r="A1133" s="4" t="s">
        <v>1162</v>
      </c>
      <c r="B1133" s="16" t="str">
        <f t="shared" si="83"/>
        <v>Jagdamba Stone Crusher</v>
      </c>
      <c r="C1133" s="16" t="str">
        <f t="shared" si="84"/>
        <v>Jagdamba Stone Crusher(Kodasar Bidavtaan/Sujangarh/Churu)</v>
      </c>
      <c r="D1133" s="4" t="s">
        <v>3032</v>
      </c>
      <c r="E1133" s="4" t="s">
        <v>3119</v>
      </c>
      <c r="F1133" s="5">
        <v>46079.999664351853</v>
      </c>
      <c r="G1133" s="16" t="str">
        <f t="shared" si="85"/>
        <v>MasonaryStone (Gitti)</v>
      </c>
      <c r="H1133" s="4" t="s">
        <v>2648</v>
      </c>
      <c r="I1133" s="18" t="str" cm="1">
        <f t="array" ref="I1133">_xlfn.LET(_xlpm.text, D1133,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133" s="18" t="str" cm="1">
        <f t="array" ref="J1133">_xlfn.LET(_xlpm.text, E1133,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3" s="14">
        <f t="shared" si="86"/>
        <v>46080</v>
      </c>
      <c r="L1133" s="14">
        <f t="shared" si="87"/>
        <v>46080.624664351853</v>
      </c>
      <c r="N1133" s="12"/>
    </row>
    <row r="1134" spans="1:14" x14ac:dyDescent="0.25">
      <c r="A1134" s="4" t="s">
        <v>1163</v>
      </c>
      <c r="B1134" s="16" t="str">
        <f t="shared" si="83"/>
        <v>MAA DURGA STONE CRUSHING COMPANY</v>
      </c>
      <c r="C1134" s="16" t="str">
        <f t="shared" si="84"/>
        <v>CHADWAS(Chadwas/Bidasar/Sujangarh)</v>
      </c>
      <c r="D1134" s="4" t="s">
        <v>3035</v>
      </c>
      <c r="E1134" s="4" t="s">
        <v>3119</v>
      </c>
      <c r="F1134" s="5">
        <v>46076.999664351853</v>
      </c>
      <c r="G1134" s="16" t="str">
        <f t="shared" si="85"/>
        <v>MasonaryStone (Gitti)</v>
      </c>
      <c r="H1134" s="4" t="s">
        <v>2662</v>
      </c>
      <c r="I1134" s="18" t="str" cm="1">
        <f t="array" ref="I1134">_xlfn.LET(_xlpm.text, D1134,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34" s="18" t="str" cm="1">
        <f t="array" ref="J1134">_xlfn.LET(_xlpm.text, E1134,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4" s="14">
        <f t="shared" si="86"/>
        <v>46077</v>
      </c>
      <c r="L1134" s="14">
        <f t="shared" si="87"/>
        <v>46077.624664351853</v>
      </c>
      <c r="N1134" s="12"/>
    </row>
    <row r="1135" spans="1:14" x14ac:dyDescent="0.25">
      <c r="A1135" s="4" t="s">
        <v>1164</v>
      </c>
      <c r="B1135" s="16" t="str">
        <f t="shared" si="83"/>
        <v>MAA DURGA STONE CRUSHING COMPANY</v>
      </c>
      <c r="C1135" s="16" t="str">
        <f t="shared" si="84"/>
        <v>CHADWAS(Chadwas/Bidasar/Sujangarh)</v>
      </c>
      <c r="D1135" s="4" t="s">
        <v>3035</v>
      </c>
      <c r="E1135" s="4" t="s">
        <v>3119</v>
      </c>
      <c r="F1135" s="5">
        <v>46076.999664351853</v>
      </c>
      <c r="G1135" s="16" t="str">
        <f t="shared" si="85"/>
        <v>MasonaryStone (Gitti)</v>
      </c>
      <c r="H1135" s="4" t="s">
        <v>2402</v>
      </c>
      <c r="I1135" s="18" t="str" cm="1">
        <f t="array" ref="I1135">_xlfn.LET(_xlpm.text, D1135,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35" s="18" t="str" cm="1">
        <f t="array" ref="J1135">_xlfn.LET(_xlpm.text, E1135,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5" s="14">
        <f t="shared" si="86"/>
        <v>46077</v>
      </c>
      <c r="L1135" s="14">
        <f t="shared" si="87"/>
        <v>46077.624664351853</v>
      </c>
      <c r="N1135" s="12"/>
    </row>
    <row r="1136" spans="1:14" x14ac:dyDescent="0.25">
      <c r="A1136" s="4" t="s">
        <v>1165</v>
      </c>
      <c r="B1136" s="16" t="str">
        <f t="shared" si="83"/>
        <v>MAA DURGA STONE CRUSHING COMPANY</v>
      </c>
      <c r="C1136" s="16" t="str">
        <f t="shared" si="84"/>
        <v>CHADWAS(Chadwas/Bidasar/Sujangarh)</v>
      </c>
      <c r="D1136" s="4" t="s">
        <v>3035</v>
      </c>
      <c r="E1136" s="4" t="s">
        <v>3119</v>
      </c>
      <c r="F1136" s="5">
        <v>46082.999664351853</v>
      </c>
      <c r="G1136" s="16" t="str">
        <f t="shared" si="85"/>
        <v>MasonaryStone (Gitti)</v>
      </c>
      <c r="H1136" s="4" t="s">
        <v>2812</v>
      </c>
      <c r="I1136" s="18" t="str" cm="1">
        <f t="array" ref="I1136">_xlfn.LET(_xlpm.text, D1136,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36" s="18" t="str" cm="1">
        <f t="array" ref="J1136">_xlfn.LET(_xlpm.text, E1136,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6" s="14">
        <f t="shared" si="86"/>
        <v>46083</v>
      </c>
      <c r="L1136" s="14">
        <f t="shared" si="87"/>
        <v>46083.624664351853</v>
      </c>
      <c r="N1136" s="12"/>
    </row>
    <row r="1137" spans="1:14" x14ac:dyDescent="0.25">
      <c r="A1137" s="4" t="s">
        <v>1166</v>
      </c>
      <c r="B1137" s="16" t="str">
        <f t="shared" si="83"/>
        <v>MAA DURGA STONE CRUSHING COMPANY</v>
      </c>
      <c r="C1137" s="16" t="str">
        <f t="shared" si="84"/>
        <v>CHADWAS(Chadwas/Bidasar/Sujangarh)</v>
      </c>
      <c r="D1137" s="4" t="s">
        <v>3035</v>
      </c>
      <c r="E1137" s="4" t="s">
        <v>3119</v>
      </c>
      <c r="F1137" s="5">
        <v>46082.999664351853</v>
      </c>
      <c r="G1137" s="16" t="str">
        <f t="shared" si="85"/>
        <v>MasonaryStone (Gitti)</v>
      </c>
      <c r="H1137" s="4" t="s">
        <v>2558</v>
      </c>
      <c r="I1137" s="18" t="str" cm="1">
        <f t="array" ref="I1137">_xlfn.LET(_xlpm.text, D1137,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37" s="18" t="str" cm="1">
        <f t="array" ref="J1137">_xlfn.LET(_xlpm.text, E1137,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7" s="14">
        <f t="shared" si="86"/>
        <v>46083</v>
      </c>
      <c r="L1137" s="14">
        <f t="shared" si="87"/>
        <v>46083.624664351853</v>
      </c>
      <c r="N1137" s="12"/>
    </row>
    <row r="1138" spans="1:14" x14ac:dyDescent="0.25">
      <c r="A1138" s="4" t="s">
        <v>1167</v>
      </c>
      <c r="B1138" s="16" t="str">
        <f t="shared" si="83"/>
        <v>MAA DURGA STONE CRUSHING COMPANY</v>
      </c>
      <c r="C1138" s="16" t="str">
        <f t="shared" si="84"/>
        <v>CHADWAS(Chadwas/Bidasar/Sujangarh)</v>
      </c>
      <c r="D1138" s="4" t="s">
        <v>3035</v>
      </c>
      <c r="E1138" s="4" t="s">
        <v>3119</v>
      </c>
      <c r="F1138" s="5">
        <v>46077.999664351853</v>
      </c>
      <c r="G1138" s="16" t="str">
        <f t="shared" si="85"/>
        <v>MasonaryStone (Gitti)</v>
      </c>
      <c r="H1138" s="4" t="s">
        <v>2716</v>
      </c>
      <c r="I1138" s="18" t="str" cm="1">
        <f t="array" ref="I1138">_xlfn.LET(_xlpm.text, D1138,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38" s="18" t="str" cm="1">
        <f t="array" ref="J1138">_xlfn.LET(_xlpm.text, E1138,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8" s="14">
        <f t="shared" si="86"/>
        <v>46078</v>
      </c>
      <c r="L1138" s="14">
        <f t="shared" si="87"/>
        <v>46078.624664351853</v>
      </c>
      <c r="N1138" s="12"/>
    </row>
    <row r="1139" spans="1:14" x14ac:dyDescent="0.25">
      <c r="A1139" s="4" t="s">
        <v>1168</v>
      </c>
      <c r="B1139" s="16" t="str">
        <f t="shared" si="83"/>
        <v>MAA DURGA STONE CRUSHING COMPANY</v>
      </c>
      <c r="C1139" s="16" t="str">
        <f t="shared" si="84"/>
        <v>CHADWAS(Chadwas/Bidasar/Sujangarh)</v>
      </c>
      <c r="D1139" s="4" t="s">
        <v>3035</v>
      </c>
      <c r="E1139" s="4" t="s">
        <v>3119</v>
      </c>
      <c r="F1139" s="5">
        <v>46082.999664351853</v>
      </c>
      <c r="G1139" s="16" t="str">
        <f t="shared" si="85"/>
        <v>MasonaryStone (Gitti)</v>
      </c>
      <c r="H1139" s="4" t="s">
        <v>2663</v>
      </c>
      <c r="I1139" s="18" t="str" cm="1">
        <f t="array" ref="I1139">_xlfn.LET(_xlpm.text, D1139,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39" s="18" t="str" cm="1">
        <f t="array" ref="J1139">_xlfn.LET(_xlpm.text, E1139,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39" s="14">
        <f t="shared" si="86"/>
        <v>46083</v>
      </c>
      <c r="L1139" s="14">
        <f t="shared" si="87"/>
        <v>46083.624664351853</v>
      </c>
      <c r="N1139" s="12"/>
    </row>
    <row r="1140" spans="1:14" x14ac:dyDescent="0.25">
      <c r="A1140" s="4" t="s">
        <v>1169</v>
      </c>
      <c r="B1140" s="16" t="str">
        <f t="shared" si="83"/>
        <v>MAA DURGA STONE CRUSHING COMPANY</v>
      </c>
      <c r="C1140" s="16" t="str">
        <f t="shared" si="84"/>
        <v>CHADWAS(Chadwas/Bidasar/Sujangarh)</v>
      </c>
      <c r="D1140" s="4" t="s">
        <v>3035</v>
      </c>
      <c r="E1140" s="4" t="s">
        <v>3119</v>
      </c>
      <c r="F1140" s="5">
        <v>46086.999664351853</v>
      </c>
      <c r="G1140" s="16" t="str">
        <f t="shared" si="85"/>
        <v>MasonaryStone (Gitti)</v>
      </c>
      <c r="H1140" s="4" t="s">
        <v>2813</v>
      </c>
      <c r="I1140" s="18" t="str" cm="1">
        <f t="array" ref="I1140">_xlfn.LET(_xlpm.text, D1140,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0" s="18" t="str" cm="1">
        <f t="array" ref="J1140">_xlfn.LET(_xlpm.text, E1140,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0" s="14">
        <f t="shared" si="86"/>
        <v>46087</v>
      </c>
      <c r="L1140" s="14">
        <f t="shared" si="87"/>
        <v>46087.624664351853</v>
      </c>
      <c r="N1140" s="12"/>
    </row>
    <row r="1141" spans="1:14" x14ac:dyDescent="0.25">
      <c r="A1141" s="4" t="s">
        <v>1170</v>
      </c>
      <c r="B1141" s="16" t="str">
        <f t="shared" si="83"/>
        <v>MAA DURGA STONE CRUSHING COMPANY</v>
      </c>
      <c r="C1141" s="16" t="str">
        <f t="shared" si="84"/>
        <v>CHADWAS(Chadwas/Bidasar/Sujangarh)</v>
      </c>
      <c r="D1141" s="4" t="s">
        <v>3035</v>
      </c>
      <c r="E1141" s="4" t="s">
        <v>3119</v>
      </c>
      <c r="F1141" s="5">
        <v>46086.999664351853</v>
      </c>
      <c r="G1141" s="16" t="str">
        <f t="shared" si="85"/>
        <v>MasonaryStone (Gitti)</v>
      </c>
      <c r="H1141" s="4" t="s">
        <v>2814</v>
      </c>
      <c r="I1141" s="18" t="str" cm="1">
        <f t="array" ref="I1141">_xlfn.LET(_xlpm.text, D1141,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1" s="18" t="str" cm="1">
        <f t="array" ref="J1141">_xlfn.LET(_xlpm.text, E1141,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1" s="14">
        <f t="shared" si="86"/>
        <v>46087</v>
      </c>
      <c r="L1141" s="14">
        <f t="shared" si="87"/>
        <v>46087.624664351853</v>
      </c>
      <c r="N1141" s="12"/>
    </row>
    <row r="1142" spans="1:14" x14ac:dyDescent="0.25">
      <c r="A1142" s="4" t="s">
        <v>1171</v>
      </c>
      <c r="B1142" s="16" t="str">
        <f t="shared" si="83"/>
        <v>MAA DURGA STONE CRUSHING COMPANY</v>
      </c>
      <c r="C1142" s="16" t="str">
        <f t="shared" si="84"/>
        <v>CHADWAS(Chadwas/Bidasar/Sujangarh)</v>
      </c>
      <c r="D1142" s="4" t="s">
        <v>3035</v>
      </c>
      <c r="E1142" s="4" t="s">
        <v>3119</v>
      </c>
      <c r="F1142" s="5">
        <v>46087.999664351853</v>
      </c>
      <c r="G1142" s="16" t="str">
        <f t="shared" si="85"/>
        <v>MasonaryStone (Gitti)</v>
      </c>
      <c r="H1142" s="4" t="s">
        <v>2815</v>
      </c>
      <c r="I1142" s="18" t="str" cm="1">
        <f t="array" ref="I1142">_xlfn.LET(_xlpm.text, D1142,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2" s="18" t="str" cm="1">
        <f t="array" ref="J1142">_xlfn.LET(_xlpm.text, E1142,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2" s="14">
        <f t="shared" si="86"/>
        <v>46088</v>
      </c>
      <c r="L1142" s="14">
        <f t="shared" si="87"/>
        <v>46088.624664351853</v>
      </c>
      <c r="N1142" s="12"/>
    </row>
    <row r="1143" spans="1:14" x14ac:dyDescent="0.25">
      <c r="A1143" s="4" t="s">
        <v>1172</v>
      </c>
      <c r="B1143" s="16" t="str">
        <f t="shared" si="83"/>
        <v>MAA DURGA STONE CRUSHING COMPANY</v>
      </c>
      <c r="C1143" s="16" t="str">
        <f t="shared" si="84"/>
        <v>CHADWAS(Chadwas/Bidasar/Sujangarh)</v>
      </c>
      <c r="D1143" s="4" t="s">
        <v>3035</v>
      </c>
      <c r="E1143" s="4" t="s">
        <v>3119</v>
      </c>
      <c r="F1143" s="5">
        <v>46085.999664351853</v>
      </c>
      <c r="G1143" s="16" t="str">
        <f t="shared" si="85"/>
        <v>MasonaryStone (Gitti)</v>
      </c>
      <c r="H1143" s="4" t="s">
        <v>2664</v>
      </c>
      <c r="I1143" s="18" t="str" cm="1">
        <f t="array" ref="I1143">_xlfn.LET(_xlpm.text, D1143,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3" s="18" t="str" cm="1">
        <f t="array" ref="J1143">_xlfn.LET(_xlpm.text, E1143,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3" s="14">
        <f t="shared" si="86"/>
        <v>46086</v>
      </c>
      <c r="L1143" s="14">
        <f t="shared" si="87"/>
        <v>46086.624664351853</v>
      </c>
      <c r="N1143" s="12"/>
    </row>
    <row r="1144" spans="1:14" x14ac:dyDescent="0.25">
      <c r="A1144" s="4" t="s">
        <v>1173</v>
      </c>
      <c r="B1144" s="16" t="str">
        <f t="shared" si="83"/>
        <v>MAA DURGA STONE CRUSHING COMPANY</v>
      </c>
      <c r="C1144" s="16" t="str">
        <f t="shared" si="84"/>
        <v>CHADWAS(Chadwas/Bidasar/Sujangarh)</v>
      </c>
      <c r="D1144" s="4" t="s">
        <v>3035</v>
      </c>
      <c r="E1144" s="4" t="s">
        <v>3119</v>
      </c>
      <c r="F1144" s="5">
        <v>46085.999664351853</v>
      </c>
      <c r="G1144" s="16" t="str">
        <f t="shared" si="85"/>
        <v>MasonaryStone (Gitti)</v>
      </c>
      <c r="H1144" s="4" t="s">
        <v>2468</v>
      </c>
      <c r="I1144" s="18" t="str" cm="1">
        <f t="array" ref="I1144">_xlfn.LET(_xlpm.text, D1144,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4" s="18" t="str" cm="1">
        <f t="array" ref="J1144">_xlfn.LET(_xlpm.text, E1144,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4" s="14">
        <f t="shared" si="86"/>
        <v>46086</v>
      </c>
      <c r="L1144" s="14">
        <f t="shared" si="87"/>
        <v>46086.624664351853</v>
      </c>
      <c r="N1144" s="12"/>
    </row>
    <row r="1145" spans="1:14" x14ac:dyDescent="0.25">
      <c r="A1145" s="4" t="s">
        <v>1174</v>
      </c>
      <c r="B1145" s="16" t="str">
        <f t="shared" si="83"/>
        <v>MAA DURGA STONE CRUSHING COMPANY</v>
      </c>
      <c r="C1145" s="16" t="str">
        <f t="shared" si="84"/>
        <v>CHADWAS(Chadwas/Bidasar/Sujangarh)</v>
      </c>
      <c r="D1145" s="4" t="s">
        <v>3035</v>
      </c>
      <c r="E1145" s="4" t="s">
        <v>3119</v>
      </c>
      <c r="F1145" s="5">
        <v>46086.999664351853</v>
      </c>
      <c r="G1145" s="16" t="str">
        <f t="shared" si="85"/>
        <v>MasonaryStone (Gitti)</v>
      </c>
      <c r="H1145" s="4" t="s">
        <v>2506</v>
      </c>
      <c r="I1145" s="18" t="str" cm="1">
        <f t="array" ref="I1145">_xlfn.LET(_xlpm.text, D1145,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5" s="18" t="str" cm="1">
        <f t="array" ref="J1145">_xlfn.LET(_xlpm.text, E1145,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5" s="14">
        <f t="shared" si="86"/>
        <v>46087</v>
      </c>
      <c r="L1145" s="14">
        <f t="shared" si="87"/>
        <v>46087.624664351853</v>
      </c>
      <c r="N1145" s="12"/>
    </row>
    <row r="1146" spans="1:14" x14ac:dyDescent="0.25">
      <c r="A1146" s="4" t="s">
        <v>1175</v>
      </c>
      <c r="B1146" s="16" t="str">
        <f t="shared" si="83"/>
        <v>MAA DURGA STONE CRUSHING COMPANY</v>
      </c>
      <c r="C1146" s="16" t="str">
        <f t="shared" si="84"/>
        <v>CHADWAS(Chadwas/Bidasar/Sujangarh)</v>
      </c>
      <c r="D1146" s="4" t="s">
        <v>3035</v>
      </c>
      <c r="E1146" s="4" t="s">
        <v>3119</v>
      </c>
      <c r="F1146" s="5">
        <v>46087.999664351853</v>
      </c>
      <c r="G1146" s="16" t="str">
        <f t="shared" si="85"/>
        <v>MasonaryStone (Gitti)</v>
      </c>
      <c r="H1146" s="4" t="s">
        <v>2816</v>
      </c>
      <c r="I1146" s="18" t="str" cm="1">
        <f t="array" ref="I1146">_xlfn.LET(_xlpm.text, D1146,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6" s="18" t="str" cm="1">
        <f t="array" ref="J1146">_xlfn.LET(_xlpm.text, E1146,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6" s="14">
        <f t="shared" si="86"/>
        <v>46088</v>
      </c>
      <c r="L1146" s="14">
        <f t="shared" si="87"/>
        <v>46088.624664351853</v>
      </c>
      <c r="N1146" s="12"/>
    </row>
    <row r="1147" spans="1:14" x14ac:dyDescent="0.25">
      <c r="A1147" s="4" t="s">
        <v>1176</v>
      </c>
      <c r="B1147" s="16" t="str">
        <f t="shared" si="83"/>
        <v>MAA DURGA STONE CRUSHING COMPANY</v>
      </c>
      <c r="C1147" s="16" t="str">
        <f t="shared" si="84"/>
        <v>CHADWAS(Chadwas/Bidasar/Sujangarh)</v>
      </c>
      <c r="D1147" s="4" t="s">
        <v>3035</v>
      </c>
      <c r="E1147" s="4" t="s">
        <v>3119</v>
      </c>
      <c r="F1147" s="5">
        <v>46087.999664351853</v>
      </c>
      <c r="G1147" s="16" t="str">
        <f t="shared" si="85"/>
        <v>MasonaryStone (Gitti)</v>
      </c>
      <c r="H1147" s="4" t="s">
        <v>2817</v>
      </c>
      <c r="I1147" s="18" t="str" cm="1">
        <f t="array" ref="I1147">_xlfn.LET(_xlpm.text, D1147,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7" s="18" t="str" cm="1">
        <f t="array" ref="J1147">_xlfn.LET(_xlpm.text, E1147,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7" s="14">
        <f t="shared" si="86"/>
        <v>46088</v>
      </c>
      <c r="L1147" s="14">
        <f t="shared" si="87"/>
        <v>46088.624664351853</v>
      </c>
      <c r="N1147" s="12"/>
    </row>
    <row r="1148" spans="1:14" x14ac:dyDescent="0.25">
      <c r="A1148" s="4" t="s">
        <v>1177</v>
      </c>
      <c r="B1148" s="16" t="str">
        <f t="shared" si="83"/>
        <v>MAA DURGA STONE CRUSHING COMPANY</v>
      </c>
      <c r="C1148" s="16" t="str">
        <f t="shared" si="84"/>
        <v>CHADWAS(Chadwas/Bidasar/Sujangarh)</v>
      </c>
      <c r="D1148" s="4" t="s">
        <v>3035</v>
      </c>
      <c r="E1148" s="4" t="s">
        <v>3119</v>
      </c>
      <c r="F1148" s="5">
        <v>46086.999664351853</v>
      </c>
      <c r="G1148" s="16" t="str">
        <f t="shared" si="85"/>
        <v>MasonaryStone (Gitti)</v>
      </c>
      <c r="H1148" s="4" t="s">
        <v>2817</v>
      </c>
      <c r="I1148" s="18" t="str" cm="1">
        <f t="array" ref="I1148">_xlfn.LET(_xlpm.text, D1148,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8" s="18" t="str" cm="1">
        <f t="array" ref="J1148">_xlfn.LET(_xlpm.text, E1148,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8" s="14">
        <f t="shared" si="86"/>
        <v>46087</v>
      </c>
      <c r="L1148" s="14">
        <f t="shared" si="87"/>
        <v>46087.624664351853</v>
      </c>
      <c r="N1148" s="12"/>
    </row>
    <row r="1149" spans="1:14" x14ac:dyDescent="0.25">
      <c r="A1149" s="4" t="s">
        <v>1178</v>
      </c>
      <c r="B1149" s="16" t="str">
        <f t="shared" si="83"/>
        <v>MAA DURGA STONE CRUSHING COMPANY</v>
      </c>
      <c r="C1149" s="16" t="str">
        <f t="shared" si="84"/>
        <v>CHADWAS(Chadwas/Bidasar/Sujangarh)</v>
      </c>
      <c r="D1149" s="4" t="s">
        <v>3035</v>
      </c>
      <c r="E1149" s="4" t="s">
        <v>3119</v>
      </c>
      <c r="F1149" s="5">
        <v>46086.999664351853</v>
      </c>
      <c r="G1149" s="16" t="str">
        <f t="shared" si="85"/>
        <v>MasonaryStone (Gitti)</v>
      </c>
      <c r="H1149" s="4" t="s">
        <v>2817</v>
      </c>
      <c r="I1149" s="18" t="str" cm="1">
        <f t="array" ref="I1149">_xlfn.LET(_xlpm.text, D1149,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49" s="18" t="str" cm="1">
        <f t="array" ref="J1149">_xlfn.LET(_xlpm.text, E1149,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49" s="14">
        <f t="shared" si="86"/>
        <v>46087</v>
      </c>
      <c r="L1149" s="14">
        <f t="shared" si="87"/>
        <v>46087.624664351853</v>
      </c>
      <c r="N1149" s="12"/>
    </row>
    <row r="1150" spans="1:14" x14ac:dyDescent="0.25">
      <c r="A1150" s="4" t="s">
        <v>1179</v>
      </c>
      <c r="B1150" s="16" t="str">
        <f t="shared" si="83"/>
        <v>MAA DURGA STONE CRUSHING COMPANY</v>
      </c>
      <c r="C1150" s="16" t="str">
        <f t="shared" si="84"/>
        <v>CHADWAS(Chadwas/Bidasar/Sujangarh)</v>
      </c>
      <c r="D1150" s="4" t="s">
        <v>3035</v>
      </c>
      <c r="E1150" s="4" t="s">
        <v>3119</v>
      </c>
      <c r="F1150" s="5">
        <v>46003.999664351853</v>
      </c>
      <c r="G1150" s="16" t="str">
        <f t="shared" si="85"/>
        <v>MasonaryStone (Gitti)</v>
      </c>
      <c r="H1150" s="4" t="s">
        <v>2818</v>
      </c>
      <c r="I1150" s="18" t="str" cm="1">
        <f t="array" ref="I1150">_xlfn.LET(_xlpm.text, D1150,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0" s="18" t="str" cm="1">
        <f t="array" ref="J1150">_xlfn.LET(_xlpm.text, E1150,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0" s="14">
        <f t="shared" si="86"/>
        <v>46004</v>
      </c>
      <c r="L1150" s="14">
        <f t="shared" si="87"/>
        <v>46004.624664351853</v>
      </c>
      <c r="N1150" s="12"/>
    </row>
    <row r="1151" spans="1:14" x14ac:dyDescent="0.25">
      <c r="A1151" s="4" t="s">
        <v>1180</v>
      </c>
      <c r="B1151" s="16" t="str">
        <f t="shared" si="83"/>
        <v>MAA DURGA STONE CRUSHING COMPANY</v>
      </c>
      <c r="C1151" s="16" t="str">
        <f t="shared" si="84"/>
        <v>CHADWAS(Chadwas/Bidasar/Sujangarh)</v>
      </c>
      <c r="D1151" s="4" t="s">
        <v>3035</v>
      </c>
      <c r="E1151" s="4" t="s">
        <v>3119</v>
      </c>
      <c r="F1151" s="5">
        <v>46024.999664351853</v>
      </c>
      <c r="G1151" s="16" t="str">
        <f t="shared" si="85"/>
        <v>MasonaryStone (Gitti)</v>
      </c>
      <c r="H1151" s="4" t="s">
        <v>2819</v>
      </c>
      <c r="I1151" s="18" t="str" cm="1">
        <f t="array" ref="I1151">_xlfn.LET(_xlpm.text, D1151,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1" s="18" t="str" cm="1">
        <f t="array" ref="J1151">_xlfn.LET(_xlpm.text, E1151,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1" s="14">
        <f t="shared" si="86"/>
        <v>46025</v>
      </c>
      <c r="L1151" s="14">
        <f t="shared" si="87"/>
        <v>46025.624664351853</v>
      </c>
      <c r="N1151" s="12"/>
    </row>
    <row r="1152" spans="1:14" x14ac:dyDescent="0.25">
      <c r="A1152" s="4" t="s">
        <v>1181</v>
      </c>
      <c r="B1152" s="16" t="str">
        <f t="shared" si="83"/>
        <v>MAA DURGA STONE CRUSHING COMPANY</v>
      </c>
      <c r="C1152" s="16" t="str">
        <f t="shared" si="84"/>
        <v>CHADWAS(Chadwas/Bidasar/Sujangarh)</v>
      </c>
      <c r="D1152" s="4" t="s">
        <v>3035</v>
      </c>
      <c r="E1152" s="4" t="s">
        <v>3119</v>
      </c>
      <c r="F1152" s="5">
        <v>46036.999664351853</v>
      </c>
      <c r="G1152" s="16" t="str">
        <f t="shared" si="85"/>
        <v>MasonaryStone (Gitti)</v>
      </c>
      <c r="H1152" s="4" t="s">
        <v>2257</v>
      </c>
      <c r="I1152" s="18" t="str" cm="1">
        <f t="array" ref="I1152">_xlfn.LET(_xlpm.text, D1152,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2" s="18" t="str" cm="1">
        <f t="array" ref="J1152">_xlfn.LET(_xlpm.text, E1152,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2" s="14">
        <f t="shared" si="86"/>
        <v>46037</v>
      </c>
      <c r="L1152" s="14">
        <f t="shared" si="87"/>
        <v>46037.624664351853</v>
      </c>
      <c r="N1152" s="12"/>
    </row>
    <row r="1153" spans="1:14" x14ac:dyDescent="0.25">
      <c r="A1153" s="4" t="s">
        <v>1182</v>
      </c>
      <c r="B1153" s="16" t="str">
        <f t="shared" si="83"/>
        <v>MAA DURGA STONE CRUSHING COMPANY</v>
      </c>
      <c r="C1153" s="16" t="str">
        <f t="shared" si="84"/>
        <v>CHADWAS(Chadwas/Bidasar/Sujangarh)</v>
      </c>
      <c r="D1153" s="4" t="s">
        <v>3035</v>
      </c>
      <c r="E1153" s="4" t="s">
        <v>3119</v>
      </c>
      <c r="F1153" s="5">
        <v>46036.999664351853</v>
      </c>
      <c r="G1153" s="16" t="str">
        <f t="shared" si="85"/>
        <v>MasonaryStone (Gitti)</v>
      </c>
      <c r="H1153" s="4" t="s">
        <v>2483</v>
      </c>
      <c r="I1153" s="18" t="str" cm="1">
        <f t="array" ref="I1153">_xlfn.LET(_xlpm.text, D1153,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3" s="18" t="str" cm="1">
        <f t="array" ref="J1153">_xlfn.LET(_xlpm.text, E1153,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3" s="14">
        <f t="shared" si="86"/>
        <v>46037</v>
      </c>
      <c r="L1153" s="14">
        <f t="shared" si="87"/>
        <v>46037.624664351853</v>
      </c>
      <c r="N1153" s="12"/>
    </row>
    <row r="1154" spans="1:14" x14ac:dyDescent="0.25">
      <c r="A1154" s="4" t="s">
        <v>1183</v>
      </c>
      <c r="B1154" s="16" t="str">
        <f t="shared" ref="B1154:B1217" si="88">VLOOKUP(LEFT($A1154,4)&amp;"*",$O$3:$R$17, 2, FALSE)</f>
        <v>MAA DURGA STONE CRUSHING COMPANY</v>
      </c>
      <c r="C1154" s="16" t="str">
        <f t="shared" ref="C1154:C1217" si="89">VLOOKUP(LEFT($A1154,4)&amp;"*",$O$3:$R$17, 3, FALSE)</f>
        <v>CHADWAS(Chadwas/Bidasar/Sujangarh)</v>
      </c>
      <c r="D1154" s="4" t="s">
        <v>3035</v>
      </c>
      <c r="E1154" s="4" t="s">
        <v>3119</v>
      </c>
      <c r="F1154" s="5">
        <v>46036.999664351853</v>
      </c>
      <c r="G1154" s="16" t="str">
        <f t="shared" ref="G1154:G1217" si="90">VLOOKUP(LEFT($A1154,4)&amp;"*",$O$3:$R$17, 4, FALSE)</f>
        <v>MasonaryStone (Gitti)</v>
      </c>
      <c r="H1154" s="4" t="s">
        <v>2820</v>
      </c>
      <c r="I1154" s="18" t="str" cm="1">
        <f t="array" ref="I1154">_xlfn.LET(_xlpm.text, D1154,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4" s="18" t="str" cm="1">
        <f t="array" ref="J1154">_xlfn.LET(_xlpm.text, E1154,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4" s="14">
        <f t="shared" si="86"/>
        <v>46037</v>
      </c>
      <c r="L1154" s="14">
        <f t="shared" si="87"/>
        <v>46037.624664351853</v>
      </c>
      <c r="N1154" s="12"/>
    </row>
    <row r="1155" spans="1:14" x14ac:dyDescent="0.25">
      <c r="A1155" s="4" t="s">
        <v>1184</v>
      </c>
      <c r="B1155" s="16" t="str">
        <f t="shared" si="88"/>
        <v>MAA DURGA STONE CRUSHING COMPANY</v>
      </c>
      <c r="C1155" s="16" t="str">
        <f t="shared" si="89"/>
        <v>CHADWAS(Chadwas/Bidasar/Sujangarh)</v>
      </c>
      <c r="D1155" s="4" t="s">
        <v>3035</v>
      </c>
      <c r="E1155" s="4" t="s">
        <v>3119</v>
      </c>
      <c r="F1155" s="5">
        <v>46037.999664351853</v>
      </c>
      <c r="G1155" s="16" t="str">
        <f t="shared" si="90"/>
        <v>MasonaryStone (Gitti)</v>
      </c>
      <c r="H1155" s="4" t="s">
        <v>2821</v>
      </c>
      <c r="I1155" s="18" t="str" cm="1">
        <f t="array" ref="I1155">_xlfn.LET(_xlpm.text, D1155,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5" s="18" t="str" cm="1">
        <f t="array" ref="J1155">_xlfn.LET(_xlpm.text, E1155,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5" s="14">
        <f t="shared" ref="K1155:K1218" si="91">F1155+(29/86400)</f>
        <v>46038</v>
      </c>
      <c r="L1155" s="14">
        <f t="shared" ref="L1155:L1218" si="92">F1155+(15/24)</f>
        <v>46038.624664351853</v>
      </c>
      <c r="N1155" s="12"/>
    </row>
    <row r="1156" spans="1:14" x14ac:dyDescent="0.25">
      <c r="A1156" s="4" t="s">
        <v>1185</v>
      </c>
      <c r="B1156" s="16" t="str">
        <f t="shared" si="88"/>
        <v>MAA DURGA STONE CRUSHING COMPANY</v>
      </c>
      <c r="C1156" s="16" t="str">
        <f t="shared" si="89"/>
        <v>CHADWAS(Chadwas/Bidasar/Sujangarh)</v>
      </c>
      <c r="D1156" s="4" t="s">
        <v>3035</v>
      </c>
      <c r="E1156" s="4" t="s">
        <v>3119</v>
      </c>
      <c r="F1156" s="5">
        <v>46077.999664351853</v>
      </c>
      <c r="G1156" s="16" t="str">
        <f t="shared" si="90"/>
        <v>MasonaryStone (Gitti)</v>
      </c>
      <c r="H1156" s="4" t="s">
        <v>2496</v>
      </c>
      <c r="I1156" s="18" t="str" cm="1">
        <f t="array" ref="I1156">_xlfn.LET(_xlpm.text, D1156,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6" s="18" t="str" cm="1">
        <f t="array" ref="J1156">_xlfn.LET(_xlpm.text, E1156,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6" s="14">
        <f t="shared" si="91"/>
        <v>46078</v>
      </c>
      <c r="L1156" s="14">
        <f t="shared" si="92"/>
        <v>46078.624664351853</v>
      </c>
      <c r="N1156" s="12"/>
    </row>
    <row r="1157" spans="1:14" x14ac:dyDescent="0.25">
      <c r="A1157" s="4" t="s">
        <v>1186</v>
      </c>
      <c r="B1157" s="16" t="str">
        <f t="shared" si="88"/>
        <v>MAA DURGA STONE CRUSHING COMPANY</v>
      </c>
      <c r="C1157" s="16" t="str">
        <f t="shared" si="89"/>
        <v>CHADWAS(Chadwas/Bidasar/Sujangarh)</v>
      </c>
      <c r="D1157" s="4" t="s">
        <v>3035</v>
      </c>
      <c r="E1157" s="4" t="s">
        <v>3119</v>
      </c>
      <c r="F1157" s="5">
        <v>46077.999664351853</v>
      </c>
      <c r="G1157" s="16" t="str">
        <f t="shared" si="90"/>
        <v>MasonaryStone (Gitti)</v>
      </c>
      <c r="H1157" s="4" t="s">
        <v>2705</v>
      </c>
      <c r="I1157" s="18" t="str" cm="1">
        <f t="array" ref="I1157">_xlfn.LET(_xlpm.text, D1157,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7" s="18" t="str" cm="1">
        <f t="array" ref="J1157">_xlfn.LET(_xlpm.text, E1157,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7" s="14">
        <f t="shared" si="91"/>
        <v>46078</v>
      </c>
      <c r="L1157" s="14">
        <f t="shared" si="92"/>
        <v>46078.624664351853</v>
      </c>
      <c r="N1157" s="12"/>
    </row>
    <row r="1158" spans="1:14" x14ac:dyDescent="0.25">
      <c r="A1158" s="4" t="s">
        <v>1187</v>
      </c>
      <c r="B1158" s="16" t="str">
        <f t="shared" si="88"/>
        <v>MAA DURGA STONE CRUSHING COMPANY</v>
      </c>
      <c r="C1158" s="16" t="str">
        <f t="shared" si="89"/>
        <v>CHADWAS(Chadwas/Bidasar/Sujangarh)</v>
      </c>
      <c r="D1158" s="4" t="s">
        <v>3035</v>
      </c>
      <c r="E1158" s="4" t="s">
        <v>3119</v>
      </c>
      <c r="F1158" s="5">
        <v>46077.999664351853</v>
      </c>
      <c r="G1158" s="16" t="str">
        <f t="shared" si="90"/>
        <v>MasonaryStone (Gitti)</v>
      </c>
      <c r="H1158" s="4" t="s">
        <v>2822</v>
      </c>
      <c r="I1158" s="18" t="str" cm="1">
        <f t="array" ref="I1158">_xlfn.LET(_xlpm.text, D1158,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8" s="18" t="str" cm="1">
        <f t="array" ref="J1158">_xlfn.LET(_xlpm.text, E1158,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8" s="14">
        <f t="shared" si="91"/>
        <v>46078</v>
      </c>
      <c r="L1158" s="14">
        <f t="shared" si="92"/>
        <v>46078.624664351853</v>
      </c>
      <c r="N1158" s="12"/>
    </row>
    <row r="1159" spans="1:14" x14ac:dyDescent="0.25">
      <c r="A1159" s="4" t="s">
        <v>1188</v>
      </c>
      <c r="B1159" s="16" t="str">
        <f t="shared" si="88"/>
        <v>MAA DURGA STONE CRUSHING COMPANY</v>
      </c>
      <c r="C1159" s="16" t="str">
        <f t="shared" si="89"/>
        <v>CHADWAS(Chadwas/Bidasar/Sujangarh)</v>
      </c>
      <c r="D1159" s="4" t="s">
        <v>3035</v>
      </c>
      <c r="E1159" s="4" t="s">
        <v>3119</v>
      </c>
      <c r="F1159" s="5">
        <v>46077.999664351853</v>
      </c>
      <c r="G1159" s="16" t="str">
        <f t="shared" si="90"/>
        <v>MasonaryStone (Gitti)</v>
      </c>
      <c r="H1159" s="4" t="s">
        <v>2258</v>
      </c>
      <c r="I1159" s="18" t="str" cm="1">
        <f t="array" ref="I1159">_xlfn.LET(_xlpm.text, D1159,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59" s="18" t="str" cm="1">
        <f t="array" ref="J1159">_xlfn.LET(_xlpm.text, E1159,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59" s="14">
        <f t="shared" si="91"/>
        <v>46078</v>
      </c>
      <c r="L1159" s="14">
        <f t="shared" si="92"/>
        <v>46078.624664351853</v>
      </c>
      <c r="N1159" s="12"/>
    </row>
    <row r="1160" spans="1:14" x14ac:dyDescent="0.25">
      <c r="A1160" s="4" t="s">
        <v>1189</v>
      </c>
      <c r="B1160" s="16" t="str">
        <f t="shared" si="88"/>
        <v>MAA DURGA STONE CRUSHING COMPANY</v>
      </c>
      <c r="C1160" s="16" t="str">
        <f t="shared" si="89"/>
        <v>CHADWAS(Chadwas/Bidasar/Sujangarh)</v>
      </c>
      <c r="D1160" s="4" t="s">
        <v>3035</v>
      </c>
      <c r="E1160" s="4" t="s">
        <v>3119</v>
      </c>
      <c r="F1160" s="5">
        <v>46077.999664351853</v>
      </c>
      <c r="G1160" s="16" t="str">
        <f t="shared" si="90"/>
        <v>MasonaryStone (Gitti)</v>
      </c>
      <c r="H1160" s="4" t="s">
        <v>2664</v>
      </c>
      <c r="I1160" s="18" t="str" cm="1">
        <f t="array" ref="I1160">_xlfn.LET(_xlpm.text, D1160,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0" s="18" t="str" cm="1">
        <f t="array" ref="J1160">_xlfn.LET(_xlpm.text, E1160,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0" s="14">
        <f t="shared" si="91"/>
        <v>46078</v>
      </c>
      <c r="L1160" s="14">
        <f t="shared" si="92"/>
        <v>46078.624664351853</v>
      </c>
      <c r="N1160" s="12"/>
    </row>
    <row r="1161" spans="1:14" x14ac:dyDescent="0.25">
      <c r="A1161" s="4" t="s">
        <v>1190</v>
      </c>
      <c r="B1161" s="16" t="str">
        <f t="shared" si="88"/>
        <v>MAA DURGA STONE CRUSHING COMPANY</v>
      </c>
      <c r="C1161" s="16" t="str">
        <f t="shared" si="89"/>
        <v>CHADWAS(Chadwas/Bidasar/Sujangarh)</v>
      </c>
      <c r="D1161" s="4" t="s">
        <v>3035</v>
      </c>
      <c r="E1161" s="4" t="s">
        <v>3119</v>
      </c>
      <c r="F1161" s="5">
        <v>46077.999664351853</v>
      </c>
      <c r="G1161" s="16" t="str">
        <f t="shared" si="90"/>
        <v>MasonaryStone (Gitti)</v>
      </c>
      <c r="H1161" s="4" t="s">
        <v>2823</v>
      </c>
      <c r="I1161" s="18" t="str" cm="1">
        <f t="array" ref="I1161">_xlfn.LET(_xlpm.text, D1161,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1" s="18" t="str" cm="1">
        <f t="array" ref="J1161">_xlfn.LET(_xlpm.text, E1161,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1" s="14">
        <f t="shared" si="91"/>
        <v>46078</v>
      </c>
      <c r="L1161" s="14">
        <f t="shared" si="92"/>
        <v>46078.624664351853</v>
      </c>
      <c r="N1161" s="12"/>
    </row>
    <row r="1162" spans="1:14" x14ac:dyDescent="0.25">
      <c r="A1162" s="4" t="s">
        <v>1191</v>
      </c>
      <c r="B1162" s="16" t="str">
        <f t="shared" si="88"/>
        <v>MAA DURGA STONE CRUSHING COMPANY</v>
      </c>
      <c r="C1162" s="16" t="str">
        <f t="shared" si="89"/>
        <v>CHADWAS(Chadwas/Bidasar/Sujangarh)</v>
      </c>
      <c r="D1162" s="4" t="s">
        <v>3035</v>
      </c>
      <c r="E1162" s="4" t="s">
        <v>3119</v>
      </c>
      <c r="F1162" s="5">
        <v>46077.999664351853</v>
      </c>
      <c r="G1162" s="16" t="str">
        <f t="shared" si="90"/>
        <v>MasonaryStone (Gitti)</v>
      </c>
      <c r="H1162" s="4" t="s">
        <v>2513</v>
      </c>
      <c r="I1162" s="18" t="str" cm="1">
        <f t="array" ref="I1162">_xlfn.LET(_xlpm.text, D1162,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2" s="18" t="str" cm="1">
        <f t="array" ref="J1162">_xlfn.LET(_xlpm.text, E1162,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2" s="14">
        <f t="shared" si="91"/>
        <v>46078</v>
      </c>
      <c r="L1162" s="14">
        <f t="shared" si="92"/>
        <v>46078.624664351853</v>
      </c>
      <c r="N1162" s="12"/>
    </row>
    <row r="1163" spans="1:14" x14ac:dyDescent="0.25">
      <c r="A1163" s="4" t="s">
        <v>1192</v>
      </c>
      <c r="B1163" s="16" t="str">
        <f t="shared" si="88"/>
        <v>MAA DURGA STONE CRUSHING COMPANY</v>
      </c>
      <c r="C1163" s="16" t="str">
        <f t="shared" si="89"/>
        <v>CHADWAS(Chadwas/Bidasar/Sujangarh)</v>
      </c>
      <c r="D1163" s="4" t="s">
        <v>3035</v>
      </c>
      <c r="E1163" s="4" t="s">
        <v>3119</v>
      </c>
      <c r="F1163" s="5">
        <v>46077.999664351853</v>
      </c>
      <c r="G1163" s="16" t="str">
        <f t="shared" si="90"/>
        <v>MasonaryStone (Gitti)</v>
      </c>
      <c r="H1163" s="4" t="s">
        <v>2824</v>
      </c>
      <c r="I1163" s="18" t="str" cm="1">
        <f t="array" ref="I1163">_xlfn.LET(_xlpm.text, D1163,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3" s="18" t="str" cm="1">
        <f t="array" ref="J1163">_xlfn.LET(_xlpm.text, E1163,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3" s="14">
        <f t="shared" si="91"/>
        <v>46078</v>
      </c>
      <c r="L1163" s="14">
        <f t="shared" si="92"/>
        <v>46078.624664351853</v>
      </c>
      <c r="N1163" s="12"/>
    </row>
    <row r="1164" spans="1:14" x14ac:dyDescent="0.25">
      <c r="A1164" s="4" t="s">
        <v>1193</v>
      </c>
      <c r="B1164" s="16" t="str">
        <f t="shared" si="88"/>
        <v>MAA DURGA STONE CRUSHING COMPANY</v>
      </c>
      <c r="C1164" s="16" t="str">
        <f t="shared" si="89"/>
        <v>CHADWAS(Chadwas/Bidasar/Sujangarh)</v>
      </c>
      <c r="D1164" s="4" t="s">
        <v>3035</v>
      </c>
      <c r="E1164" s="4" t="s">
        <v>3119</v>
      </c>
      <c r="F1164" s="5">
        <v>46077.999664351853</v>
      </c>
      <c r="G1164" s="16" t="str">
        <f t="shared" si="90"/>
        <v>MasonaryStone (Gitti)</v>
      </c>
      <c r="H1164" s="4" t="s">
        <v>2611</v>
      </c>
      <c r="I1164" s="18" t="str" cm="1">
        <f t="array" ref="I1164">_xlfn.LET(_xlpm.text, D1164,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4" s="18" t="str" cm="1">
        <f t="array" ref="J1164">_xlfn.LET(_xlpm.text, E1164,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4" s="14">
        <f t="shared" si="91"/>
        <v>46078</v>
      </c>
      <c r="L1164" s="14">
        <f t="shared" si="92"/>
        <v>46078.624664351853</v>
      </c>
      <c r="N1164" s="12"/>
    </row>
    <row r="1165" spans="1:14" x14ac:dyDescent="0.25">
      <c r="A1165" s="4" t="s">
        <v>1194</v>
      </c>
      <c r="B1165" s="16" t="str">
        <f t="shared" si="88"/>
        <v>MAA DURGA STONE CRUSHING COMPANY</v>
      </c>
      <c r="C1165" s="16" t="str">
        <f t="shared" si="89"/>
        <v>CHADWAS(Chadwas/Bidasar/Sujangarh)</v>
      </c>
      <c r="D1165" s="4" t="s">
        <v>3035</v>
      </c>
      <c r="E1165" s="4" t="s">
        <v>3119</v>
      </c>
      <c r="F1165" s="5">
        <v>46077.999664351853</v>
      </c>
      <c r="G1165" s="16" t="str">
        <f t="shared" si="90"/>
        <v>MasonaryStone (Gitti)</v>
      </c>
      <c r="H1165" s="4" t="s">
        <v>2409</v>
      </c>
      <c r="I1165" s="18" t="str" cm="1">
        <f t="array" ref="I1165">_xlfn.LET(_xlpm.text, D1165,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5" s="18" t="str" cm="1">
        <f t="array" ref="J1165">_xlfn.LET(_xlpm.text, E1165,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5" s="14">
        <f t="shared" si="91"/>
        <v>46078</v>
      </c>
      <c r="L1165" s="14">
        <f t="shared" si="92"/>
        <v>46078.624664351853</v>
      </c>
      <c r="N1165" s="12"/>
    </row>
    <row r="1166" spans="1:14" x14ac:dyDescent="0.25">
      <c r="A1166" s="4" t="s">
        <v>1195</v>
      </c>
      <c r="B1166" s="16" t="str">
        <f t="shared" si="88"/>
        <v>MAA DURGA STONE CRUSHING COMPANY</v>
      </c>
      <c r="C1166" s="16" t="str">
        <f t="shared" si="89"/>
        <v>CHADWAS(Chadwas/Bidasar/Sujangarh)</v>
      </c>
      <c r="D1166" s="4" t="s">
        <v>3035</v>
      </c>
      <c r="E1166" s="4" t="s">
        <v>3119</v>
      </c>
      <c r="F1166" s="5">
        <v>46077.999664351853</v>
      </c>
      <c r="G1166" s="16" t="str">
        <f t="shared" si="90"/>
        <v>MasonaryStone (Gitti)</v>
      </c>
      <c r="H1166" s="4" t="s">
        <v>2511</v>
      </c>
      <c r="I1166" s="18" t="str" cm="1">
        <f t="array" ref="I1166">_xlfn.LET(_xlpm.text, D1166,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6" s="18" t="str" cm="1">
        <f t="array" ref="J1166">_xlfn.LET(_xlpm.text, E1166,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6" s="14">
        <f t="shared" si="91"/>
        <v>46078</v>
      </c>
      <c r="L1166" s="14">
        <f t="shared" si="92"/>
        <v>46078.624664351853</v>
      </c>
      <c r="N1166" s="12"/>
    </row>
    <row r="1167" spans="1:14" x14ac:dyDescent="0.25">
      <c r="A1167" s="4" t="s">
        <v>1196</v>
      </c>
      <c r="B1167" s="16" t="str">
        <f t="shared" si="88"/>
        <v>MAA DURGA STONE CRUSHING COMPANY</v>
      </c>
      <c r="C1167" s="16" t="str">
        <f t="shared" si="89"/>
        <v>CHADWAS(Chadwas/Bidasar/Sujangarh)</v>
      </c>
      <c r="D1167" s="4" t="s">
        <v>3035</v>
      </c>
      <c r="E1167" s="4" t="s">
        <v>3119</v>
      </c>
      <c r="F1167" s="5">
        <v>46077.999664351853</v>
      </c>
      <c r="G1167" s="16" t="str">
        <f t="shared" si="90"/>
        <v>MasonaryStone (Gitti)</v>
      </c>
      <c r="H1167" s="4" t="s">
        <v>414</v>
      </c>
      <c r="I1167" s="18" t="str" cm="1">
        <f t="array" ref="I1167">_xlfn.LET(_xlpm.text, D1167,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7" s="18" t="str" cm="1">
        <f t="array" ref="J1167">_xlfn.LET(_xlpm.text, E1167,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7" s="14">
        <f t="shared" si="91"/>
        <v>46078</v>
      </c>
      <c r="L1167" s="14">
        <f t="shared" si="92"/>
        <v>46078.624664351853</v>
      </c>
      <c r="N1167" s="12"/>
    </row>
    <row r="1168" spans="1:14" x14ac:dyDescent="0.25">
      <c r="A1168" s="4" t="s">
        <v>1197</v>
      </c>
      <c r="B1168" s="16" t="str">
        <f t="shared" si="88"/>
        <v>MAA DURGA STONE CRUSHING COMPANY</v>
      </c>
      <c r="C1168" s="16" t="str">
        <f t="shared" si="89"/>
        <v>CHADWAS(Chadwas/Bidasar/Sujangarh)</v>
      </c>
      <c r="D1168" s="4" t="s">
        <v>3035</v>
      </c>
      <c r="E1168" s="4" t="s">
        <v>3119</v>
      </c>
      <c r="F1168" s="5">
        <v>46077.999664351853</v>
      </c>
      <c r="G1168" s="16" t="str">
        <f t="shared" si="90"/>
        <v>MasonaryStone (Gitti)</v>
      </c>
      <c r="H1168" s="4" t="s">
        <v>2825</v>
      </c>
      <c r="I1168" s="18" t="str" cm="1">
        <f t="array" ref="I1168">_xlfn.LET(_xlpm.text, D1168,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168" s="18" t="str" cm="1">
        <f t="array" ref="J1168">_xlfn.LET(_xlpm.text, E1168,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8" s="14">
        <f t="shared" si="91"/>
        <v>46078</v>
      </c>
      <c r="L1168" s="14">
        <f t="shared" si="92"/>
        <v>46078.624664351853</v>
      </c>
      <c r="N1168" s="12"/>
    </row>
    <row r="1169" spans="1:14" x14ac:dyDescent="0.25">
      <c r="A1169" s="4" t="s">
        <v>1198</v>
      </c>
      <c r="B1169" s="16" t="str">
        <f t="shared" si="88"/>
        <v>MAA DURGA STONE CRUSHING COMPANY</v>
      </c>
      <c r="C1169" s="16" t="str">
        <f t="shared" si="89"/>
        <v>CHADWAS(Chadwas/Bidasar/Sujangarh)</v>
      </c>
      <c r="D1169" s="4" t="s">
        <v>3034</v>
      </c>
      <c r="E1169" s="4" t="s">
        <v>3119</v>
      </c>
      <c r="F1169" s="5">
        <v>46073.999664351853</v>
      </c>
      <c r="G1169" s="16" t="str">
        <f t="shared" si="90"/>
        <v>MasonaryStone (Gitti)</v>
      </c>
      <c r="H1169" s="4" t="s">
        <v>2826</v>
      </c>
      <c r="I1169" s="18" t="str" cm="1">
        <f t="array" ref="I1169">_xlfn.LET(_xlpm.text, D1169,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69" s="18" t="str" cm="1">
        <f t="array" ref="J1169">_xlfn.LET(_xlpm.text, E1169,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69" s="14">
        <f t="shared" si="91"/>
        <v>46074</v>
      </c>
      <c r="L1169" s="14">
        <f t="shared" si="92"/>
        <v>46074.624664351853</v>
      </c>
      <c r="N1169" s="12"/>
    </row>
    <row r="1170" spans="1:14" x14ac:dyDescent="0.25">
      <c r="A1170" s="4" t="s">
        <v>1199</v>
      </c>
      <c r="B1170" s="16" t="str">
        <f t="shared" si="88"/>
        <v>MAA DURGA STONE CRUSHING COMPANY</v>
      </c>
      <c r="C1170" s="16" t="str">
        <f t="shared" si="89"/>
        <v>CHADWAS(Chadwas/Bidasar/Sujangarh)</v>
      </c>
      <c r="D1170" s="4" t="s">
        <v>3034</v>
      </c>
      <c r="E1170" s="4" t="s">
        <v>3119</v>
      </c>
      <c r="F1170" s="5">
        <v>46088.999664351853</v>
      </c>
      <c r="G1170" s="16" t="str">
        <f t="shared" si="90"/>
        <v>MasonaryStone (Gitti)</v>
      </c>
      <c r="H1170" s="4" t="s">
        <v>2827</v>
      </c>
      <c r="I1170" s="18" t="str" cm="1">
        <f t="array" ref="I1170">_xlfn.LET(_xlpm.text, D1170,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0" s="18" t="str" cm="1">
        <f t="array" ref="J1170">_xlfn.LET(_xlpm.text, E1170,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0" s="14">
        <f t="shared" si="91"/>
        <v>46089</v>
      </c>
      <c r="L1170" s="14">
        <f t="shared" si="92"/>
        <v>46089.624664351853</v>
      </c>
      <c r="N1170" s="12"/>
    </row>
    <row r="1171" spans="1:14" x14ac:dyDescent="0.25">
      <c r="A1171" s="4" t="s">
        <v>1200</v>
      </c>
      <c r="B1171" s="16" t="str">
        <f t="shared" si="88"/>
        <v>MAA DURGA STONE CRUSHING COMPANY</v>
      </c>
      <c r="C1171" s="16" t="str">
        <f t="shared" si="89"/>
        <v>CHADWAS(Chadwas/Bidasar/Sujangarh)</v>
      </c>
      <c r="D1171" s="4" t="s">
        <v>3034</v>
      </c>
      <c r="E1171" s="4" t="s">
        <v>3119</v>
      </c>
      <c r="F1171" s="5">
        <v>46073.999664351853</v>
      </c>
      <c r="G1171" s="16" t="str">
        <f t="shared" si="90"/>
        <v>MasonaryStone (Gitti)</v>
      </c>
      <c r="H1171" s="4" t="s">
        <v>2828</v>
      </c>
      <c r="I1171" s="18" t="str" cm="1">
        <f t="array" ref="I1171">_xlfn.LET(_xlpm.text, D1171,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1" s="18" t="str" cm="1">
        <f t="array" ref="J1171">_xlfn.LET(_xlpm.text, E1171,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1" s="14">
        <f t="shared" si="91"/>
        <v>46074</v>
      </c>
      <c r="L1171" s="14">
        <f t="shared" si="92"/>
        <v>46074.624664351853</v>
      </c>
      <c r="N1171" s="12"/>
    </row>
    <row r="1172" spans="1:14" x14ac:dyDescent="0.25">
      <c r="A1172" s="4" t="s">
        <v>1201</v>
      </c>
      <c r="B1172" s="16" t="str">
        <f t="shared" si="88"/>
        <v>MAA DURGA STONE CRUSHING COMPANY</v>
      </c>
      <c r="C1172" s="16" t="str">
        <f t="shared" si="89"/>
        <v>CHADWAS(Chadwas/Bidasar/Sujangarh)</v>
      </c>
      <c r="D1172" s="4" t="s">
        <v>3034</v>
      </c>
      <c r="E1172" s="4" t="s">
        <v>3119</v>
      </c>
      <c r="F1172" s="5">
        <v>46073.999664351853</v>
      </c>
      <c r="G1172" s="16" t="str">
        <f t="shared" si="90"/>
        <v>MasonaryStone (Gitti)</v>
      </c>
      <c r="H1172" s="4" t="s">
        <v>2582</v>
      </c>
      <c r="I1172" s="18" t="str" cm="1">
        <f t="array" ref="I1172">_xlfn.LET(_xlpm.text, D1172,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2" s="18" t="str" cm="1">
        <f t="array" ref="J1172">_xlfn.LET(_xlpm.text, E1172,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2" s="14">
        <f t="shared" si="91"/>
        <v>46074</v>
      </c>
      <c r="L1172" s="14">
        <f t="shared" si="92"/>
        <v>46074.624664351853</v>
      </c>
      <c r="N1172" s="12"/>
    </row>
    <row r="1173" spans="1:14" x14ac:dyDescent="0.25">
      <c r="A1173" s="4" t="s">
        <v>1202</v>
      </c>
      <c r="B1173" s="16" t="str">
        <f t="shared" si="88"/>
        <v>MAA DURGA STONE CRUSHING COMPANY</v>
      </c>
      <c r="C1173" s="16" t="str">
        <f t="shared" si="89"/>
        <v>CHADWAS(Chadwas/Bidasar/Sujangarh)</v>
      </c>
      <c r="D1173" s="4" t="s">
        <v>3034</v>
      </c>
      <c r="E1173" s="4" t="s">
        <v>3119</v>
      </c>
      <c r="F1173" s="5">
        <v>46074.999664351853</v>
      </c>
      <c r="G1173" s="16" t="str">
        <f t="shared" si="90"/>
        <v>MasonaryStone (Gitti)</v>
      </c>
      <c r="H1173" s="4" t="s">
        <v>2829</v>
      </c>
      <c r="I1173" s="18" t="str" cm="1">
        <f t="array" ref="I1173">_xlfn.LET(_xlpm.text, D1173,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3" s="18" t="str" cm="1">
        <f t="array" ref="J1173">_xlfn.LET(_xlpm.text, E1173,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3" s="14">
        <f t="shared" si="91"/>
        <v>46075</v>
      </c>
      <c r="L1173" s="14">
        <f t="shared" si="92"/>
        <v>46075.624664351853</v>
      </c>
      <c r="N1173" s="12"/>
    </row>
    <row r="1174" spans="1:14" x14ac:dyDescent="0.25">
      <c r="A1174" s="4" t="s">
        <v>1203</v>
      </c>
      <c r="B1174" s="16" t="str">
        <f t="shared" si="88"/>
        <v>MAA DURGA STONE CRUSHING COMPANY</v>
      </c>
      <c r="C1174" s="16" t="str">
        <f t="shared" si="89"/>
        <v>CHADWAS(Chadwas/Bidasar/Sujangarh)</v>
      </c>
      <c r="D1174" s="4" t="s">
        <v>3034</v>
      </c>
      <c r="E1174" s="4" t="s">
        <v>3119</v>
      </c>
      <c r="F1174" s="5">
        <v>46075.999664351853</v>
      </c>
      <c r="G1174" s="16" t="str">
        <f t="shared" si="90"/>
        <v>MasonaryStone (Gitti)</v>
      </c>
      <c r="H1174" s="4" t="s">
        <v>2830</v>
      </c>
      <c r="I1174" s="18" t="str" cm="1">
        <f t="array" ref="I1174">_xlfn.LET(_xlpm.text, D1174,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4" s="18" t="str" cm="1">
        <f t="array" ref="J1174">_xlfn.LET(_xlpm.text, E1174,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4" s="14">
        <f t="shared" si="91"/>
        <v>46076</v>
      </c>
      <c r="L1174" s="14">
        <f t="shared" si="92"/>
        <v>46076.624664351853</v>
      </c>
      <c r="N1174" s="12"/>
    </row>
    <row r="1175" spans="1:14" x14ac:dyDescent="0.25">
      <c r="A1175" s="4" t="s">
        <v>1204</v>
      </c>
      <c r="B1175" s="16" t="str">
        <f t="shared" si="88"/>
        <v>MAA DURGA STONE CRUSHING COMPANY</v>
      </c>
      <c r="C1175" s="16" t="str">
        <f t="shared" si="89"/>
        <v>CHADWAS(Chadwas/Bidasar/Sujangarh)</v>
      </c>
      <c r="D1175" s="4" t="s">
        <v>3034</v>
      </c>
      <c r="E1175" s="4" t="s">
        <v>3119</v>
      </c>
      <c r="F1175" s="5">
        <v>46076.999664351853</v>
      </c>
      <c r="G1175" s="16" t="str">
        <f t="shared" si="90"/>
        <v>MasonaryStone (Gitti)</v>
      </c>
      <c r="H1175" s="4" t="s">
        <v>2831</v>
      </c>
      <c r="I1175" s="18" t="str" cm="1">
        <f t="array" ref="I1175">_xlfn.LET(_xlpm.text, D1175,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5" s="18" t="str" cm="1">
        <f t="array" ref="J1175">_xlfn.LET(_xlpm.text, E1175,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5" s="14">
        <f t="shared" si="91"/>
        <v>46077</v>
      </c>
      <c r="L1175" s="14">
        <f t="shared" si="92"/>
        <v>46077.624664351853</v>
      </c>
      <c r="N1175" s="12"/>
    </row>
    <row r="1176" spans="1:14" x14ac:dyDescent="0.25">
      <c r="A1176" s="4" t="s">
        <v>1205</v>
      </c>
      <c r="B1176" s="16" t="str">
        <f t="shared" si="88"/>
        <v>MAA DURGA STONE CRUSHING COMPANY</v>
      </c>
      <c r="C1176" s="16" t="str">
        <f t="shared" si="89"/>
        <v>CHADWAS(Chadwas/Bidasar/Sujangarh)</v>
      </c>
      <c r="D1176" s="4" t="s">
        <v>3034</v>
      </c>
      <c r="E1176" s="4" t="s">
        <v>3119</v>
      </c>
      <c r="F1176" s="5">
        <v>46078.999664351853</v>
      </c>
      <c r="G1176" s="16" t="str">
        <f t="shared" si="90"/>
        <v>MasonaryStone (Gitti)</v>
      </c>
      <c r="H1176" s="4" t="s">
        <v>2832</v>
      </c>
      <c r="I1176" s="18" t="str" cm="1">
        <f t="array" ref="I1176">_xlfn.LET(_xlpm.text, D1176,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6" s="18" t="str" cm="1">
        <f t="array" ref="J1176">_xlfn.LET(_xlpm.text, E1176,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6" s="14">
        <f t="shared" si="91"/>
        <v>46079</v>
      </c>
      <c r="L1176" s="14">
        <f t="shared" si="92"/>
        <v>46079.624664351853</v>
      </c>
      <c r="N1176" s="12"/>
    </row>
    <row r="1177" spans="1:14" x14ac:dyDescent="0.25">
      <c r="A1177" s="4" t="s">
        <v>1206</v>
      </c>
      <c r="B1177" s="16" t="str">
        <f t="shared" si="88"/>
        <v>MAA DURGA STONE CRUSHING COMPANY</v>
      </c>
      <c r="C1177" s="16" t="str">
        <f t="shared" si="89"/>
        <v>CHADWAS(Chadwas/Bidasar/Sujangarh)</v>
      </c>
      <c r="D1177" s="4" t="s">
        <v>3034</v>
      </c>
      <c r="E1177" s="4" t="s">
        <v>3119</v>
      </c>
      <c r="F1177" s="5">
        <v>46090.999664351853</v>
      </c>
      <c r="G1177" s="16" t="str">
        <f t="shared" si="90"/>
        <v>MasonaryStone (Gitti)</v>
      </c>
      <c r="H1177" s="4" t="s">
        <v>2833</v>
      </c>
      <c r="I1177" s="18" t="str" cm="1">
        <f t="array" ref="I1177">_xlfn.LET(_xlpm.text, D1177,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7" s="18" t="str" cm="1">
        <f t="array" ref="J1177">_xlfn.LET(_xlpm.text, E1177,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7" s="14">
        <f t="shared" si="91"/>
        <v>46091</v>
      </c>
      <c r="L1177" s="14">
        <f t="shared" si="92"/>
        <v>46091.624664351853</v>
      </c>
      <c r="N1177" s="12"/>
    </row>
    <row r="1178" spans="1:14" x14ac:dyDescent="0.25">
      <c r="A1178" s="4" t="s">
        <v>1207</v>
      </c>
      <c r="B1178" s="16" t="str">
        <f t="shared" si="88"/>
        <v>MAA DURGA STONE CRUSHING COMPANY</v>
      </c>
      <c r="C1178" s="16" t="str">
        <f t="shared" si="89"/>
        <v>CHADWAS(Chadwas/Bidasar/Sujangarh)</v>
      </c>
      <c r="D1178" s="4" t="s">
        <v>3034</v>
      </c>
      <c r="E1178" s="4" t="s">
        <v>3119</v>
      </c>
      <c r="F1178" s="5">
        <v>46090.999664351853</v>
      </c>
      <c r="G1178" s="16" t="str">
        <f t="shared" si="90"/>
        <v>MasonaryStone (Gitti)</v>
      </c>
      <c r="H1178" s="4" t="s">
        <v>2760</v>
      </c>
      <c r="I1178" s="18" t="str" cm="1">
        <f t="array" ref="I1178">_xlfn.LET(_xlpm.text, D1178,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8" s="18" t="str" cm="1">
        <f t="array" ref="J1178">_xlfn.LET(_xlpm.text, E1178,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8" s="14">
        <f t="shared" si="91"/>
        <v>46091</v>
      </c>
      <c r="L1178" s="14">
        <f t="shared" si="92"/>
        <v>46091.624664351853</v>
      </c>
      <c r="N1178" s="12"/>
    </row>
    <row r="1179" spans="1:14" x14ac:dyDescent="0.25">
      <c r="A1179" s="4" t="s">
        <v>1208</v>
      </c>
      <c r="B1179" s="16" t="str">
        <f t="shared" si="88"/>
        <v>MAA DURGA STONE CRUSHING COMPANY</v>
      </c>
      <c r="C1179" s="16" t="str">
        <f t="shared" si="89"/>
        <v>CHADWAS(Chadwas/Bidasar/Sujangarh)</v>
      </c>
      <c r="D1179" s="4" t="s">
        <v>3034</v>
      </c>
      <c r="E1179" s="4" t="s">
        <v>3119</v>
      </c>
      <c r="F1179" s="5">
        <v>46090.999664351853</v>
      </c>
      <c r="G1179" s="16" t="str">
        <f t="shared" si="90"/>
        <v>MasonaryStone (Gitti)</v>
      </c>
      <c r="H1179" s="4" t="s">
        <v>2581</v>
      </c>
      <c r="I1179" s="18" t="str" cm="1">
        <f t="array" ref="I1179">_xlfn.LET(_xlpm.text, D1179,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79" s="18" t="str" cm="1">
        <f t="array" ref="J1179">_xlfn.LET(_xlpm.text, E1179,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79" s="14">
        <f t="shared" si="91"/>
        <v>46091</v>
      </c>
      <c r="L1179" s="14">
        <f t="shared" si="92"/>
        <v>46091.624664351853</v>
      </c>
      <c r="N1179" s="12"/>
    </row>
    <row r="1180" spans="1:14" x14ac:dyDescent="0.25">
      <c r="A1180" s="4" t="s">
        <v>1209</v>
      </c>
      <c r="B1180" s="16" t="str">
        <f t="shared" si="88"/>
        <v>MAA DURGA STONE CRUSHING COMPANY</v>
      </c>
      <c r="C1180" s="16" t="str">
        <f t="shared" si="89"/>
        <v>CHADWAS(Chadwas/Bidasar/Sujangarh)</v>
      </c>
      <c r="D1180" s="4" t="s">
        <v>3034</v>
      </c>
      <c r="E1180" s="4" t="s">
        <v>3119</v>
      </c>
      <c r="F1180" s="5">
        <v>46090.999664351853</v>
      </c>
      <c r="G1180" s="16" t="str">
        <f t="shared" si="90"/>
        <v>MasonaryStone (Gitti)</v>
      </c>
      <c r="H1180" s="4" t="s">
        <v>2834</v>
      </c>
      <c r="I1180" s="18" t="str" cm="1">
        <f t="array" ref="I1180">_xlfn.LET(_xlpm.text, D1180,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0" s="18" t="str" cm="1">
        <f t="array" ref="J1180">_xlfn.LET(_xlpm.text, E1180,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0" s="14">
        <f t="shared" si="91"/>
        <v>46091</v>
      </c>
      <c r="L1180" s="14">
        <f t="shared" si="92"/>
        <v>46091.624664351853</v>
      </c>
      <c r="N1180" s="12"/>
    </row>
    <row r="1181" spans="1:14" x14ac:dyDescent="0.25">
      <c r="A1181" s="4" t="s">
        <v>1210</v>
      </c>
      <c r="B1181" s="16" t="str">
        <f t="shared" si="88"/>
        <v>MAA DURGA STONE CRUSHING COMPANY</v>
      </c>
      <c r="C1181" s="16" t="str">
        <f t="shared" si="89"/>
        <v>CHADWAS(Chadwas/Bidasar/Sujangarh)</v>
      </c>
      <c r="D1181" s="4" t="s">
        <v>3034</v>
      </c>
      <c r="E1181" s="4" t="s">
        <v>3119</v>
      </c>
      <c r="F1181" s="5">
        <v>46090.999664351853</v>
      </c>
      <c r="G1181" s="16" t="str">
        <f t="shared" si="90"/>
        <v>MasonaryStone (Gitti)</v>
      </c>
      <c r="H1181" s="4" t="s">
        <v>2486</v>
      </c>
      <c r="I1181" s="18" t="str" cm="1">
        <f t="array" ref="I1181">_xlfn.LET(_xlpm.text, D1181,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1" s="18" t="str" cm="1">
        <f t="array" ref="J1181">_xlfn.LET(_xlpm.text, E1181,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1" s="14">
        <f t="shared" si="91"/>
        <v>46091</v>
      </c>
      <c r="L1181" s="14">
        <f t="shared" si="92"/>
        <v>46091.624664351853</v>
      </c>
      <c r="N1181" s="12"/>
    </row>
    <row r="1182" spans="1:14" x14ac:dyDescent="0.25">
      <c r="A1182" s="4" t="s">
        <v>1211</v>
      </c>
      <c r="B1182" s="16" t="str">
        <f t="shared" si="88"/>
        <v>MAA DURGA STONE CRUSHING COMPANY</v>
      </c>
      <c r="C1182" s="16" t="str">
        <f t="shared" si="89"/>
        <v>CHADWAS(Chadwas/Bidasar/Sujangarh)</v>
      </c>
      <c r="D1182" s="4" t="s">
        <v>3034</v>
      </c>
      <c r="E1182" s="4" t="s">
        <v>3119</v>
      </c>
      <c r="F1182" s="5">
        <v>46090.999664351853</v>
      </c>
      <c r="G1182" s="16" t="str">
        <f t="shared" si="90"/>
        <v>MasonaryStone (Gitti)</v>
      </c>
      <c r="H1182" s="4" t="s">
        <v>2406</v>
      </c>
      <c r="I1182" s="18" t="str" cm="1">
        <f t="array" ref="I1182">_xlfn.LET(_xlpm.text, D1182,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2" s="18" t="str" cm="1">
        <f t="array" ref="J1182">_xlfn.LET(_xlpm.text, E1182,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2" s="14">
        <f t="shared" si="91"/>
        <v>46091</v>
      </c>
      <c r="L1182" s="14">
        <f t="shared" si="92"/>
        <v>46091.624664351853</v>
      </c>
      <c r="N1182" s="12"/>
    </row>
    <row r="1183" spans="1:14" x14ac:dyDescent="0.25">
      <c r="A1183" s="4" t="s">
        <v>1212</v>
      </c>
      <c r="B1183" s="16" t="str">
        <f t="shared" si="88"/>
        <v>MAA DURGA STONE CRUSHING COMPANY</v>
      </c>
      <c r="C1183" s="16" t="str">
        <f t="shared" si="89"/>
        <v>CHADWAS(Chadwas/Bidasar/Sujangarh)</v>
      </c>
      <c r="D1183" s="4" t="s">
        <v>3034</v>
      </c>
      <c r="E1183" s="4" t="s">
        <v>3119</v>
      </c>
      <c r="F1183" s="5">
        <v>46090.999664351853</v>
      </c>
      <c r="G1183" s="16" t="str">
        <f t="shared" si="90"/>
        <v>MasonaryStone (Gitti)</v>
      </c>
      <c r="H1183" s="4" t="s">
        <v>2581</v>
      </c>
      <c r="I1183" s="18" t="str" cm="1">
        <f t="array" ref="I1183">_xlfn.LET(_xlpm.text, D1183,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3" s="18" t="str" cm="1">
        <f t="array" ref="J1183">_xlfn.LET(_xlpm.text, E1183,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3" s="14">
        <f t="shared" si="91"/>
        <v>46091</v>
      </c>
      <c r="L1183" s="14">
        <f t="shared" si="92"/>
        <v>46091.624664351853</v>
      </c>
      <c r="N1183" s="12"/>
    </row>
    <row r="1184" spans="1:14" x14ac:dyDescent="0.25">
      <c r="A1184" s="4" t="s">
        <v>1213</v>
      </c>
      <c r="B1184" s="16" t="str">
        <f t="shared" si="88"/>
        <v>MAA DURGA STONE CRUSHING COMPANY</v>
      </c>
      <c r="C1184" s="16" t="str">
        <f t="shared" si="89"/>
        <v>CHADWAS(Chadwas/Bidasar/Sujangarh)</v>
      </c>
      <c r="D1184" s="4" t="s">
        <v>3034</v>
      </c>
      <c r="E1184" s="4" t="s">
        <v>3119</v>
      </c>
      <c r="F1184" s="5">
        <v>46090.999664351853</v>
      </c>
      <c r="G1184" s="16" t="str">
        <f t="shared" si="90"/>
        <v>MasonaryStone (Gitti)</v>
      </c>
      <c r="H1184" s="4" t="s">
        <v>2487</v>
      </c>
      <c r="I1184" s="18" t="str" cm="1">
        <f t="array" ref="I1184">_xlfn.LET(_xlpm.text, D1184,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4" s="18" t="str" cm="1">
        <f t="array" ref="J1184">_xlfn.LET(_xlpm.text, E1184,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4" s="14">
        <f t="shared" si="91"/>
        <v>46091</v>
      </c>
      <c r="L1184" s="14">
        <f t="shared" si="92"/>
        <v>46091.624664351853</v>
      </c>
      <c r="N1184" s="12"/>
    </row>
    <row r="1185" spans="1:14" x14ac:dyDescent="0.25">
      <c r="A1185" s="4" t="s">
        <v>1214</v>
      </c>
      <c r="B1185" s="16" t="str">
        <f t="shared" si="88"/>
        <v>MAA DURGA STONE CRUSHING COMPANY</v>
      </c>
      <c r="C1185" s="16" t="str">
        <f t="shared" si="89"/>
        <v>CHADWAS(Chadwas/Bidasar/Sujangarh)</v>
      </c>
      <c r="D1185" s="4" t="s">
        <v>3034</v>
      </c>
      <c r="E1185" s="4" t="s">
        <v>3119</v>
      </c>
      <c r="F1185" s="5">
        <v>46090.999664351853</v>
      </c>
      <c r="G1185" s="16" t="str">
        <f t="shared" si="90"/>
        <v>MasonaryStone (Gitti)</v>
      </c>
      <c r="H1185" s="4" t="s">
        <v>2406</v>
      </c>
      <c r="I1185" s="18" t="str" cm="1">
        <f t="array" ref="I1185">_xlfn.LET(_xlpm.text, D1185,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5" s="18" t="str" cm="1">
        <f t="array" ref="J1185">_xlfn.LET(_xlpm.text, E1185,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5" s="14">
        <f t="shared" si="91"/>
        <v>46091</v>
      </c>
      <c r="L1185" s="14">
        <f t="shared" si="92"/>
        <v>46091.624664351853</v>
      </c>
      <c r="N1185" s="12"/>
    </row>
    <row r="1186" spans="1:14" x14ac:dyDescent="0.25">
      <c r="A1186" s="4" t="s">
        <v>1215</v>
      </c>
      <c r="B1186" s="16" t="str">
        <f t="shared" si="88"/>
        <v>MAA DURGA STONE CRUSHING COMPANY</v>
      </c>
      <c r="C1186" s="16" t="str">
        <f t="shared" si="89"/>
        <v>CHADWAS(Chadwas/Bidasar/Sujangarh)</v>
      </c>
      <c r="D1186" s="4" t="s">
        <v>3034</v>
      </c>
      <c r="E1186" s="4" t="s">
        <v>3119</v>
      </c>
      <c r="F1186" s="5">
        <v>46090.999664351853</v>
      </c>
      <c r="G1186" s="16" t="str">
        <f t="shared" si="90"/>
        <v>MasonaryStone (Gitti)</v>
      </c>
      <c r="H1186" s="4" t="s">
        <v>2835</v>
      </c>
      <c r="I1186" s="18" t="str" cm="1">
        <f t="array" ref="I1186">_xlfn.LET(_xlpm.text, D1186,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6" s="18" t="str" cm="1">
        <f t="array" ref="J1186">_xlfn.LET(_xlpm.text, E1186,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6" s="14">
        <f t="shared" si="91"/>
        <v>46091</v>
      </c>
      <c r="L1186" s="14">
        <f t="shared" si="92"/>
        <v>46091.624664351853</v>
      </c>
      <c r="N1186" s="12"/>
    </row>
    <row r="1187" spans="1:14" x14ac:dyDescent="0.25">
      <c r="A1187" s="4" t="s">
        <v>1216</v>
      </c>
      <c r="B1187" s="16" t="str">
        <f t="shared" si="88"/>
        <v>MAA DURGA STONE CRUSHING COMPANY</v>
      </c>
      <c r="C1187" s="16" t="str">
        <f t="shared" si="89"/>
        <v>CHADWAS(Chadwas/Bidasar/Sujangarh)</v>
      </c>
      <c r="D1187" s="4" t="s">
        <v>3034</v>
      </c>
      <c r="E1187" s="4" t="s">
        <v>3119</v>
      </c>
      <c r="F1187" s="5">
        <v>46090.999664351853</v>
      </c>
      <c r="G1187" s="16" t="str">
        <f t="shared" si="90"/>
        <v>MasonaryStone (Gitti)</v>
      </c>
      <c r="H1187" s="4" t="s">
        <v>2664</v>
      </c>
      <c r="I1187" s="18" t="str" cm="1">
        <f t="array" ref="I1187">_xlfn.LET(_xlpm.text, D1187,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7" s="18" t="str" cm="1">
        <f t="array" ref="J1187">_xlfn.LET(_xlpm.text, E1187,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7" s="14">
        <f t="shared" si="91"/>
        <v>46091</v>
      </c>
      <c r="L1187" s="14">
        <f t="shared" si="92"/>
        <v>46091.624664351853</v>
      </c>
      <c r="N1187" s="12"/>
    </row>
    <row r="1188" spans="1:14" x14ac:dyDescent="0.25">
      <c r="A1188" s="4" t="s">
        <v>1217</v>
      </c>
      <c r="B1188" s="16" t="str">
        <f t="shared" si="88"/>
        <v>MAA DURGA STONE CRUSHING COMPANY</v>
      </c>
      <c r="C1188" s="16" t="str">
        <f t="shared" si="89"/>
        <v>CHADWAS(Chadwas/Bidasar/Sujangarh)</v>
      </c>
      <c r="D1188" s="4" t="s">
        <v>3034</v>
      </c>
      <c r="E1188" s="4" t="s">
        <v>3119</v>
      </c>
      <c r="F1188" s="5">
        <v>46090.999664351853</v>
      </c>
      <c r="G1188" s="16" t="str">
        <f t="shared" si="90"/>
        <v>MasonaryStone (Gitti)</v>
      </c>
      <c r="H1188" s="4" t="s">
        <v>2833</v>
      </c>
      <c r="I1188" s="18" t="str" cm="1">
        <f t="array" ref="I1188">_xlfn.LET(_xlpm.text, D1188,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8" s="18" t="str" cm="1">
        <f t="array" ref="J1188">_xlfn.LET(_xlpm.text, E1188,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8" s="14">
        <f t="shared" si="91"/>
        <v>46091</v>
      </c>
      <c r="L1188" s="14">
        <f t="shared" si="92"/>
        <v>46091.624664351853</v>
      </c>
      <c r="N1188" s="12"/>
    </row>
    <row r="1189" spans="1:14" x14ac:dyDescent="0.25">
      <c r="A1189" s="4" t="s">
        <v>1218</v>
      </c>
      <c r="B1189" s="16" t="str">
        <f t="shared" si="88"/>
        <v>MAA DURGA STONE CRUSHING COMPANY</v>
      </c>
      <c r="C1189" s="16" t="str">
        <f t="shared" si="89"/>
        <v>CHADWAS(Chadwas/Bidasar/Sujangarh)</v>
      </c>
      <c r="D1189" s="4" t="s">
        <v>3034</v>
      </c>
      <c r="E1189" s="4" t="s">
        <v>3119</v>
      </c>
      <c r="F1189" s="5">
        <v>46090.999664351853</v>
      </c>
      <c r="G1189" s="16" t="str">
        <f t="shared" si="90"/>
        <v>MasonaryStone (Gitti)</v>
      </c>
      <c r="H1189" s="4" t="s">
        <v>427</v>
      </c>
      <c r="I1189" s="18" t="str" cm="1">
        <f t="array" ref="I1189">_xlfn.LET(_xlpm.text, D1189,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89" s="18" t="str" cm="1">
        <f t="array" ref="J1189">_xlfn.LET(_xlpm.text, E1189,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89" s="14">
        <f t="shared" si="91"/>
        <v>46091</v>
      </c>
      <c r="L1189" s="14">
        <f t="shared" si="92"/>
        <v>46091.624664351853</v>
      </c>
      <c r="N1189" s="12"/>
    </row>
    <row r="1190" spans="1:14" x14ac:dyDescent="0.25">
      <c r="A1190" s="4" t="s">
        <v>1219</v>
      </c>
      <c r="B1190" s="16" t="str">
        <f t="shared" si="88"/>
        <v>MAA DURGA STONE CRUSHING COMPANY</v>
      </c>
      <c r="C1190" s="16" t="str">
        <f t="shared" si="89"/>
        <v>CHADWAS(Chadwas/Bidasar/Sujangarh)</v>
      </c>
      <c r="D1190" s="4" t="s">
        <v>3034</v>
      </c>
      <c r="E1190" s="4" t="s">
        <v>3119</v>
      </c>
      <c r="F1190" s="5">
        <v>46091.999664351853</v>
      </c>
      <c r="G1190" s="16" t="str">
        <f t="shared" si="90"/>
        <v>MasonaryStone (Gitti)</v>
      </c>
      <c r="H1190" s="4" t="s">
        <v>2489</v>
      </c>
      <c r="I1190" s="18" t="str" cm="1">
        <f t="array" ref="I1190">_xlfn.LET(_xlpm.text, D1190,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0" s="18" t="str" cm="1">
        <f t="array" ref="J1190">_xlfn.LET(_xlpm.text, E1190,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0" s="14">
        <f t="shared" si="91"/>
        <v>46092</v>
      </c>
      <c r="L1190" s="14">
        <f t="shared" si="92"/>
        <v>46092.624664351853</v>
      </c>
      <c r="N1190" s="12"/>
    </row>
    <row r="1191" spans="1:14" x14ac:dyDescent="0.25">
      <c r="A1191" s="4" t="s">
        <v>1220</v>
      </c>
      <c r="B1191" s="16" t="str">
        <f t="shared" si="88"/>
        <v>MAA DURGA STONE CRUSHING COMPANY</v>
      </c>
      <c r="C1191" s="16" t="str">
        <f t="shared" si="89"/>
        <v>CHADWAS(Chadwas/Bidasar/Sujangarh)</v>
      </c>
      <c r="D1191" s="4" t="s">
        <v>3034</v>
      </c>
      <c r="E1191" s="4" t="s">
        <v>3119</v>
      </c>
      <c r="F1191" s="5">
        <v>46091.999664351853</v>
      </c>
      <c r="G1191" s="16" t="str">
        <f t="shared" si="90"/>
        <v>MasonaryStone (Gitti)</v>
      </c>
      <c r="H1191" s="4" t="s">
        <v>2257</v>
      </c>
      <c r="I1191" s="18" t="str" cm="1">
        <f t="array" ref="I1191">_xlfn.LET(_xlpm.text, D1191,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1" s="18" t="str" cm="1">
        <f t="array" ref="J1191">_xlfn.LET(_xlpm.text, E1191,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1" s="14">
        <f t="shared" si="91"/>
        <v>46092</v>
      </c>
      <c r="L1191" s="14">
        <f t="shared" si="92"/>
        <v>46092.624664351853</v>
      </c>
      <c r="N1191" s="12"/>
    </row>
    <row r="1192" spans="1:14" x14ac:dyDescent="0.25">
      <c r="A1192" s="4" t="s">
        <v>1221</v>
      </c>
      <c r="B1192" s="16" t="str">
        <f t="shared" si="88"/>
        <v>MAA DURGA STONE CRUSHING COMPANY</v>
      </c>
      <c r="C1192" s="16" t="str">
        <f t="shared" si="89"/>
        <v>CHADWAS(Chadwas/Bidasar/Sujangarh)</v>
      </c>
      <c r="D1192" s="4" t="s">
        <v>3034</v>
      </c>
      <c r="E1192" s="4" t="s">
        <v>3119</v>
      </c>
      <c r="F1192" s="5">
        <v>46091.999664351853</v>
      </c>
      <c r="G1192" s="16" t="str">
        <f t="shared" si="90"/>
        <v>MasonaryStone (Gitti)</v>
      </c>
      <c r="H1192" s="4" t="s">
        <v>2489</v>
      </c>
      <c r="I1192" s="18" t="str" cm="1">
        <f t="array" ref="I1192">_xlfn.LET(_xlpm.text, D1192,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2" s="18" t="str" cm="1">
        <f t="array" ref="J1192">_xlfn.LET(_xlpm.text, E1192,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2" s="14">
        <f t="shared" si="91"/>
        <v>46092</v>
      </c>
      <c r="L1192" s="14">
        <f t="shared" si="92"/>
        <v>46092.624664351853</v>
      </c>
      <c r="N1192" s="12"/>
    </row>
    <row r="1193" spans="1:14" x14ac:dyDescent="0.25">
      <c r="A1193" s="4" t="s">
        <v>1222</v>
      </c>
      <c r="B1193" s="16" t="str">
        <f t="shared" si="88"/>
        <v>MAA DURGA STONE CRUSHING COMPANY</v>
      </c>
      <c r="C1193" s="16" t="str">
        <f t="shared" si="89"/>
        <v>CHADWAS(Chadwas/Bidasar/Sujangarh)</v>
      </c>
      <c r="D1193" s="4" t="s">
        <v>3034</v>
      </c>
      <c r="E1193" s="4" t="s">
        <v>3119</v>
      </c>
      <c r="F1193" s="5">
        <v>46091.999664351853</v>
      </c>
      <c r="G1193" s="16" t="str">
        <f t="shared" si="90"/>
        <v>MasonaryStone (Gitti)</v>
      </c>
      <c r="H1193" s="4" t="s">
        <v>413</v>
      </c>
      <c r="I1193" s="18" t="str" cm="1">
        <f t="array" ref="I1193">_xlfn.LET(_xlpm.text, D1193,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3" s="18" t="str" cm="1">
        <f t="array" ref="J1193">_xlfn.LET(_xlpm.text, E1193,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3" s="14">
        <f t="shared" si="91"/>
        <v>46092</v>
      </c>
      <c r="L1193" s="14">
        <f t="shared" si="92"/>
        <v>46092.624664351853</v>
      </c>
      <c r="N1193" s="12"/>
    </row>
    <row r="1194" spans="1:14" x14ac:dyDescent="0.25">
      <c r="A1194" s="4" t="s">
        <v>1223</v>
      </c>
      <c r="B1194" s="16" t="str">
        <f t="shared" si="88"/>
        <v>MAA DURGA STONE CRUSHING COMPANY</v>
      </c>
      <c r="C1194" s="16" t="str">
        <f t="shared" si="89"/>
        <v>CHADWAS(Chadwas/Bidasar/Sujangarh)</v>
      </c>
      <c r="D1194" s="4" t="s">
        <v>3034</v>
      </c>
      <c r="E1194" s="4" t="s">
        <v>3119</v>
      </c>
      <c r="F1194" s="5">
        <v>46091.999664351853</v>
      </c>
      <c r="G1194" s="16" t="str">
        <f t="shared" si="90"/>
        <v>MasonaryStone (Gitti)</v>
      </c>
      <c r="H1194" s="4" t="s">
        <v>2773</v>
      </c>
      <c r="I1194" s="18" t="str" cm="1">
        <f t="array" ref="I1194">_xlfn.LET(_xlpm.text, D1194,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4" s="18" t="str" cm="1">
        <f t="array" ref="J1194">_xlfn.LET(_xlpm.text, E1194,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4" s="14">
        <f t="shared" si="91"/>
        <v>46092</v>
      </c>
      <c r="L1194" s="14">
        <f t="shared" si="92"/>
        <v>46092.624664351853</v>
      </c>
      <c r="N1194" s="12"/>
    </row>
    <row r="1195" spans="1:14" x14ac:dyDescent="0.25">
      <c r="A1195" s="4" t="s">
        <v>1224</v>
      </c>
      <c r="B1195" s="16" t="str">
        <f t="shared" si="88"/>
        <v>MAA DURGA STONE CRUSHING COMPANY</v>
      </c>
      <c r="C1195" s="16" t="str">
        <f t="shared" si="89"/>
        <v>CHADWAS(Chadwas/Bidasar/Sujangarh)</v>
      </c>
      <c r="D1195" s="4" t="s">
        <v>3034</v>
      </c>
      <c r="E1195" s="4" t="s">
        <v>3119</v>
      </c>
      <c r="F1195" s="5">
        <v>46091.999664351853</v>
      </c>
      <c r="G1195" s="16" t="str">
        <f t="shared" si="90"/>
        <v>MasonaryStone (Gitti)</v>
      </c>
      <c r="H1195" s="4" t="s">
        <v>2281</v>
      </c>
      <c r="I1195" s="18" t="str" cm="1">
        <f t="array" ref="I1195">_xlfn.LET(_xlpm.text, D1195,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5" s="18" t="str" cm="1">
        <f t="array" ref="J1195">_xlfn.LET(_xlpm.text, E1195,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5" s="14">
        <f t="shared" si="91"/>
        <v>46092</v>
      </c>
      <c r="L1195" s="14">
        <f t="shared" si="92"/>
        <v>46092.624664351853</v>
      </c>
      <c r="N1195" s="12"/>
    </row>
    <row r="1196" spans="1:14" x14ac:dyDescent="0.25">
      <c r="A1196" s="4" t="s">
        <v>1225</v>
      </c>
      <c r="B1196" s="16" t="str">
        <f t="shared" si="88"/>
        <v>MAA DURGA STONE CRUSHING COMPANY</v>
      </c>
      <c r="C1196" s="16" t="str">
        <f t="shared" si="89"/>
        <v>CHADWAS(Chadwas/Bidasar/Sujangarh)</v>
      </c>
      <c r="D1196" s="4" t="s">
        <v>3034</v>
      </c>
      <c r="E1196" s="4" t="s">
        <v>3119</v>
      </c>
      <c r="F1196" s="5">
        <v>46091.999664351853</v>
      </c>
      <c r="G1196" s="16" t="str">
        <f t="shared" si="90"/>
        <v>MasonaryStone (Gitti)</v>
      </c>
      <c r="H1196" s="4" t="s">
        <v>2581</v>
      </c>
      <c r="I1196" s="18" t="str" cm="1">
        <f t="array" ref="I1196">_xlfn.LET(_xlpm.text, D1196,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6" s="18" t="str" cm="1">
        <f t="array" ref="J1196">_xlfn.LET(_xlpm.text, E1196,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6" s="14">
        <f t="shared" si="91"/>
        <v>46092</v>
      </c>
      <c r="L1196" s="14">
        <f t="shared" si="92"/>
        <v>46092.624664351853</v>
      </c>
      <c r="N1196" s="12"/>
    </row>
    <row r="1197" spans="1:14" x14ac:dyDescent="0.25">
      <c r="A1197" s="4" t="s">
        <v>1226</v>
      </c>
      <c r="B1197" s="16" t="str">
        <f t="shared" si="88"/>
        <v>MAA DURGA STONE CRUSHING COMPANY</v>
      </c>
      <c r="C1197" s="16" t="str">
        <f t="shared" si="89"/>
        <v>CHADWAS(Chadwas/Bidasar/Sujangarh)</v>
      </c>
      <c r="D1197" s="4" t="s">
        <v>3034</v>
      </c>
      <c r="E1197" s="4" t="s">
        <v>3119</v>
      </c>
      <c r="F1197" s="5">
        <v>46091.999664351853</v>
      </c>
      <c r="G1197" s="16" t="str">
        <f t="shared" si="90"/>
        <v>MasonaryStone (Gitti)</v>
      </c>
      <c r="H1197" s="4" t="s">
        <v>2773</v>
      </c>
      <c r="I1197" s="18" t="str" cm="1">
        <f t="array" ref="I1197">_xlfn.LET(_xlpm.text, D1197,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7" s="18" t="str" cm="1">
        <f t="array" ref="J1197">_xlfn.LET(_xlpm.text, E1197,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7" s="14">
        <f t="shared" si="91"/>
        <v>46092</v>
      </c>
      <c r="L1197" s="14">
        <f t="shared" si="92"/>
        <v>46092.624664351853</v>
      </c>
      <c r="N1197" s="12"/>
    </row>
    <row r="1198" spans="1:14" x14ac:dyDescent="0.25">
      <c r="A1198" s="4" t="s">
        <v>1227</v>
      </c>
      <c r="B1198" s="16" t="str">
        <f t="shared" si="88"/>
        <v>MAA DURGA STONE CRUSHING COMPANY</v>
      </c>
      <c r="C1198" s="16" t="str">
        <f t="shared" si="89"/>
        <v>CHADWAS(Chadwas/Bidasar/Sujangarh)</v>
      </c>
      <c r="D1198" s="4" t="s">
        <v>3034</v>
      </c>
      <c r="E1198" s="4" t="s">
        <v>3119</v>
      </c>
      <c r="F1198" s="5">
        <v>46091.999664351853</v>
      </c>
      <c r="G1198" s="16" t="str">
        <f t="shared" si="90"/>
        <v>MasonaryStone (Gitti)</v>
      </c>
      <c r="H1198" s="4" t="s">
        <v>2660</v>
      </c>
      <c r="I1198" s="18" t="str" cm="1">
        <f t="array" ref="I1198">_xlfn.LET(_xlpm.text, D1198,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8" s="18" t="str" cm="1">
        <f t="array" ref="J1198">_xlfn.LET(_xlpm.text, E1198,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8" s="14">
        <f t="shared" si="91"/>
        <v>46092</v>
      </c>
      <c r="L1198" s="14">
        <f t="shared" si="92"/>
        <v>46092.624664351853</v>
      </c>
      <c r="N1198" s="12"/>
    </row>
    <row r="1199" spans="1:14" x14ac:dyDescent="0.25">
      <c r="A1199" s="4" t="s">
        <v>1228</v>
      </c>
      <c r="B1199" s="16" t="str">
        <f t="shared" si="88"/>
        <v>MAA DURGA STONE CRUSHING COMPANY</v>
      </c>
      <c r="C1199" s="16" t="str">
        <f t="shared" si="89"/>
        <v>CHADWAS(Chadwas/Bidasar/Sujangarh)</v>
      </c>
      <c r="D1199" s="4" t="s">
        <v>3034</v>
      </c>
      <c r="E1199" s="4" t="s">
        <v>3119</v>
      </c>
      <c r="F1199" s="5">
        <v>46091.999664351853</v>
      </c>
      <c r="G1199" s="16" t="str">
        <f t="shared" si="90"/>
        <v>MasonaryStone (Gitti)</v>
      </c>
      <c r="H1199" s="4" t="s">
        <v>2524</v>
      </c>
      <c r="I1199" s="18" t="str" cm="1">
        <f t="array" ref="I1199">_xlfn.LET(_xlpm.text, D1199,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199" s="18" t="str" cm="1">
        <f t="array" ref="J1199">_xlfn.LET(_xlpm.text, E1199,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199" s="14">
        <f t="shared" si="91"/>
        <v>46092</v>
      </c>
      <c r="L1199" s="14">
        <f t="shared" si="92"/>
        <v>46092.624664351853</v>
      </c>
      <c r="N1199" s="12"/>
    </row>
    <row r="1200" spans="1:14" x14ac:dyDescent="0.25">
      <c r="A1200" s="4" t="s">
        <v>1229</v>
      </c>
      <c r="B1200" s="16" t="str">
        <f t="shared" si="88"/>
        <v>MAA DURGA STONE CRUSHING COMPANY</v>
      </c>
      <c r="C1200" s="16" t="str">
        <f t="shared" si="89"/>
        <v>CHADWAS(Chadwas/Bidasar/Sujangarh)</v>
      </c>
      <c r="D1200" s="4" t="s">
        <v>3034</v>
      </c>
      <c r="E1200" s="4" t="s">
        <v>3119</v>
      </c>
      <c r="F1200" s="5">
        <v>46091.999664351853</v>
      </c>
      <c r="G1200" s="16" t="str">
        <f t="shared" si="90"/>
        <v>MasonaryStone (Gitti)</v>
      </c>
      <c r="H1200" s="4" t="s">
        <v>2835</v>
      </c>
      <c r="I1200" s="18" t="str" cm="1">
        <f t="array" ref="I1200">_xlfn.LET(_xlpm.text, D1200,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0" s="18" t="str" cm="1">
        <f t="array" ref="J1200">_xlfn.LET(_xlpm.text, E1200,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0" s="14">
        <f t="shared" si="91"/>
        <v>46092</v>
      </c>
      <c r="L1200" s="14">
        <f t="shared" si="92"/>
        <v>46092.624664351853</v>
      </c>
      <c r="N1200" s="12"/>
    </row>
    <row r="1201" spans="1:14" x14ac:dyDescent="0.25">
      <c r="A1201" s="4" t="s">
        <v>1230</v>
      </c>
      <c r="B1201" s="16" t="str">
        <f t="shared" si="88"/>
        <v>MAA DURGA STONE CRUSHING COMPANY</v>
      </c>
      <c r="C1201" s="16" t="str">
        <f t="shared" si="89"/>
        <v>CHADWAS(Chadwas/Bidasar/Sujangarh)</v>
      </c>
      <c r="D1201" s="4" t="s">
        <v>3034</v>
      </c>
      <c r="E1201" s="4" t="s">
        <v>3119</v>
      </c>
      <c r="F1201" s="5">
        <v>46091.999664351853</v>
      </c>
      <c r="G1201" s="16" t="str">
        <f t="shared" si="90"/>
        <v>MasonaryStone (Gitti)</v>
      </c>
      <c r="H1201" s="4" t="s">
        <v>2409</v>
      </c>
      <c r="I1201" s="18" t="str" cm="1">
        <f t="array" ref="I1201">_xlfn.LET(_xlpm.text, D1201,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1" s="18" t="str" cm="1">
        <f t="array" ref="J1201">_xlfn.LET(_xlpm.text, E1201,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1" s="14">
        <f t="shared" si="91"/>
        <v>46092</v>
      </c>
      <c r="L1201" s="14">
        <f t="shared" si="92"/>
        <v>46092.624664351853</v>
      </c>
      <c r="N1201" s="12"/>
    </row>
    <row r="1202" spans="1:14" x14ac:dyDescent="0.25">
      <c r="A1202" s="4" t="s">
        <v>1231</v>
      </c>
      <c r="B1202" s="16" t="str">
        <f t="shared" si="88"/>
        <v>MAA DURGA STONE CRUSHING COMPANY</v>
      </c>
      <c r="C1202" s="16" t="str">
        <f t="shared" si="89"/>
        <v>CHADWAS(Chadwas/Bidasar/Sujangarh)</v>
      </c>
      <c r="D1202" s="4" t="s">
        <v>3034</v>
      </c>
      <c r="E1202" s="4" t="s">
        <v>3119</v>
      </c>
      <c r="F1202" s="5">
        <v>46091.999664351853</v>
      </c>
      <c r="G1202" s="16" t="str">
        <f t="shared" si="90"/>
        <v>MasonaryStone (Gitti)</v>
      </c>
      <c r="H1202" s="4" t="s">
        <v>2667</v>
      </c>
      <c r="I1202" s="18" t="str" cm="1">
        <f t="array" ref="I1202">_xlfn.LET(_xlpm.text, D1202,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2" s="18" t="str" cm="1">
        <f t="array" ref="J1202">_xlfn.LET(_xlpm.text, E1202,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2" s="14">
        <f t="shared" si="91"/>
        <v>46092</v>
      </c>
      <c r="L1202" s="14">
        <f t="shared" si="92"/>
        <v>46092.624664351853</v>
      </c>
      <c r="N1202" s="12"/>
    </row>
    <row r="1203" spans="1:14" x14ac:dyDescent="0.25">
      <c r="A1203" s="4" t="s">
        <v>1232</v>
      </c>
      <c r="B1203" s="16" t="str">
        <f t="shared" si="88"/>
        <v>MAA DURGA STONE CRUSHING COMPANY</v>
      </c>
      <c r="C1203" s="16" t="str">
        <f t="shared" si="89"/>
        <v>CHADWAS(Chadwas/Bidasar/Sujangarh)</v>
      </c>
      <c r="D1203" s="4" t="s">
        <v>3034</v>
      </c>
      <c r="E1203" s="4" t="s">
        <v>3119</v>
      </c>
      <c r="F1203" s="5">
        <v>46091.999664351853</v>
      </c>
      <c r="G1203" s="16" t="str">
        <f t="shared" si="90"/>
        <v>MasonaryStone (Gitti)</v>
      </c>
      <c r="H1203" s="4" t="s">
        <v>2617</v>
      </c>
      <c r="I1203" s="18" t="str" cm="1">
        <f t="array" ref="I1203">_xlfn.LET(_xlpm.text, D1203,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3" s="18" t="str" cm="1">
        <f t="array" ref="J1203">_xlfn.LET(_xlpm.text, E1203,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3" s="14">
        <f t="shared" si="91"/>
        <v>46092</v>
      </c>
      <c r="L1203" s="14">
        <f t="shared" si="92"/>
        <v>46092.624664351853</v>
      </c>
      <c r="N1203" s="12"/>
    </row>
    <row r="1204" spans="1:14" x14ac:dyDescent="0.25">
      <c r="A1204" s="4" t="s">
        <v>1233</v>
      </c>
      <c r="B1204" s="16" t="str">
        <f t="shared" si="88"/>
        <v>MAA DURGA STONE CRUSHING COMPANY</v>
      </c>
      <c r="C1204" s="16" t="str">
        <f t="shared" si="89"/>
        <v>CHADWAS(Chadwas/Bidasar/Sujangarh)</v>
      </c>
      <c r="D1204" s="4" t="s">
        <v>3034</v>
      </c>
      <c r="E1204" s="4" t="s">
        <v>3119</v>
      </c>
      <c r="F1204" s="5">
        <v>46091.999664351853</v>
      </c>
      <c r="G1204" s="16" t="str">
        <f t="shared" si="90"/>
        <v>MasonaryStone (Gitti)</v>
      </c>
      <c r="H1204" s="4" t="s">
        <v>2617</v>
      </c>
      <c r="I1204" s="18" t="str" cm="1">
        <f t="array" ref="I1204">_xlfn.LET(_xlpm.text, D1204,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4" s="18" t="str" cm="1">
        <f t="array" ref="J1204">_xlfn.LET(_xlpm.text, E1204,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4" s="14">
        <f t="shared" si="91"/>
        <v>46092</v>
      </c>
      <c r="L1204" s="14">
        <f t="shared" si="92"/>
        <v>46092.624664351853</v>
      </c>
      <c r="N1204" s="12"/>
    </row>
    <row r="1205" spans="1:14" x14ac:dyDescent="0.25">
      <c r="A1205" s="4" t="s">
        <v>1234</v>
      </c>
      <c r="B1205" s="16" t="str">
        <f t="shared" si="88"/>
        <v>MAA DURGA STONE CRUSHING COMPANY</v>
      </c>
      <c r="C1205" s="16" t="str">
        <f t="shared" si="89"/>
        <v>CHADWAS(Chadwas/Bidasar/Sujangarh)</v>
      </c>
      <c r="D1205" s="4" t="s">
        <v>3034</v>
      </c>
      <c r="E1205" s="4" t="s">
        <v>3119</v>
      </c>
      <c r="F1205" s="5">
        <v>46091.999664351853</v>
      </c>
      <c r="G1205" s="16" t="str">
        <f t="shared" si="90"/>
        <v>MasonaryStone (Gitti)</v>
      </c>
      <c r="H1205" s="4" t="s">
        <v>2836</v>
      </c>
      <c r="I1205" s="18" t="str" cm="1">
        <f t="array" ref="I1205">_xlfn.LET(_xlpm.text, D1205,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5" s="18" t="str" cm="1">
        <f t="array" ref="J1205">_xlfn.LET(_xlpm.text, E1205,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5" s="14">
        <f t="shared" si="91"/>
        <v>46092</v>
      </c>
      <c r="L1205" s="14">
        <f t="shared" si="92"/>
        <v>46092.624664351853</v>
      </c>
      <c r="N1205" s="12"/>
    </row>
    <row r="1206" spans="1:14" x14ac:dyDescent="0.25">
      <c r="A1206" s="4" t="s">
        <v>1235</v>
      </c>
      <c r="B1206" s="16" t="str">
        <f t="shared" si="88"/>
        <v>MAA DURGA STONE CRUSHING COMPANY</v>
      </c>
      <c r="C1206" s="16" t="str">
        <f t="shared" si="89"/>
        <v>CHADWAS(Chadwas/Bidasar/Sujangarh)</v>
      </c>
      <c r="D1206" s="4" t="s">
        <v>3034</v>
      </c>
      <c r="E1206" s="4" t="s">
        <v>3119</v>
      </c>
      <c r="F1206" s="5">
        <v>46091.999664351853</v>
      </c>
      <c r="G1206" s="16" t="str">
        <f t="shared" si="90"/>
        <v>MasonaryStone (Gitti)</v>
      </c>
      <c r="H1206" s="4" t="s">
        <v>2833</v>
      </c>
      <c r="I1206" s="18" t="str" cm="1">
        <f t="array" ref="I1206">_xlfn.LET(_xlpm.text, D1206,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6" s="18" t="str" cm="1">
        <f t="array" ref="J1206">_xlfn.LET(_xlpm.text, E1206,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6" s="14">
        <f t="shared" si="91"/>
        <v>46092</v>
      </c>
      <c r="L1206" s="14">
        <f t="shared" si="92"/>
        <v>46092.624664351853</v>
      </c>
      <c r="N1206" s="12"/>
    </row>
    <row r="1207" spans="1:14" x14ac:dyDescent="0.25">
      <c r="A1207" s="4" t="s">
        <v>1236</v>
      </c>
      <c r="B1207" s="16" t="str">
        <f t="shared" si="88"/>
        <v>MAA DURGA STONE CRUSHING COMPANY</v>
      </c>
      <c r="C1207" s="16" t="str">
        <f t="shared" si="89"/>
        <v>CHADWAS(Chadwas/Bidasar/Sujangarh)</v>
      </c>
      <c r="D1207" s="4" t="s">
        <v>3034</v>
      </c>
      <c r="E1207" s="4" t="s">
        <v>3119</v>
      </c>
      <c r="F1207" s="5">
        <v>46091.999664351853</v>
      </c>
      <c r="G1207" s="16" t="str">
        <f t="shared" si="90"/>
        <v>MasonaryStone (Gitti)</v>
      </c>
      <c r="H1207" s="4" t="s">
        <v>2581</v>
      </c>
      <c r="I1207" s="18" t="str" cm="1">
        <f t="array" ref="I1207">_xlfn.LET(_xlpm.text, D1207,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7" s="18" t="str" cm="1">
        <f t="array" ref="J1207">_xlfn.LET(_xlpm.text, E1207,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7" s="14">
        <f t="shared" si="91"/>
        <v>46092</v>
      </c>
      <c r="L1207" s="14">
        <f t="shared" si="92"/>
        <v>46092.624664351853</v>
      </c>
      <c r="N1207" s="12"/>
    </row>
    <row r="1208" spans="1:14" x14ac:dyDescent="0.25">
      <c r="A1208" s="4" t="s">
        <v>1237</v>
      </c>
      <c r="B1208" s="16" t="str">
        <f t="shared" si="88"/>
        <v>MAA DURGA STONE CRUSHING COMPANY</v>
      </c>
      <c r="C1208" s="16" t="str">
        <f t="shared" si="89"/>
        <v>CHADWAS(Chadwas/Bidasar/Sujangarh)</v>
      </c>
      <c r="D1208" s="4" t="s">
        <v>3034</v>
      </c>
      <c r="E1208" s="4" t="s">
        <v>3119</v>
      </c>
      <c r="F1208" s="5">
        <v>46091.999664351853</v>
      </c>
      <c r="G1208" s="16" t="str">
        <f t="shared" si="90"/>
        <v>MasonaryStone (Gitti)</v>
      </c>
      <c r="H1208" s="4" t="s">
        <v>2581</v>
      </c>
      <c r="I1208" s="18" t="str" cm="1">
        <f t="array" ref="I1208">_xlfn.LET(_xlpm.text, D1208,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8" s="18" t="str" cm="1">
        <f t="array" ref="J1208">_xlfn.LET(_xlpm.text, E1208,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8" s="14">
        <f t="shared" si="91"/>
        <v>46092</v>
      </c>
      <c r="L1208" s="14">
        <f t="shared" si="92"/>
        <v>46092.624664351853</v>
      </c>
      <c r="N1208" s="12"/>
    </row>
    <row r="1209" spans="1:14" x14ac:dyDescent="0.25">
      <c r="A1209" s="4" t="s">
        <v>1238</v>
      </c>
      <c r="B1209" s="16" t="str">
        <f t="shared" si="88"/>
        <v>MAA DURGA STONE CRUSHING COMPANY</v>
      </c>
      <c r="C1209" s="16" t="str">
        <f t="shared" si="89"/>
        <v>CHADWAS(Chadwas/Bidasar/Sujangarh)</v>
      </c>
      <c r="D1209" s="4" t="s">
        <v>3034</v>
      </c>
      <c r="E1209" s="4" t="s">
        <v>3119</v>
      </c>
      <c r="F1209" s="5">
        <v>46091.999664351853</v>
      </c>
      <c r="G1209" s="16" t="str">
        <f t="shared" si="90"/>
        <v>MasonaryStone (Gitti)</v>
      </c>
      <c r="H1209" s="4" t="s">
        <v>2405</v>
      </c>
      <c r="I1209" s="18" t="str" cm="1">
        <f t="array" ref="I1209">_xlfn.LET(_xlpm.text, D1209,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09" s="18" t="str" cm="1">
        <f t="array" ref="J1209">_xlfn.LET(_xlpm.text, E1209,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09" s="14">
        <f t="shared" si="91"/>
        <v>46092</v>
      </c>
      <c r="L1209" s="14">
        <f t="shared" si="92"/>
        <v>46092.624664351853</v>
      </c>
      <c r="N1209" s="12"/>
    </row>
    <row r="1210" spans="1:14" x14ac:dyDescent="0.25">
      <c r="A1210" s="4" t="s">
        <v>1239</v>
      </c>
      <c r="B1210" s="16" t="str">
        <f t="shared" si="88"/>
        <v>ADWAITH AGGREGATE SOLUTIONS</v>
      </c>
      <c r="C1210" s="16" t="str">
        <f t="shared" si="89"/>
        <v>KHASRA NO. 942/779 HANUMAN NAGAR (Hanuman Nagar/Nagaur/Nagaur)</v>
      </c>
      <c r="D1210" s="4" t="s">
        <v>3033</v>
      </c>
      <c r="E1210" s="4" t="s">
        <v>3119</v>
      </c>
      <c r="F1210" s="5">
        <v>46035.999664351853</v>
      </c>
      <c r="G1210" s="16" t="str">
        <f t="shared" si="90"/>
        <v>MasonaryStone (Gitti)</v>
      </c>
      <c r="H1210" s="4" t="s">
        <v>2423</v>
      </c>
      <c r="I1210" s="18" t="str" cm="1">
        <f t="array" ref="I1210">_xlfn.LET(_xlpm.text, D1210,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210" s="18" t="str" cm="1">
        <f t="array" ref="J1210">_xlfn.LET(_xlpm.text, E1210,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0" s="14">
        <f t="shared" si="91"/>
        <v>46036</v>
      </c>
      <c r="L1210" s="14">
        <f t="shared" si="92"/>
        <v>46036.624664351853</v>
      </c>
      <c r="N1210" s="12"/>
    </row>
    <row r="1211" spans="1:14" x14ac:dyDescent="0.25">
      <c r="A1211" s="4" t="s">
        <v>1240</v>
      </c>
      <c r="B1211" s="16" t="str">
        <f t="shared" si="88"/>
        <v>MAA DURGA STONE CRUSHING COMPANY</v>
      </c>
      <c r="C1211" s="16" t="str">
        <f t="shared" si="89"/>
        <v>CHADWAS(Chadwas/Bidasar/Sujangarh)</v>
      </c>
      <c r="D1211" s="4" t="s">
        <v>3034</v>
      </c>
      <c r="E1211" s="4" t="s">
        <v>3119</v>
      </c>
      <c r="F1211" s="5">
        <v>46090.999664351853</v>
      </c>
      <c r="G1211" s="16" t="str">
        <f t="shared" si="90"/>
        <v>MasonaryStone (Gitti)</v>
      </c>
      <c r="H1211" s="4" t="s">
        <v>2582</v>
      </c>
      <c r="I1211" s="18" t="str" cm="1">
        <f t="array" ref="I1211">_xlfn.LET(_xlpm.text, D1211,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1" s="18" t="str" cm="1">
        <f t="array" ref="J1211">_xlfn.LET(_xlpm.text, E1211,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1" s="14">
        <f t="shared" si="91"/>
        <v>46091</v>
      </c>
      <c r="L1211" s="14">
        <f t="shared" si="92"/>
        <v>46091.624664351853</v>
      </c>
      <c r="N1211" s="12"/>
    </row>
    <row r="1212" spans="1:14" x14ac:dyDescent="0.25">
      <c r="A1212" s="4" t="s">
        <v>1241</v>
      </c>
      <c r="B1212" s="16" t="str">
        <f t="shared" si="88"/>
        <v>MAA DURGA STONE CRUSHING COMPANY</v>
      </c>
      <c r="C1212" s="16" t="str">
        <f t="shared" si="89"/>
        <v>CHADWAS(Chadwas/Bidasar/Sujangarh)</v>
      </c>
      <c r="D1212" s="4" t="s">
        <v>3034</v>
      </c>
      <c r="E1212" s="4" t="s">
        <v>3119</v>
      </c>
      <c r="F1212" s="5">
        <v>46090.999664351853</v>
      </c>
      <c r="G1212" s="16" t="str">
        <f t="shared" si="90"/>
        <v>MasonaryStone (Gitti)</v>
      </c>
      <c r="H1212" s="4" t="s">
        <v>2660</v>
      </c>
      <c r="I1212" s="18" t="str" cm="1">
        <f t="array" ref="I1212">_xlfn.LET(_xlpm.text, D1212,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2" s="18" t="str" cm="1">
        <f t="array" ref="J1212">_xlfn.LET(_xlpm.text, E1212,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2" s="14">
        <f t="shared" si="91"/>
        <v>46091</v>
      </c>
      <c r="L1212" s="14">
        <f t="shared" si="92"/>
        <v>46091.624664351853</v>
      </c>
      <c r="N1212" s="12"/>
    </row>
    <row r="1213" spans="1:14" x14ac:dyDescent="0.25">
      <c r="A1213" s="4" t="s">
        <v>1242</v>
      </c>
      <c r="B1213" s="16" t="str">
        <f t="shared" si="88"/>
        <v>MAA DURGA STONE CRUSHING COMPANY</v>
      </c>
      <c r="C1213" s="16" t="str">
        <f t="shared" si="89"/>
        <v>CHADWAS(Chadwas/Bidasar/Sujangarh)</v>
      </c>
      <c r="D1213" s="4" t="s">
        <v>3034</v>
      </c>
      <c r="E1213" s="4" t="s">
        <v>3119</v>
      </c>
      <c r="F1213" s="5">
        <v>46090.999664351853</v>
      </c>
      <c r="G1213" s="16" t="str">
        <f t="shared" si="90"/>
        <v>MasonaryStone (Gitti)</v>
      </c>
      <c r="H1213" s="4" t="s">
        <v>2837</v>
      </c>
      <c r="I1213" s="18" t="str" cm="1">
        <f t="array" ref="I1213">_xlfn.LET(_xlpm.text, D1213,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3" s="18" t="str" cm="1">
        <f t="array" ref="J1213">_xlfn.LET(_xlpm.text, E1213,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3" s="14">
        <f t="shared" si="91"/>
        <v>46091</v>
      </c>
      <c r="L1213" s="14">
        <f t="shared" si="92"/>
        <v>46091.624664351853</v>
      </c>
      <c r="N1213" s="12"/>
    </row>
    <row r="1214" spans="1:14" x14ac:dyDescent="0.25">
      <c r="A1214" s="4" t="s">
        <v>1243</v>
      </c>
      <c r="B1214" s="16" t="str">
        <f t="shared" si="88"/>
        <v>MAA DURGA STONE CRUSHING COMPANY</v>
      </c>
      <c r="C1214" s="16" t="str">
        <f t="shared" si="89"/>
        <v>CHADWAS(Chadwas/Bidasar/Sujangarh)</v>
      </c>
      <c r="D1214" s="4" t="s">
        <v>3034</v>
      </c>
      <c r="E1214" s="4" t="s">
        <v>3119</v>
      </c>
      <c r="F1214" s="5">
        <v>46089.999664351853</v>
      </c>
      <c r="G1214" s="16" t="str">
        <f t="shared" si="90"/>
        <v>MasonaryStone (Gitti)</v>
      </c>
      <c r="H1214" s="4" t="s">
        <v>2838</v>
      </c>
      <c r="I1214" s="18" t="str" cm="1">
        <f t="array" ref="I1214">_xlfn.LET(_xlpm.text, D1214,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4" s="18" t="str" cm="1">
        <f t="array" ref="J1214">_xlfn.LET(_xlpm.text, E1214,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4" s="14">
        <f t="shared" si="91"/>
        <v>46090</v>
      </c>
      <c r="L1214" s="14">
        <f t="shared" si="92"/>
        <v>46090.624664351853</v>
      </c>
      <c r="N1214" s="12"/>
    </row>
    <row r="1215" spans="1:14" x14ac:dyDescent="0.25">
      <c r="A1215" s="4" t="s">
        <v>1244</v>
      </c>
      <c r="B1215" s="16" t="str">
        <f t="shared" si="88"/>
        <v>MAA DURGA STONE CRUSHING COMPANY</v>
      </c>
      <c r="C1215" s="16" t="str">
        <f t="shared" si="89"/>
        <v>CHADWAS(Chadwas/Bidasar/Sujangarh)</v>
      </c>
      <c r="D1215" s="4" t="s">
        <v>3034</v>
      </c>
      <c r="E1215" s="4" t="s">
        <v>3119</v>
      </c>
      <c r="F1215" s="5">
        <v>46089.999664351853</v>
      </c>
      <c r="G1215" s="16" t="str">
        <f t="shared" si="90"/>
        <v>MasonaryStone (Gitti)</v>
      </c>
      <c r="H1215" s="4" t="s">
        <v>2839</v>
      </c>
      <c r="I1215" s="18" t="str" cm="1">
        <f t="array" ref="I1215">_xlfn.LET(_xlpm.text, D1215,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5" s="18" t="str" cm="1">
        <f t="array" ref="J1215">_xlfn.LET(_xlpm.text, E1215,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5" s="14">
        <f t="shared" si="91"/>
        <v>46090</v>
      </c>
      <c r="L1215" s="14">
        <f t="shared" si="92"/>
        <v>46090.624664351853</v>
      </c>
      <c r="N1215" s="12"/>
    </row>
    <row r="1216" spans="1:14" x14ac:dyDescent="0.25">
      <c r="A1216" s="4" t="s">
        <v>1245</v>
      </c>
      <c r="B1216" s="16" t="str">
        <f t="shared" si="88"/>
        <v>MAA DURGA STONE CRUSHING COMPANY</v>
      </c>
      <c r="C1216" s="16" t="str">
        <f t="shared" si="89"/>
        <v>CHADWAS(Chadwas/Bidasar/Sujangarh)</v>
      </c>
      <c r="D1216" s="4" t="s">
        <v>3034</v>
      </c>
      <c r="E1216" s="4" t="s">
        <v>3119</v>
      </c>
      <c r="F1216" s="5">
        <v>46090.999664351853</v>
      </c>
      <c r="G1216" s="16" t="str">
        <f t="shared" si="90"/>
        <v>MasonaryStone (Gitti)</v>
      </c>
      <c r="H1216" s="4" t="s">
        <v>2840</v>
      </c>
      <c r="I1216" s="18" t="str" cm="1">
        <f t="array" ref="I1216">_xlfn.LET(_xlpm.text, D1216,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6" s="18" t="str" cm="1">
        <f t="array" ref="J1216">_xlfn.LET(_xlpm.text, E1216,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6" s="14">
        <f t="shared" si="91"/>
        <v>46091</v>
      </c>
      <c r="L1216" s="14">
        <f t="shared" si="92"/>
        <v>46091.624664351853</v>
      </c>
      <c r="N1216" s="12"/>
    </row>
    <row r="1217" spans="1:14" x14ac:dyDescent="0.25">
      <c r="A1217" s="4" t="s">
        <v>1246</v>
      </c>
      <c r="B1217" s="16" t="str">
        <f t="shared" si="88"/>
        <v>MAA DURGA STONE CRUSHING COMPANY</v>
      </c>
      <c r="C1217" s="16" t="str">
        <f t="shared" si="89"/>
        <v>CHADWAS(Chadwas/Bidasar/Sujangarh)</v>
      </c>
      <c r="D1217" s="4" t="s">
        <v>3034</v>
      </c>
      <c r="E1217" s="4" t="s">
        <v>3119</v>
      </c>
      <c r="F1217" s="5">
        <v>46088.999664351853</v>
      </c>
      <c r="G1217" s="16" t="str">
        <f t="shared" si="90"/>
        <v>MasonaryStone (Gitti)</v>
      </c>
      <c r="H1217" s="4" t="s">
        <v>2824</v>
      </c>
      <c r="I1217" s="18" t="str" cm="1">
        <f t="array" ref="I1217">_xlfn.LET(_xlpm.text, D1217,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7" s="18" t="str" cm="1">
        <f t="array" ref="J1217">_xlfn.LET(_xlpm.text, E1217,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7" s="14">
        <f t="shared" si="91"/>
        <v>46089</v>
      </c>
      <c r="L1217" s="14">
        <f t="shared" si="92"/>
        <v>46089.624664351853</v>
      </c>
      <c r="N1217" s="12"/>
    </row>
    <row r="1218" spans="1:14" x14ac:dyDescent="0.25">
      <c r="A1218" s="4" t="s">
        <v>1247</v>
      </c>
      <c r="B1218" s="16" t="str">
        <f t="shared" ref="B1218:B1281" si="93">VLOOKUP(LEFT($A1218,4)&amp;"*",$O$3:$R$17, 2, FALSE)</f>
        <v>MAA DURGA STONE CRUSHING COMPANY</v>
      </c>
      <c r="C1218" s="16" t="str">
        <f t="shared" ref="C1218:C1281" si="94">VLOOKUP(LEFT($A1218,4)&amp;"*",$O$3:$R$17, 3, FALSE)</f>
        <v>CHADWAS(Chadwas/Bidasar/Sujangarh)</v>
      </c>
      <c r="D1218" s="4" t="s">
        <v>3034</v>
      </c>
      <c r="E1218" s="4" t="s">
        <v>3119</v>
      </c>
      <c r="F1218" s="5">
        <v>46107.999664351853</v>
      </c>
      <c r="G1218" s="16" t="str">
        <f t="shared" ref="G1218:G1281" si="95">VLOOKUP(LEFT($A1218,4)&amp;"*",$O$3:$R$17, 4, FALSE)</f>
        <v>MasonaryStone (Gitti)</v>
      </c>
      <c r="H1218" s="4" t="s">
        <v>2841</v>
      </c>
      <c r="I1218" s="18" t="str" cm="1">
        <f t="array" ref="I1218">_xlfn.LET(_xlpm.text, D1218,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218" s="18" t="str" cm="1">
        <f t="array" ref="J1218">_xlfn.LET(_xlpm.text, E1218,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8" s="14">
        <f t="shared" si="91"/>
        <v>46108</v>
      </c>
      <c r="L1218" s="14">
        <f t="shared" si="92"/>
        <v>46108.624664351853</v>
      </c>
      <c r="N1218" s="12"/>
    </row>
    <row r="1219" spans="1:14" x14ac:dyDescent="0.25">
      <c r="A1219" s="4" t="s">
        <v>1248</v>
      </c>
      <c r="B1219" s="16" t="str">
        <f t="shared" si="93"/>
        <v>MAA DURGA STONE CRUSHING COMPANY</v>
      </c>
      <c r="C1219" s="16" t="str">
        <f t="shared" si="94"/>
        <v>CHADWAS(Chadwas/Bidasar/Sujangarh)</v>
      </c>
      <c r="D1219" s="4" t="s">
        <v>3035</v>
      </c>
      <c r="E1219" s="4" t="s">
        <v>3119</v>
      </c>
      <c r="F1219" s="5">
        <v>46093.999664351853</v>
      </c>
      <c r="G1219" s="16" t="str">
        <f t="shared" si="95"/>
        <v>MasonaryStone (Gitti)</v>
      </c>
      <c r="H1219" s="4" t="s">
        <v>2842</v>
      </c>
      <c r="I1219" s="18" t="str" cm="1">
        <f t="array" ref="I1219">_xlfn.LET(_xlpm.text, D1219,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19" s="18" t="str" cm="1">
        <f t="array" ref="J1219">_xlfn.LET(_xlpm.text, E1219,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19" s="14">
        <f t="shared" ref="K1219:K1282" si="96">F1219+(29/86400)</f>
        <v>46094</v>
      </c>
      <c r="L1219" s="14">
        <f t="shared" ref="L1219:L1282" si="97">F1219+(15/24)</f>
        <v>46094.624664351853</v>
      </c>
      <c r="N1219" s="12"/>
    </row>
    <row r="1220" spans="1:14" x14ac:dyDescent="0.25">
      <c r="A1220" s="4" t="s">
        <v>1249</v>
      </c>
      <c r="B1220" s="16" t="str">
        <f t="shared" si="93"/>
        <v>MAA DURGA STONE CRUSHING COMPANY</v>
      </c>
      <c r="C1220" s="16" t="str">
        <f t="shared" si="94"/>
        <v>CHADWAS(Chadwas/Bidasar/Sujangarh)</v>
      </c>
      <c r="D1220" s="4" t="s">
        <v>3035</v>
      </c>
      <c r="E1220" s="4" t="s">
        <v>3119</v>
      </c>
      <c r="F1220" s="5">
        <v>46091.999664351853</v>
      </c>
      <c r="G1220" s="16" t="str">
        <f t="shared" si="95"/>
        <v>MasonaryStone (Gitti)</v>
      </c>
      <c r="H1220" s="4" t="s">
        <v>2289</v>
      </c>
      <c r="I1220" s="18" t="str" cm="1">
        <f t="array" ref="I1220">_xlfn.LET(_xlpm.text, D1220,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0" s="18" t="str" cm="1">
        <f t="array" ref="J1220">_xlfn.LET(_xlpm.text, E1220,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0" s="14">
        <f t="shared" si="96"/>
        <v>46092</v>
      </c>
      <c r="L1220" s="14">
        <f t="shared" si="97"/>
        <v>46092.624664351853</v>
      </c>
      <c r="N1220" s="12"/>
    </row>
    <row r="1221" spans="1:14" x14ac:dyDescent="0.25">
      <c r="A1221" s="4" t="s">
        <v>1250</v>
      </c>
      <c r="B1221" s="16" t="str">
        <f t="shared" si="93"/>
        <v>MAA DURGA STONE CRUSHING COMPANY</v>
      </c>
      <c r="C1221" s="16" t="str">
        <f t="shared" si="94"/>
        <v>CHADWAS(Chadwas/Bidasar/Sujangarh)</v>
      </c>
      <c r="D1221" s="4" t="s">
        <v>3035</v>
      </c>
      <c r="E1221" s="4" t="s">
        <v>3119</v>
      </c>
      <c r="F1221" s="5">
        <v>46092.999664351853</v>
      </c>
      <c r="G1221" s="16" t="str">
        <f t="shared" si="95"/>
        <v>MasonaryStone (Gitti)</v>
      </c>
      <c r="H1221" s="4" t="s">
        <v>2429</v>
      </c>
      <c r="I1221" s="18" t="str" cm="1">
        <f t="array" ref="I1221">_xlfn.LET(_xlpm.text, D1221,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1" s="18" t="str" cm="1">
        <f t="array" ref="J1221">_xlfn.LET(_xlpm.text, E1221,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1" s="14">
        <f t="shared" si="96"/>
        <v>46093</v>
      </c>
      <c r="L1221" s="14">
        <f t="shared" si="97"/>
        <v>46093.624664351853</v>
      </c>
      <c r="N1221" s="12"/>
    </row>
    <row r="1222" spans="1:14" x14ac:dyDescent="0.25">
      <c r="A1222" s="4" t="s">
        <v>1251</v>
      </c>
      <c r="B1222" s="16" t="str">
        <f t="shared" si="93"/>
        <v>MAA DURGA STONE CRUSHING COMPANY</v>
      </c>
      <c r="C1222" s="16" t="str">
        <f t="shared" si="94"/>
        <v>CHADWAS(Chadwas/Bidasar/Sujangarh)</v>
      </c>
      <c r="D1222" s="4" t="s">
        <v>3035</v>
      </c>
      <c r="E1222" s="4" t="s">
        <v>3119</v>
      </c>
      <c r="F1222" s="5">
        <v>46090.999664351853</v>
      </c>
      <c r="G1222" s="16" t="str">
        <f t="shared" si="95"/>
        <v>MasonaryStone (Gitti)</v>
      </c>
      <c r="H1222" s="4" t="s">
        <v>2405</v>
      </c>
      <c r="I1222" s="18" t="str" cm="1">
        <f t="array" ref="I1222">_xlfn.LET(_xlpm.text, D1222,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2" s="18" t="str" cm="1">
        <f t="array" ref="J1222">_xlfn.LET(_xlpm.text, E1222,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2" s="14">
        <f t="shared" si="96"/>
        <v>46091</v>
      </c>
      <c r="L1222" s="14">
        <f t="shared" si="97"/>
        <v>46091.624664351853</v>
      </c>
      <c r="N1222" s="12"/>
    </row>
    <row r="1223" spans="1:14" x14ac:dyDescent="0.25">
      <c r="A1223" s="4" t="s">
        <v>1252</v>
      </c>
      <c r="B1223" s="16" t="str">
        <f t="shared" si="93"/>
        <v>MAA DURGA STONE CRUSHING COMPANY</v>
      </c>
      <c r="C1223" s="16" t="str">
        <f t="shared" si="94"/>
        <v>CHADWAS(Chadwas/Bidasar/Sujangarh)</v>
      </c>
      <c r="D1223" s="4" t="s">
        <v>3035</v>
      </c>
      <c r="E1223" s="4" t="s">
        <v>3119</v>
      </c>
      <c r="F1223" s="5">
        <v>46090.999664351853</v>
      </c>
      <c r="G1223" s="16" t="str">
        <f t="shared" si="95"/>
        <v>MasonaryStone (Gitti)</v>
      </c>
      <c r="H1223" s="4" t="s">
        <v>2281</v>
      </c>
      <c r="I1223" s="18" t="str" cm="1">
        <f t="array" ref="I1223">_xlfn.LET(_xlpm.text, D1223,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3" s="18" t="str" cm="1">
        <f t="array" ref="J1223">_xlfn.LET(_xlpm.text, E1223,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3" s="14">
        <f t="shared" si="96"/>
        <v>46091</v>
      </c>
      <c r="L1223" s="14">
        <f t="shared" si="97"/>
        <v>46091.624664351853</v>
      </c>
      <c r="N1223" s="12"/>
    </row>
    <row r="1224" spans="1:14" x14ac:dyDescent="0.25">
      <c r="A1224" s="4" t="s">
        <v>1253</v>
      </c>
      <c r="B1224" s="16" t="str">
        <f t="shared" si="93"/>
        <v>MAA DURGA STONE CRUSHING COMPANY</v>
      </c>
      <c r="C1224" s="16" t="str">
        <f t="shared" si="94"/>
        <v>CHADWAS(Chadwas/Bidasar/Sujangarh)</v>
      </c>
      <c r="D1224" s="4" t="s">
        <v>3035</v>
      </c>
      <c r="E1224" s="4" t="s">
        <v>3119</v>
      </c>
      <c r="F1224" s="5">
        <v>46091.999664351853</v>
      </c>
      <c r="G1224" s="16" t="str">
        <f t="shared" si="95"/>
        <v>MasonaryStone (Gitti)</v>
      </c>
      <c r="H1224" s="4" t="s">
        <v>2281</v>
      </c>
      <c r="I1224" s="18" t="str" cm="1">
        <f t="array" ref="I1224">_xlfn.LET(_xlpm.text, D1224,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4" s="18" t="str" cm="1">
        <f t="array" ref="J1224">_xlfn.LET(_xlpm.text, E1224,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4" s="14">
        <f t="shared" si="96"/>
        <v>46092</v>
      </c>
      <c r="L1224" s="14">
        <f t="shared" si="97"/>
        <v>46092.624664351853</v>
      </c>
      <c r="N1224" s="12"/>
    </row>
    <row r="1225" spans="1:14" x14ac:dyDescent="0.25">
      <c r="A1225" s="4" t="s">
        <v>1254</v>
      </c>
      <c r="B1225" s="16" t="str">
        <f t="shared" si="93"/>
        <v>MAA DURGA STONE CRUSHING COMPANY</v>
      </c>
      <c r="C1225" s="16" t="str">
        <f t="shared" si="94"/>
        <v>CHADWAS(Chadwas/Bidasar/Sujangarh)</v>
      </c>
      <c r="D1225" s="4" t="s">
        <v>3035</v>
      </c>
      <c r="E1225" s="4" t="s">
        <v>3119</v>
      </c>
      <c r="F1225" s="5">
        <v>46091.999664351853</v>
      </c>
      <c r="G1225" s="16" t="str">
        <f t="shared" si="95"/>
        <v>MasonaryStone (Gitti)</v>
      </c>
      <c r="H1225" s="4" t="s">
        <v>2843</v>
      </c>
      <c r="I1225" s="18" t="str" cm="1">
        <f t="array" ref="I1225">_xlfn.LET(_xlpm.text, D1225,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5" s="18" t="str" cm="1">
        <f t="array" ref="J1225">_xlfn.LET(_xlpm.text, E1225,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5" s="14">
        <f t="shared" si="96"/>
        <v>46092</v>
      </c>
      <c r="L1225" s="14">
        <f t="shared" si="97"/>
        <v>46092.624664351853</v>
      </c>
      <c r="N1225" s="12"/>
    </row>
    <row r="1226" spans="1:14" x14ac:dyDescent="0.25">
      <c r="A1226" s="4" t="s">
        <v>1255</v>
      </c>
      <c r="B1226" s="16" t="str">
        <f t="shared" si="93"/>
        <v>MAA DURGA STONE CRUSHING COMPANY</v>
      </c>
      <c r="C1226" s="16" t="str">
        <f t="shared" si="94"/>
        <v>CHADWAS(Chadwas/Bidasar/Sujangarh)</v>
      </c>
      <c r="D1226" s="4" t="s">
        <v>3035</v>
      </c>
      <c r="E1226" s="4" t="s">
        <v>3119</v>
      </c>
      <c r="F1226" s="5">
        <v>46091.999664351853</v>
      </c>
      <c r="G1226" s="16" t="str">
        <f t="shared" si="95"/>
        <v>MasonaryStone (Gitti)</v>
      </c>
      <c r="H1226" s="4" t="s">
        <v>2844</v>
      </c>
      <c r="I1226" s="18" t="str" cm="1">
        <f t="array" ref="I1226">_xlfn.LET(_xlpm.text, D1226,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6" s="18" t="str" cm="1">
        <f t="array" ref="J1226">_xlfn.LET(_xlpm.text, E1226,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6" s="14">
        <f t="shared" si="96"/>
        <v>46092</v>
      </c>
      <c r="L1226" s="14">
        <f t="shared" si="97"/>
        <v>46092.624664351853</v>
      </c>
      <c r="N1226" s="12"/>
    </row>
    <row r="1227" spans="1:14" x14ac:dyDescent="0.25">
      <c r="A1227" s="4" t="s">
        <v>1256</v>
      </c>
      <c r="B1227" s="16" t="str">
        <f t="shared" si="93"/>
        <v>MAA DURGA STONE CRUSHING COMPANY</v>
      </c>
      <c r="C1227" s="16" t="str">
        <f t="shared" si="94"/>
        <v>CHADWAS(Chadwas/Bidasar/Sujangarh)</v>
      </c>
      <c r="D1227" s="4" t="s">
        <v>3035</v>
      </c>
      <c r="E1227" s="4" t="s">
        <v>3119</v>
      </c>
      <c r="F1227" s="5">
        <v>46092.999664351853</v>
      </c>
      <c r="G1227" s="16" t="str">
        <f t="shared" si="95"/>
        <v>MasonaryStone (Gitti)</v>
      </c>
      <c r="H1227" s="4" t="s">
        <v>392</v>
      </c>
      <c r="I1227" s="18" t="str" cm="1">
        <f t="array" ref="I1227">_xlfn.LET(_xlpm.text, D1227,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7" s="18" t="str" cm="1">
        <f t="array" ref="J1227">_xlfn.LET(_xlpm.text, E1227,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7" s="14">
        <f t="shared" si="96"/>
        <v>46093</v>
      </c>
      <c r="L1227" s="14">
        <f t="shared" si="97"/>
        <v>46093.624664351853</v>
      </c>
      <c r="N1227" s="12"/>
    </row>
    <row r="1228" spans="1:14" x14ac:dyDescent="0.25">
      <c r="A1228" s="4" t="s">
        <v>1257</v>
      </c>
      <c r="B1228" s="16" t="str">
        <f t="shared" si="93"/>
        <v>MAA DURGA STONE CRUSHING COMPANY</v>
      </c>
      <c r="C1228" s="16" t="str">
        <f t="shared" si="94"/>
        <v>CHADWAS(Chadwas/Bidasar/Sujangarh)</v>
      </c>
      <c r="D1228" s="4" t="s">
        <v>3035</v>
      </c>
      <c r="E1228" s="4" t="s">
        <v>3119</v>
      </c>
      <c r="F1228" s="5">
        <v>46108.999664351853</v>
      </c>
      <c r="G1228" s="16" t="str">
        <f t="shared" si="95"/>
        <v>MasonaryStone (Gitti)</v>
      </c>
      <c r="H1228" s="4" t="s">
        <v>2845</v>
      </c>
      <c r="I1228" s="18" t="str" cm="1">
        <f t="array" ref="I1228">_xlfn.LET(_xlpm.text, D1228,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8" s="18" t="str" cm="1">
        <f t="array" ref="J1228">_xlfn.LET(_xlpm.text, E1228,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8" s="14">
        <f t="shared" si="96"/>
        <v>46109</v>
      </c>
      <c r="L1228" s="14">
        <f t="shared" si="97"/>
        <v>46109.624664351853</v>
      </c>
      <c r="N1228" s="12"/>
    </row>
    <row r="1229" spans="1:14" x14ac:dyDescent="0.25">
      <c r="A1229" s="4" t="s">
        <v>1258</v>
      </c>
      <c r="B1229" s="16" t="str">
        <f t="shared" si="93"/>
        <v>MAA DURGA STONE CRUSHING COMPANY</v>
      </c>
      <c r="C1229" s="16" t="str">
        <f t="shared" si="94"/>
        <v>CHADWAS(Chadwas/Bidasar/Sujangarh)</v>
      </c>
      <c r="D1229" s="4" t="s">
        <v>3035</v>
      </c>
      <c r="E1229" s="4" t="s">
        <v>3119</v>
      </c>
      <c r="F1229" s="5">
        <v>46104.999664351853</v>
      </c>
      <c r="G1229" s="16" t="str">
        <f t="shared" si="95"/>
        <v>MasonaryStone (Gitti)</v>
      </c>
      <c r="H1229" s="4" t="s">
        <v>2394</v>
      </c>
      <c r="I1229" s="18" t="str" cm="1">
        <f t="array" ref="I1229">_xlfn.LET(_xlpm.text, D1229,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29" s="18" t="str" cm="1">
        <f t="array" ref="J1229">_xlfn.LET(_xlpm.text, E1229,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29" s="14">
        <f t="shared" si="96"/>
        <v>46105</v>
      </c>
      <c r="L1229" s="14">
        <f t="shared" si="97"/>
        <v>46105.624664351853</v>
      </c>
      <c r="N1229" s="12"/>
    </row>
    <row r="1230" spans="1:14" x14ac:dyDescent="0.25">
      <c r="A1230" s="4" t="s">
        <v>1259</v>
      </c>
      <c r="B1230" s="16" t="str">
        <f t="shared" si="93"/>
        <v>M/s Sidhi Vinayak Aggregates Private Limated</v>
      </c>
      <c r="C1230" s="16" t="str">
        <f t="shared" si="94"/>
        <v>Barsingo Ka Bas Lohawat()</v>
      </c>
      <c r="D1230" s="4" t="s">
        <v>3031</v>
      </c>
      <c r="E1230" s="4" t="s">
        <v>3119</v>
      </c>
      <c r="F1230" s="5">
        <v>45984.999664351853</v>
      </c>
      <c r="G1230" s="16" t="str">
        <f t="shared" si="95"/>
        <v>MasonaryStone (Gitti)</v>
      </c>
      <c r="H1230" s="4" t="s">
        <v>2846</v>
      </c>
      <c r="I1230" s="18" t="str" cm="1">
        <f t="array" ref="I1230">_xlfn.LET(_xlpm.text, D1230,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0" s="18" t="str" cm="1">
        <f t="array" ref="J1230">_xlfn.LET(_xlpm.text, E1230,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0" s="14">
        <f t="shared" si="96"/>
        <v>45985</v>
      </c>
      <c r="L1230" s="14">
        <f t="shared" si="97"/>
        <v>45985.624664351853</v>
      </c>
      <c r="N1230" s="12"/>
    </row>
    <row r="1231" spans="1:14" x14ac:dyDescent="0.25">
      <c r="A1231" s="4" t="s">
        <v>1260</v>
      </c>
      <c r="B1231" s="16" t="str">
        <f t="shared" si="93"/>
        <v>M/s Sidhi Vinayak Aggregates Private Limated</v>
      </c>
      <c r="C1231" s="16" t="str">
        <f t="shared" si="94"/>
        <v>Barsingo Ka Bas Lohawat()</v>
      </c>
      <c r="D1231" s="4" t="s">
        <v>3031</v>
      </c>
      <c r="E1231" s="4" t="s">
        <v>3119</v>
      </c>
      <c r="F1231" s="5">
        <v>45928.999664351853</v>
      </c>
      <c r="G1231" s="16" t="str">
        <f t="shared" si="95"/>
        <v>MasonaryStone (Gitti)</v>
      </c>
      <c r="H1231" s="4" t="s">
        <v>2265</v>
      </c>
      <c r="I1231" s="18" t="str" cm="1">
        <f t="array" ref="I1231">_xlfn.LET(_xlpm.text, D1231,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1" s="18" t="str" cm="1">
        <f t="array" ref="J1231">_xlfn.LET(_xlpm.text, E1231,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1" s="14">
        <f t="shared" si="96"/>
        <v>45929</v>
      </c>
      <c r="L1231" s="14">
        <f t="shared" si="97"/>
        <v>45929.624664351853</v>
      </c>
      <c r="N1231" s="12"/>
    </row>
    <row r="1232" spans="1:14" x14ac:dyDescent="0.25">
      <c r="A1232" s="4" t="s">
        <v>1261</v>
      </c>
      <c r="B1232" s="16" t="str">
        <f t="shared" si="93"/>
        <v>M/s Sidhi Vinayak Aggregates Private Limated</v>
      </c>
      <c r="C1232" s="16" t="str">
        <f t="shared" si="94"/>
        <v>Barsingo Ka Bas Lohawat()</v>
      </c>
      <c r="D1232" s="4" t="s">
        <v>3031</v>
      </c>
      <c r="E1232" s="4" t="s">
        <v>3119</v>
      </c>
      <c r="F1232" s="5">
        <v>45929.999664351853</v>
      </c>
      <c r="G1232" s="16" t="str">
        <f t="shared" si="95"/>
        <v>MasonaryStone (Gitti)</v>
      </c>
      <c r="H1232" s="4" t="s">
        <v>2847</v>
      </c>
      <c r="I1232" s="18" t="str" cm="1">
        <f t="array" ref="I1232">_xlfn.LET(_xlpm.text, D1232,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2" s="18" t="str" cm="1">
        <f t="array" ref="J1232">_xlfn.LET(_xlpm.text, E1232,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2" s="14">
        <f t="shared" si="96"/>
        <v>45930</v>
      </c>
      <c r="L1232" s="14">
        <f t="shared" si="97"/>
        <v>45930.624664351853</v>
      </c>
      <c r="N1232" s="12"/>
    </row>
    <row r="1233" spans="1:14" x14ac:dyDescent="0.25">
      <c r="A1233" s="4" t="s">
        <v>1262</v>
      </c>
      <c r="B1233" s="16" t="str">
        <f t="shared" si="93"/>
        <v>M/s Sidhi Vinayak Aggregates Private Limated</v>
      </c>
      <c r="C1233" s="16" t="str">
        <f t="shared" si="94"/>
        <v>Barsingo Ka Bas Lohawat()</v>
      </c>
      <c r="D1233" s="4" t="s">
        <v>3031</v>
      </c>
      <c r="E1233" s="4" t="s">
        <v>3119</v>
      </c>
      <c r="F1233" s="5">
        <v>45946.999664351853</v>
      </c>
      <c r="G1233" s="16" t="str">
        <f t="shared" si="95"/>
        <v>MasonaryStone (Gitti)</v>
      </c>
      <c r="H1233" s="4" t="s">
        <v>2702</v>
      </c>
      <c r="I1233" s="18" t="str" cm="1">
        <f t="array" ref="I1233">_xlfn.LET(_xlpm.text, D1233,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3" s="18" t="str" cm="1">
        <f t="array" ref="J1233">_xlfn.LET(_xlpm.text, E1233,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3" s="14">
        <f t="shared" si="96"/>
        <v>45947</v>
      </c>
      <c r="L1233" s="14">
        <f t="shared" si="97"/>
        <v>45947.624664351853</v>
      </c>
      <c r="N1233" s="12"/>
    </row>
    <row r="1234" spans="1:14" x14ac:dyDescent="0.25">
      <c r="A1234" s="4" t="s">
        <v>1263</v>
      </c>
      <c r="B1234" s="16" t="str">
        <f t="shared" si="93"/>
        <v>M/s Sidhi Vinayak Aggregates Private Limated</v>
      </c>
      <c r="C1234" s="16" t="str">
        <f t="shared" si="94"/>
        <v>Barsingo Ka Bas Lohawat()</v>
      </c>
      <c r="D1234" s="4" t="s">
        <v>3031</v>
      </c>
      <c r="E1234" s="4" t="s">
        <v>3119</v>
      </c>
      <c r="F1234" s="5">
        <v>45938.999664351853</v>
      </c>
      <c r="G1234" s="16" t="str">
        <f t="shared" si="95"/>
        <v>MasonaryStone (Gitti)</v>
      </c>
      <c r="H1234" s="4" t="s">
        <v>2483</v>
      </c>
      <c r="I1234" s="18" t="str" cm="1">
        <f t="array" ref="I1234">_xlfn.LET(_xlpm.text, D1234,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4" s="18" t="str" cm="1">
        <f t="array" ref="J1234">_xlfn.LET(_xlpm.text, E1234,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4" s="14">
        <f t="shared" si="96"/>
        <v>45939</v>
      </c>
      <c r="L1234" s="14">
        <f t="shared" si="97"/>
        <v>45939.624664351853</v>
      </c>
      <c r="N1234" s="12"/>
    </row>
    <row r="1235" spans="1:14" x14ac:dyDescent="0.25">
      <c r="A1235" s="4" t="s">
        <v>1264</v>
      </c>
      <c r="B1235" s="16" t="str">
        <f t="shared" si="93"/>
        <v>M/s Sidhi Vinayak Aggregates Private Limated</v>
      </c>
      <c r="C1235" s="16" t="str">
        <f t="shared" si="94"/>
        <v>Barsingo Ka Bas Lohawat()</v>
      </c>
      <c r="D1235" s="4" t="s">
        <v>3031</v>
      </c>
      <c r="E1235" s="4" t="s">
        <v>3119</v>
      </c>
      <c r="F1235" s="5">
        <v>45939.999664351853</v>
      </c>
      <c r="G1235" s="16" t="str">
        <f t="shared" si="95"/>
        <v>MasonaryStone (Gitti)</v>
      </c>
      <c r="H1235" s="4" t="s">
        <v>2848</v>
      </c>
      <c r="I1235" s="18" t="str" cm="1">
        <f t="array" ref="I1235">_xlfn.LET(_xlpm.text, D1235,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5" s="18" t="str" cm="1">
        <f t="array" ref="J1235">_xlfn.LET(_xlpm.text, E1235,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5" s="14">
        <f t="shared" si="96"/>
        <v>45940</v>
      </c>
      <c r="L1235" s="14">
        <f t="shared" si="97"/>
        <v>45940.624664351853</v>
      </c>
      <c r="N1235" s="12"/>
    </row>
    <row r="1236" spans="1:14" x14ac:dyDescent="0.25">
      <c r="A1236" s="4" t="s">
        <v>1265</v>
      </c>
      <c r="B1236" s="16" t="str">
        <f t="shared" si="93"/>
        <v>M/s Sidhi Vinayak Aggregates Private Limated</v>
      </c>
      <c r="C1236" s="16" t="str">
        <f t="shared" si="94"/>
        <v>Barsingo Ka Bas Lohawat()</v>
      </c>
      <c r="D1236" s="4" t="s">
        <v>3031</v>
      </c>
      <c r="E1236" s="4" t="s">
        <v>3119</v>
      </c>
      <c r="F1236" s="5">
        <v>45937.999664351853</v>
      </c>
      <c r="G1236" s="16" t="str">
        <f t="shared" si="95"/>
        <v>MasonaryStone (Gitti)</v>
      </c>
      <c r="H1236" s="4" t="s">
        <v>2263</v>
      </c>
      <c r="I1236" s="18" t="str" cm="1">
        <f t="array" ref="I1236">_xlfn.LET(_xlpm.text, D1236,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6" s="18" t="str" cm="1">
        <f t="array" ref="J1236">_xlfn.LET(_xlpm.text, E1236,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6" s="14">
        <f t="shared" si="96"/>
        <v>45938</v>
      </c>
      <c r="L1236" s="14">
        <f t="shared" si="97"/>
        <v>45938.624664351853</v>
      </c>
      <c r="N1236" s="12"/>
    </row>
    <row r="1237" spans="1:14" x14ac:dyDescent="0.25">
      <c r="A1237" s="4" t="s">
        <v>1266</v>
      </c>
      <c r="B1237" s="16" t="str">
        <f t="shared" si="93"/>
        <v>M/s Sidhi Vinayak Aggregates Private Limated</v>
      </c>
      <c r="C1237" s="16" t="str">
        <f t="shared" si="94"/>
        <v>Barsingo Ka Bas Lohawat()</v>
      </c>
      <c r="D1237" s="4" t="s">
        <v>3031</v>
      </c>
      <c r="E1237" s="4" t="s">
        <v>3119</v>
      </c>
      <c r="F1237" s="5">
        <v>45955.999664351853</v>
      </c>
      <c r="G1237" s="16" t="str">
        <f t="shared" si="95"/>
        <v>MasonaryStone (Gitti)</v>
      </c>
      <c r="H1237" s="4" t="s">
        <v>2494</v>
      </c>
      <c r="I1237" s="18" t="str" cm="1">
        <f t="array" ref="I1237">_xlfn.LET(_xlpm.text, D1237,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7" s="18" t="str" cm="1">
        <f t="array" ref="J1237">_xlfn.LET(_xlpm.text, E1237,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7" s="14">
        <f t="shared" si="96"/>
        <v>45956</v>
      </c>
      <c r="L1237" s="14">
        <f t="shared" si="97"/>
        <v>45956.624664351853</v>
      </c>
      <c r="N1237" s="12"/>
    </row>
    <row r="1238" spans="1:14" x14ac:dyDescent="0.25">
      <c r="A1238" s="4" t="s">
        <v>1267</v>
      </c>
      <c r="B1238" s="16" t="str">
        <f t="shared" si="93"/>
        <v>M/s Sidhi Vinayak Aggregates Private Limated</v>
      </c>
      <c r="C1238" s="16" t="str">
        <f t="shared" si="94"/>
        <v>Barsingo Ka Bas Lohawat()</v>
      </c>
      <c r="D1238" s="4" t="s">
        <v>3031</v>
      </c>
      <c r="E1238" s="4" t="s">
        <v>3119</v>
      </c>
      <c r="F1238" s="5">
        <v>45931.999664351853</v>
      </c>
      <c r="G1238" s="16" t="str">
        <f t="shared" si="95"/>
        <v>MasonaryStone (Gitti)</v>
      </c>
      <c r="H1238" s="4" t="s">
        <v>2513</v>
      </c>
      <c r="I1238" s="18" t="str" cm="1">
        <f t="array" ref="I1238">_xlfn.LET(_xlpm.text, D1238,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8" s="18" t="str" cm="1">
        <f t="array" ref="J1238">_xlfn.LET(_xlpm.text, E1238,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8" s="14">
        <f t="shared" si="96"/>
        <v>45932</v>
      </c>
      <c r="L1238" s="14">
        <f t="shared" si="97"/>
        <v>45932.624664351853</v>
      </c>
      <c r="N1238" s="12"/>
    </row>
    <row r="1239" spans="1:14" x14ac:dyDescent="0.25">
      <c r="A1239" s="4" t="s">
        <v>1268</v>
      </c>
      <c r="B1239" s="16" t="str">
        <f t="shared" si="93"/>
        <v>M/s Sidhi Vinayak Aggregates Private Limated</v>
      </c>
      <c r="C1239" s="16" t="str">
        <f t="shared" si="94"/>
        <v>Barsingo Ka Bas Lohawat()</v>
      </c>
      <c r="D1239" s="4" t="s">
        <v>3031</v>
      </c>
      <c r="E1239" s="4" t="s">
        <v>3119</v>
      </c>
      <c r="F1239" s="5">
        <v>45930.999664351853</v>
      </c>
      <c r="G1239" s="16" t="str">
        <f t="shared" si="95"/>
        <v>MasonaryStone (Gitti)</v>
      </c>
      <c r="H1239" s="4" t="s">
        <v>2849</v>
      </c>
      <c r="I1239" s="18" t="str" cm="1">
        <f t="array" ref="I1239">_xlfn.LET(_xlpm.text, D1239,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39" s="18" t="str" cm="1">
        <f t="array" ref="J1239">_xlfn.LET(_xlpm.text, E1239,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39" s="14">
        <f t="shared" si="96"/>
        <v>45931</v>
      </c>
      <c r="L1239" s="14">
        <f t="shared" si="97"/>
        <v>45931.624664351853</v>
      </c>
      <c r="N1239" s="12"/>
    </row>
    <row r="1240" spans="1:14" x14ac:dyDescent="0.25">
      <c r="A1240" s="4" t="s">
        <v>1269</v>
      </c>
      <c r="B1240" s="16" t="str">
        <f t="shared" si="93"/>
        <v>M/s Sidhi Vinayak Aggregates Private Limated</v>
      </c>
      <c r="C1240" s="16" t="str">
        <f t="shared" si="94"/>
        <v>Barsingo Ka Bas Lohawat()</v>
      </c>
      <c r="D1240" s="4" t="s">
        <v>3031</v>
      </c>
      <c r="E1240" s="4" t="s">
        <v>3119</v>
      </c>
      <c r="F1240" s="5">
        <v>45961.999664351853</v>
      </c>
      <c r="G1240" s="16" t="str">
        <f t="shared" si="95"/>
        <v>MasonaryStone (Gitti)</v>
      </c>
      <c r="H1240" s="4" t="s">
        <v>2850</v>
      </c>
      <c r="I1240" s="18" t="str" cm="1">
        <f t="array" ref="I1240">_xlfn.LET(_xlpm.text, D1240,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0" s="18" t="str" cm="1">
        <f t="array" ref="J1240">_xlfn.LET(_xlpm.text, E1240,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0" s="14">
        <f t="shared" si="96"/>
        <v>45962</v>
      </c>
      <c r="L1240" s="14">
        <f t="shared" si="97"/>
        <v>45962.624664351853</v>
      </c>
      <c r="N1240" s="12"/>
    </row>
    <row r="1241" spans="1:14" x14ac:dyDescent="0.25">
      <c r="A1241" s="4" t="s">
        <v>1270</v>
      </c>
      <c r="B1241" s="16" t="str">
        <f t="shared" si="93"/>
        <v>M/s Sidhi Vinayak Aggregates Private Limated</v>
      </c>
      <c r="C1241" s="16" t="str">
        <f t="shared" si="94"/>
        <v>Barsingo Ka Bas Lohawat()</v>
      </c>
      <c r="D1241" s="4" t="s">
        <v>3031</v>
      </c>
      <c r="E1241" s="4" t="s">
        <v>3119</v>
      </c>
      <c r="F1241" s="5">
        <v>45968.999664351853</v>
      </c>
      <c r="G1241" s="16" t="str">
        <f t="shared" si="95"/>
        <v>MasonaryStone (Gitti)</v>
      </c>
      <c r="H1241" s="4" t="s">
        <v>2501</v>
      </c>
      <c r="I1241" s="18" t="str" cm="1">
        <f t="array" ref="I1241">_xlfn.LET(_xlpm.text, D1241,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1" s="18" t="str" cm="1">
        <f t="array" ref="J1241">_xlfn.LET(_xlpm.text, E1241,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1" s="14">
        <f t="shared" si="96"/>
        <v>45969</v>
      </c>
      <c r="L1241" s="14">
        <f t="shared" si="97"/>
        <v>45969.624664351853</v>
      </c>
      <c r="N1241" s="12"/>
    </row>
    <row r="1242" spans="1:14" x14ac:dyDescent="0.25">
      <c r="A1242" s="4" t="s">
        <v>1271</v>
      </c>
      <c r="B1242" s="16" t="str">
        <f t="shared" si="93"/>
        <v>M/s Sidhi Vinayak Aggregates Private Limated</v>
      </c>
      <c r="C1242" s="16" t="str">
        <f t="shared" si="94"/>
        <v>Barsingo Ka Bas Lohawat()</v>
      </c>
      <c r="D1242" s="4" t="s">
        <v>3031</v>
      </c>
      <c r="E1242" s="4" t="s">
        <v>3119</v>
      </c>
      <c r="F1242" s="5">
        <v>45970.999664351853</v>
      </c>
      <c r="G1242" s="16" t="str">
        <f t="shared" si="95"/>
        <v>MasonaryStone (Gitti)</v>
      </c>
      <c r="H1242" s="4" t="s">
        <v>2851</v>
      </c>
      <c r="I1242" s="18" t="str" cm="1">
        <f t="array" ref="I1242">_xlfn.LET(_xlpm.text, D1242,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2" s="18" t="str" cm="1">
        <f t="array" ref="J1242">_xlfn.LET(_xlpm.text, E1242,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2" s="14">
        <f t="shared" si="96"/>
        <v>45971</v>
      </c>
      <c r="L1242" s="14">
        <f t="shared" si="97"/>
        <v>45971.624664351853</v>
      </c>
      <c r="N1242" s="12"/>
    </row>
    <row r="1243" spans="1:14" x14ac:dyDescent="0.25">
      <c r="A1243" s="4" t="s">
        <v>1272</v>
      </c>
      <c r="B1243" s="16" t="str">
        <f t="shared" si="93"/>
        <v>M/s Sidhi Vinayak Aggregates Private Limated</v>
      </c>
      <c r="C1243" s="16" t="str">
        <f t="shared" si="94"/>
        <v>Barsingo Ka Bas Lohawat()</v>
      </c>
      <c r="D1243" s="4" t="s">
        <v>3031</v>
      </c>
      <c r="E1243" s="4" t="s">
        <v>3119</v>
      </c>
      <c r="F1243" s="5">
        <v>45939.999664351853</v>
      </c>
      <c r="G1243" s="16" t="str">
        <f t="shared" si="95"/>
        <v>MasonaryStone (Gitti)</v>
      </c>
      <c r="H1243" s="4" t="s">
        <v>2606</v>
      </c>
      <c r="I1243" s="18" t="str" cm="1">
        <f t="array" ref="I1243">_xlfn.LET(_xlpm.text, D1243,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3" s="18" t="str" cm="1">
        <f t="array" ref="J1243">_xlfn.LET(_xlpm.text, E1243,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3" s="14">
        <f t="shared" si="96"/>
        <v>45940</v>
      </c>
      <c r="L1243" s="14">
        <f t="shared" si="97"/>
        <v>45940.624664351853</v>
      </c>
      <c r="N1243" s="12"/>
    </row>
    <row r="1244" spans="1:14" x14ac:dyDescent="0.25">
      <c r="A1244" s="4" t="s">
        <v>1273</v>
      </c>
      <c r="B1244" s="16" t="str">
        <f t="shared" si="93"/>
        <v>M/s Sidhi Vinayak Aggregates Private Limated</v>
      </c>
      <c r="C1244" s="16" t="str">
        <f t="shared" si="94"/>
        <v>Barsingo Ka Bas Lohawat()</v>
      </c>
      <c r="D1244" s="4" t="s">
        <v>3031</v>
      </c>
      <c r="E1244" s="4" t="s">
        <v>3119</v>
      </c>
      <c r="F1244" s="5">
        <v>45932.999664351853</v>
      </c>
      <c r="G1244" s="16" t="str">
        <f t="shared" si="95"/>
        <v>MasonaryStone (Gitti)</v>
      </c>
      <c r="H1244" s="4" t="s">
        <v>2852</v>
      </c>
      <c r="I1244" s="18" t="str" cm="1">
        <f t="array" ref="I1244">_xlfn.LET(_xlpm.text, D1244,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4" s="18" t="str" cm="1">
        <f t="array" ref="J1244">_xlfn.LET(_xlpm.text, E1244,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4" s="14">
        <f t="shared" si="96"/>
        <v>45933</v>
      </c>
      <c r="L1244" s="14">
        <f t="shared" si="97"/>
        <v>45933.624664351853</v>
      </c>
      <c r="N1244" s="12"/>
    </row>
    <row r="1245" spans="1:14" x14ac:dyDescent="0.25">
      <c r="A1245" s="4" t="s">
        <v>1274</v>
      </c>
      <c r="B1245" s="16" t="str">
        <f t="shared" si="93"/>
        <v>M/s Sidhi Vinayak Aggregates Private Limated</v>
      </c>
      <c r="C1245" s="16" t="str">
        <f t="shared" si="94"/>
        <v>Barsingo Ka Bas Lohawat()</v>
      </c>
      <c r="D1245" s="4" t="s">
        <v>3031</v>
      </c>
      <c r="E1245" s="4" t="s">
        <v>3119</v>
      </c>
      <c r="F1245" s="5">
        <v>45982.999664351853</v>
      </c>
      <c r="G1245" s="16" t="str">
        <f t="shared" si="95"/>
        <v>MasonaryStone (Gitti)</v>
      </c>
      <c r="H1245" s="4" t="s">
        <v>2739</v>
      </c>
      <c r="I1245" s="18" t="str" cm="1">
        <f t="array" ref="I1245">_xlfn.LET(_xlpm.text, D1245,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5" s="18" t="str" cm="1">
        <f t="array" ref="J1245">_xlfn.LET(_xlpm.text, E1245,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5" s="14">
        <f t="shared" si="96"/>
        <v>45983</v>
      </c>
      <c r="L1245" s="14">
        <f t="shared" si="97"/>
        <v>45983.624664351853</v>
      </c>
      <c r="N1245" s="12"/>
    </row>
    <row r="1246" spans="1:14" x14ac:dyDescent="0.25">
      <c r="A1246" s="4" t="s">
        <v>1275</v>
      </c>
      <c r="B1246" s="16" t="str">
        <f t="shared" si="93"/>
        <v>M/s Sidhi Vinayak Aggregates Private Limated</v>
      </c>
      <c r="C1246" s="16" t="str">
        <f t="shared" si="94"/>
        <v>Barsingo Ka Bas Lohawat()</v>
      </c>
      <c r="D1246" s="4" t="s">
        <v>3031</v>
      </c>
      <c r="E1246" s="4" t="s">
        <v>3119</v>
      </c>
      <c r="F1246" s="5">
        <v>45938.999664351853</v>
      </c>
      <c r="G1246" s="16" t="str">
        <f t="shared" si="95"/>
        <v>MasonaryStone (Gitti)</v>
      </c>
      <c r="H1246" s="4" t="s">
        <v>2817</v>
      </c>
      <c r="I1246" s="18" t="str" cm="1">
        <f t="array" ref="I1246">_xlfn.LET(_xlpm.text, D1246,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6" s="18" t="str" cm="1">
        <f t="array" ref="J1246">_xlfn.LET(_xlpm.text, E1246,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6" s="14">
        <f t="shared" si="96"/>
        <v>45939</v>
      </c>
      <c r="L1246" s="14">
        <f t="shared" si="97"/>
        <v>45939.624664351853</v>
      </c>
      <c r="N1246" s="12"/>
    </row>
    <row r="1247" spans="1:14" x14ac:dyDescent="0.25">
      <c r="A1247" s="4" t="s">
        <v>1276</v>
      </c>
      <c r="B1247" s="16" t="str">
        <f t="shared" si="93"/>
        <v>M/s Sidhi Vinayak Aggregates Private Limated</v>
      </c>
      <c r="C1247" s="16" t="str">
        <f t="shared" si="94"/>
        <v>Barsingo Ka Bas Lohawat()</v>
      </c>
      <c r="D1247" s="4" t="s">
        <v>3031</v>
      </c>
      <c r="E1247" s="4" t="s">
        <v>3119</v>
      </c>
      <c r="F1247" s="5">
        <v>45939.999664351853</v>
      </c>
      <c r="G1247" s="16" t="str">
        <f t="shared" si="95"/>
        <v>MasonaryStone (Gitti)</v>
      </c>
      <c r="H1247" s="4" t="s">
        <v>2853</v>
      </c>
      <c r="I1247" s="18" t="str" cm="1">
        <f t="array" ref="I1247">_xlfn.LET(_xlpm.text, D1247,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7" s="18" t="str" cm="1">
        <f t="array" ref="J1247">_xlfn.LET(_xlpm.text, E1247,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7" s="14">
        <f t="shared" si="96"/>
        <v>45940</v>
      </c>
      <c r="L1247" s="14">
        <f t="shared" si="97"/>
        <v>45940.624664351853</v>
      </c>
      <c r="N1247" s="12"/>
    </row>
    <row r="1248" spans="1:14" x14ac:dyDescent="0.25">
      <c r="A1248" s="4" t="s">
        <v>1277</v>
      </c>
      <c r="B1248" s="16" t="str">
        <f t="shared" si="93"/>
        <v>M/s Sidhi Vinayak Aggregates Private Limated</v>
      </c>
      <c r="C1248" s="16" t="str">
        <f t="shared" si="94"/>
        <v>Barsingo Ka Bas Lohawat()</v>
      </c>
      <c r="D1248" s="4" t="s">
        <v>3031</v>
      </c>
      <c r="E1248" s="4" t="s">
        <v>3119</v>
      </c>
      <c r="F1248" s="5">
        <v>45954.999664351853</v>
      </c>
      <c r="G1248" s="16" t="str">
        <f t="shared" si="95"/>
        <v>MasonaryStone (Gitti)</v>
      </c>
      <c r="H1248" s="4" t="s">
        <v>2854</v>
      </c>
      <c r="I1248" s="18" t="str" cm="1">
        <f t="array" ref="I1248">_xlfn.LET(_xlpm.text, D1248,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8" s="18" t="str" cm="1">
        <f t="array" ref="J1248">_xlfn.LET(_xlpm.text, E1248,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8" s="14">
        <f t="shared" si="96"/>
        <v>45955</v>
      </c>
      <c r="L1248" s="14">
        <f t="shared" si="97"/>
        <v>45955.624664351853</v>
      </c>
      <c r="N1248" s="12"/>
    </row>
    <row r="1249" spans="1:14" x14ac:dyDescent="0.25">
      <c r="A1249" s="4" t="s">
        <v>1278</v>
      </c>
      <c r="B1249" s="16" t="str">
        <f t="shared" si="93"/>
        <v>M/s Sidhi Vinayak Aggregates Private Limated</v>
      </c>
      <c r="C1249" s="16" t="str">
        <f t="shared" si="94"/>
        <v>Barsingo Ka Bas Lohawat()</v>
      </c>
      <c r="D1249" s="4" t="s">
        <v>3031</v>
      </c>
      <c r="E1249" s="4" t="s">
        <v>3119</v>
      </c>
      <c r="F1249" s="5">
        <v>45962.999664351853</v>
      </c>
      <c r="G1249" s="16" t="str">
        <f t="shared" si="95"/>
        <v>MasonaryStone (Gitti)</v>
      </c>
      <c r="H1249" s="4" t="s">
        <v>2667</v>
      </c>
      <c r="I1249" s="18" t="str" cm="1">
        <f t="array" ref="I1249">_xlfn.LET(_xlpm.text, D1249,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49" s="18" t="str" cm="1">
        <f t="array" ref="J1249">_xlfn.LET(_xlpm.text, E1249,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49" s="14">
        <f t="shared" si="96"/>
        <v>45963</v>
      </c>
      <c r="L1249" s="14">
        <f t="shared" si="97"/>
        <v>45963.624664351853</v>
      </c>
      <c r="N1249" s="12"/>
    </row>
    <row r="1250" spans="1:14" x14ac:dyDescent="0.25">
      <c r="A1250" s="4" t="s">
        <v>1279</v>
      </c>
      <c r="B1250" s="16" t="str">
        <f t="shared" si="93"/>
        <v>M/s Sidhi Vinayak Aggregates Private Limated</v>
      </c>
      <c r="C1250" s="16" t="str">
        <f t="shared" si="94"/>
        <v>Barsingo Ka Bas Lohawat()</v>
      </c>
      <c r="D1250" s="4" t="s">
        <v>3031</v>
      </c>
      <c r="E1250" s="4" t="s">
        <v>3119</v>
      </c>
      <c r="F1250" s="5">
        <v>45965.999664351853</v>
      </c>
      <c r="G1250" s="16" t="str">
        <f t="shared" si="95"/>
        <v>MasonaryStone (Gitti)</v>
      </c>
      <c r="H1250" s="4" t="s">
        <v>2603</v>
      </c>
      <c r="I1250" s="18" t="str" cm="1">
        <f t="array" ref="I1250">_xlfn.LET(_xlpm.text, D1250,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0" s="18" t="str" cm="1">
        <f t="array" ref="J1250">_xlfn.LET(_xlpm.text, E1250,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0" s="14">
        <f t="shared" si="96"/>
        <v>45966</v>
      </c>
      <c r="L1250" s="14">
        <f t="shared" si="97"/>
        <v>45966.624664351853</v>
      </c>
      <c r="N1250" s="12"/>
    </row>
    <row r="1251" spans="1:14" x14ac:dyDescent="0.25">
      <c r="A1251" s="4" t="s">
        <v>1280</v>
      </c>
      <c r="B1251" s="16" t="str">
        <f t="shared" si="93"/>
        <v>M/s Sidhi Vinayak Aggregates Private Limated</v>
      </c>
      <c r="C1251" s="16" t="str">
        <f t="shared" si="94"/>
        <v>Barsingo Ka Bas Lohawat()</v>
      </c>
      <c r="D1251" s="4" t="s">
        <v>3031</v>
      </c>
      <c r="E1251" s="4" t="s">
        <v>3119</v>
      </c>
      <c r="F1251" s="5">
        <v>45933.999664351853</v>
      </c>
      <c r="G1251" s="16" t="str">
        <f t="shared" si="95"/>
        <v>MasonaryStone (Gitti)</v>
      </c>
      <c r="H1251" s="4" t="s">
        <v>2855</v>
      </c>
      <c r="I1251" s="18" t="str" cm="1">
        <f t="array" ref="I1251">_xlfn.LET(_xlpm.text, D1251,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1" s="18" t="str" cm="1">
        <f t="array" ref="J1251">_xlfn.LET(_xlpm.text, E1251,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1" s="14">
        <f t="shared" si="96"/>
        <v>45934</v>
      </c>
      <c r="L1251" s="14">
        <f t="shared" si="97"/>
        <v>45934.624664351853</v>
      </c>
      <c r="N1251" s="12"/>
    </row>
    <row r="1252" spans="1:14" x14ac:dyDescent="0.25">
      <c r="A1252" s="4" t="s">
        <v>1281</v>
      </c>
      <c r="B1252" s="16" t="str">
        <f t="shared" si="93"/>
        <v>M/s Sidhi Vinayak Aggregates Private Limated</v>
      </c>
      <c r="C1252" s="16" t="str">
        <f t="shared" si="94"/>
        <v>Barsingo Ka Bas Lohawat()</v>
      </c>
      <c r="D1252" s="4" t="s">
        <v>3031</v>
      </c>
      <c r="E1252" s="4" t="s">
        <v>3119</v>
      </c>
      <c r="F1252" s="5">
        <v>45932.999664351853</v>
      </c>
      <c r="G1252" s="16" t="str">
        <f t="shared" si="95"/>
        <v>MasonaryStone (Gitti)</v>
      </c>
      <c r="H1252" s="4" t="s">
        <v>2702</v>
      </c>
      <c r="I1252" s="18" t="str" cm="1">
        <f t="array" ref="I1252">_xlfn.LET(_xlpm.text, D1252,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2" s="18" t="str" cm="1">
        <f t="array" ref="J1252">_xlfn.LET(_xlpm.text, E1252,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2" s="14">
        <f t="shared" si="96"/>
        <v>45933</v>
      </c>
      <c r="L1252" s="14">
        <f t="shared" si="97"/>
        <v>45933.624664351853</v>
      </c>
      <c r="N1252" s="12"/>
    </row>
    <row r="1253" spans="1:14" x14ac:dyDescent="0.25">
      <c r="A1253" s="4" t="s">
        <v>1282</v>
      </c>
      <c r="B1253" s="16" t="str">
        <f t="shared" si="93"/>
        <v>M/s Sidhi Vinayak Aggregates Private Limated</v>
      </c>
      <c r="C1253" s="16" t="str">
        <f t="shared" si="94"/>
        <v>Barsingo Ka Bas Lohawat()</v>
      </c>
      <c r="D1253" s="4" t="s">
        <v>3031</v>
      </c>
      <c r="E1253" s="4" t="s">
        <v>3119</v>
      </c>
      <c r="F1253" s="5">
        <v>45946.999664351853</v>
      </c>
      <c r="G1253" s="16" t="str">
        <f t="shared" si="95"/>
        <v>MasonaryStone (Gitti)</v>
      </c>
      <c r="H1253" s="4" t="s">
        <v>2518</v>
      </c>
      <c r="I1253" s="18" t="str" cm="1">
        <f t="array" ref="I1253">_xlfn.LET(_xlpm.text, D1253,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3" s="18" t="str" cm="1">
        <f t="array" ref="J1253">_xlfn.LET(_xlpm.text, E1253,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3" s="14">
        <f t="shared" si="96"/>
        <v>45947</v>
      </c>
      <c r="L1253" s="14">
        <f t="shared" si="97"/>
        <v>45947.624664351853</v>
      </c>
      <c r="N1253" s="12"/>
    </row>
    <row r="1254" spans="1:14" x14ac:dyDescent="0.25">
      <c r="A1254" s="4" t="s">
        <v>1283</v>
      </c>
      <c r="B1254" s="16" t="str">
        <f t="shared" si="93"/>
        <v>M/s Sidhi Vinayak Aggregates Private Limated</v>
      </c>
      <c r="C1254" s="16" t="str">
        <f t="shared" si="94"/>
        <v>Barsingo Ka Bas Lohawat()</v>
      </c>
      <c r="D1254" s="4" t="s">
        <v>3031</v>
      </c>
      <c r="E1254" s="4" t="s">
        <v>3119</v>
      </c>
      <c r="F1254" s="5">
        <v>45946.999664351853</v>
      </c>
      <c r="G1254" s="16" t="str">
        <f t="shared" si="95"/>
        <v>MasonaryStone (Gitti)</v>
      </c>
      <c r="H1254" s="4" t="s">
        <v>2856</v>
      </c>
      <c r="I1254" s="18" t="str" cm="1">
        <f t="array" ref="I1254">_xlfn.LET(_xlpm.text, D1254,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4" s="18" t="str" cm="1">
        <f t="array" ref="J1254">_xlfn.LET(_xlpm.text, E1254,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4" s="14">
        <f t="shared" si="96"/>
        <v>45947</v>
      </c>
      <c r="L1254" s="14">
        <f t="shared" si="97"/>
        <v>45947.624664351853</v>
      </c>
      <c r="N1254" s="12"/>
    </row>
    <row r="1255" spans="1:14" x14ac:dyDescent="0.25">
      <c r="A1255" s="4" t="s">
        <v>1284</v>
      </c>
      <c r="B1255" s="16" t="str">
        <f t="shared" si="93"/>
        <v>M/s Sidhi Vinayak Aggregates Private Limated</v>
      </c>
      <c r="C1255" s="16" t="str">
        <f t="shared" si="94"/>
        <v>Barsingo Ka Bas Lohawat()</v>
      </c>
      <c r="D1255" s="4" t="s">
        <v>3031</v>
      </c>
      <c r="E1255" s="4" t="s">
        <v>3119</v>
      </c>
      <c r="F1255" s="5">
        <v>45957.999664351853</v>
      </c>
      <c r="G1255" s="16" t="str">
        <f t="shared" si="95"/>
        <v>MasonaryStone (Gitti)</v>
      </c>
      <c r="H1255" s="4" t="s">
        <v>2667</v>
      </c>
      <c r="I1255" s="18" t="str" cm="1">
        <f t="array" ref="I1255">_xlfn.LET(_xlpm.text, D1255,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5" s="18" t="str" cm="1">
        <f t="array" ref="J1255">_xlfn.LET(_xlpm.text, E1255,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5" s="14">
        <f t="shared" si="96"/>
        <v>45958</v>
      </c>
      <c r="L1255" s="14">
        <f t="shared" si="97"/>
        <v>45958.624664351853</v>
      </c>
      <c r="N1255" s="12"/>
    </row>
    <row r="1256" spans="1:14" x14ac:dyDescent="0.25">
      <c r="A1256" s="4" t="s">
        <v>1285</v>
      </c>
      <c r="B1256" s="16" t="str">
        <f t="shared" si="93"/>
        <v>M/s Sidhi Vinayak Aggregates Private Limated</v>
      </c>
      <c r="C1256" s="16" t="str">
        <f t="shared" si="94"/>
        <v>Barsingo Ka Bas Lohawat()</v>
      </c>
      <c r="D1256" s="4" t="s">
        <v>3031</v>
      </c>
      <c r="E1256" s="4" t="s">
        <v>3119</v>
      </c>
      <c r="F1256" s="5">
        <v>45961.999664351853</v>
      </c>
      <c r="G1256" s="16" t="str">
        <f t="shared" si="95"/>
        <v>MasonaryStone (Gitti)</v>
      </c>
      <c r="H1256" s="4" t="s">
        <v>2857</v>
      </c>
      <c r="I1256" s="18" t="str" cm="1">
        <f t="array" ref="I1256">_xlfn.LET(_xlpm.text, D1256,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6" s="18" t="str" cm="1">
        <f t="array" ref="J1256">_xlfn.LET(_xlpm.text, E1256,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6" s="14">
        <f t="shared" si="96"/>
        <v>45962</v>
      </c>
      <c r="L1256" s="14">
        <f t="shared" si="97"/>
        <v>45962.624664351853</v>
      </c>
      <c r="N1256" s="12"/>
    </row>
    <row r="1257" spans="1:14" x14ac:dyDescent="0.25">
      <c r="A1257" s="4" t="s">
        <v>1286</v>
      </c>
      <c r="B1257" s="16" t="str">
        <f t="shared" si="93"/>
        <v>M/s Sidhi Vinayak Aggregates Private Limated</v>
      </c>
      <c r="C1257" s="16" t="str">
        <f t="shared" si="94"/>
        <v>Barsingo Ka Bas Lohawat()</v>
      </c>
      <c r="D1257" s="4" t="s">
        <v>3031</v>
      </c>
      <c r="E1257" s="4" t="s">
        <v>3119</v>
      </c>
      <c r="F1257" s="5">
        <v>45934.999664351853</v>
      </c>
      <c r="G1257" s="16" t="str">
        <f t="shared" si="95"/>
        <v>MasonaryStone (Gitti)</v>
      </c>
      <c r="H1257" s="4" t="s">
        <v>2405</v>
      </c>
      <c r="I1257" s="18" t="str" cm="1">
        <f t="array" ref="I1257">_xlfn.LET(_xlpm.text, D1257,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7" s="18" t="str" cm="1">
        <f t="array" ref="J1257">_xlfn.LET(_xlpm.text, E1257,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7" s="14">
        <f t="shared" si="96"/>
        <v>45935</v>
      </c>
      <c r="L1257" s="14">
        <f t="shared" si="97"/>
        <v>45935.624664351853</v>
      </c>
      <c r="N1257" s="12"/>
    </row>
    <row r="1258" spans="1:14" x14ac:dyDescent="0.25">
      <c r="A1258" s="4" t="s">
        <v>1287</v>
      </c>
      <c r="B1258" s="16" t="str">
        <f t="shared" si="93"/>
        <v>M/s Sidhi Vinayak Aggregates Private Limated</v>
      </c>
      <c r="C1258" s="16" t="str">
        <f t="shared" si="94"/>
        <v>Barsingo Ka Bas Lohawat()</v>
      </c>
      <c r="D1258" s="4" t="s">
        <v>3031</v>
      </c>
      <c r="E1258" s="4" t="s">
        <v>3119</v>
      </c>
      <c r="F1258" s="5">
        <v>45970.999664351853</v>
      </c>
      <c r="G1258" s="16" t="str">
        <f t="shared" si="95"/>
        <v>MasonaryStone (Gitti)</v>
      </c>
      <c r="H1258" s="4" t="s">
        <v>2858</v>
      </c>
      <c r="I1258" s="18" t="str" cm="1">
        <f t="array" ref="I1258">_xlfn.LET(_xlpm.text, D1258,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8" s="18" t="str" cm="1">
        <f t="array" ref="J1258">_xlfn.LET(_xlpm.text, E1258,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8" s="14">
        <f t="shared" si="96"/>
        <v>45971</v>
      </c>
      <c r="L1258" s="14">
        <f t="shared" si="97"/>
        <v>45971.624664351853</v>
      </c>
      <c r="N1258" s="12"/>
    </row>
    <row r="1259" spans="1:14" x14ac:dyDescent="0.25">
      <c r="A1259" s="4" t="s">
        <v>1288</v>
      </c>
      <c r="B1259" s="16" t="str">
        <f t="shared" si="93"/>
        <v>M/s Sidhi Vinayak Aggregates Private Limated</v>
      </c>
      <c r="C1259" s="16" t="str">
        <f t="shared" si="94"/>
        <v>Barsingo Ka Bas Lohawat()</v>
      </c>
      <c r="D1259" s="4" t="s">
        <v>3031</v>
      </c>
      <c r="E1259" s="4" t="s">
        <v>3119</v>
      </c>
      <c r="F1259" s="5">
        <v>45970.999664351853</v>
      </c>
      <c r="G1259" s="16" t="str">
        <f t="shared" si="95"/>
        <v>MasonaryStone (Gitti)</v>
      </c>
      <c r="H1259" s="4" t="s">
        <v>2858</v>
      </c>
      <c r="I1259" s="18" t="str" cm="1">
        <f t="array" ref="I1259">_xlfn.LET(_xlpm.text, D1259,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59" s="18" t="str" cm="1">
        <f t="array" ref="J1259">_xlfn.LET(_xlpm.text, E1259,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59" s="14">
        <f t="shared" si="96"/>
        <v>45971</v>
      </c>
      <c r="L1259" s="14">
        <f t="shared" si="97"/>
        <v>45971.624664351853</v>
      </c>
      <c r="N1259" s="12"/>
    </row>
    <row r="1260" spans="1:14" x14ac:dyDescent="0.25">
      <c r="A1260" s="4" t="s">
        <v>1289</v>
      </c>
      <c r="B1260" s="16" t="str">
        <f t="shared" si="93"/>
        <v>M/s Sidhi Vinayak Aggregates Private Limated</v>
      </c>
      <c r="C1260" s="16" t="str">
        <f t="shared" si="94"/>
        <v>Barsingo Ka Bas Lohawat()</v>
      </c>
      <c r="D1260" s="4" t="s">
        <v>3031</v>
      </c>
      <c r="E1260" s="4" t="s">
        <v>3119</v>
      </c>
      <c r="F1260" s="5">
        <v>45934.999664351853</v>
      </c>
      <c r="G1260" s="16" t="str">
        <f t="shared" si="95"/>
        <v>MasonaryStone (Gitti)</v>
      </c>
      <c r="H1260" s="4" t="s">
        <v>2859</v>
      </c>
      <c r="I1260" s="18" t="str" cm="1">
        <f t="array" ref="I1260">_xlfn.LET(_xlpm.text, D1260,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0" s="18" t="str" cm="1">
        <f t="array" ref="J1260">_xlfn.LET(_xlpm.text, E1260,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0" s="14">
        <f t="shared" si="96"/>
        <v>45935</v>
      </c>
      <c r="L1260" s="14">
        <f t="shared" si="97"/>
        <v>45935.624664351853</v>
      </c>
      <c r="N1260" s="12"/>
    </row>
    <row r="1261" spans="1:14" x14ac:dyDescent="0.25">
      <c r="A1261" s="4" t="s">
        <v>1290</v>
      </c>
      <c r="B1261" s="16" t="str">
        <f t="shared" si="93"/>
        <v>M/s Sidhi Vinayak Aggregates Private Limated</v>
      </c>
      <c r="C1261" s="16" t="str">
        <f t="shared" si="94"/>
        <v>Barsingo Ka Bas Lohawat()</v>
      </c>
      <c r="D1261" s="4" t="s">
        <v>3031</v>
      </c>
      <c r="E1261" s="4" t="s">
        <v>3119</v>
      </c>
      <c r="F1261" s="5">
        <v>45939.999664351853</v>
      </c>
      <c r="G1261" s="16" t="str">
        <f t="shared" si="95"/>
        <v>MasonaryStone (Gitti)</v>
      </c>
      <c r="H1261" s="4" t="s">
        <v>2705</v>
      </c>
      <c r="I1261" s="18" t="str" cm="1">
        <f t="array" ref="I1261">_xlfn.LET(_xlpm.text, D1261,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1" s="18" t="str" cm="1">
        <f t="array" ref="J1261">_xlfn.LET(_xlpm.text, E1261,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1" s="14">
        <f t="shared" si="96"/>
        <v>45940</v>
      </c>
      <c r="L1261" s="14">
        <f t="shared" si="97"/>
        <v>45940.624664351853</v>
      </c>
      <c r="N1261" s="12"/>
    </row>
    <row r="1262" spans="1:14" x14ac:dyDescent="0.25">
      <c r="A1262" s="4" t="s">
        <v>1291</v>
      </c>
      <c r="B1262" s="16" t="str">
        <f t="shared" si="93"/>
        <v>M/s Sidhi Vinayak Aggregates Private Limated</v>
      </c>
      <c r="C1262" s="16" t="str">
        <f t="shared" si="94"/>
        <v>Barsingo Ka Bas Lohawat()</v>
      </c>
      <c r="D1262" s="4" t="s">
        <v>3031</v>
      </c>
      <c r="E1262" s="4" t="s">
        <v>3119</v>
      </c>
      <c r="F1262" s="5">
        <v>45938.999664351853</v>
      </c>
      <c r="G1262" s="16" t="str">
        <f t="shared" si="95"/>
        <v>MasonaryStone (Gitti)</v>
      </c>
      <c r="H1262" s="4" t="s">
        <v>2860</v>
      </c>
      <c r="I1262" s="18" t="str" cm="1">
        <f t="array" ref="I1262">_xlfn.LET(_xlpm.text, D1262,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2" s="18" t="str" cm="1">
        <f t="array" ref="J1262">_xlfn.LET(_xlpm.text, E1262,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2" s="14">
        <f t="shared" si="96"/>
        <v>45939</v>
      </c>
      <c r="L1262" s="14">
        <f t="shared" si="97"/>
        <v>45939.624664351853</v>
      </c>
      <c r="N1262" s="12"/>
    </row>
    <row r="1263" spans="1:14" x14ac:dyDescent="0.25">
      <c r="A1263" s="4" t="s">
        <v>1292</v>
      </c>
      <c r="B1263" s="16" t="str">
        <f t="shared" si="93"/>
        <v>M/s Sidhi Vinayak Aggregates Private Limated</v>
      </c>
      <c r="C1263" s="16" t="str">
        <f t="shared" si="94"/>
        <v>Barsingo Ka Bas Lohawat()</v>
      </c>
      <c r="D1263" s="4" t="s">
        <v>3031</v>
      </c>
      <c r="E1263" s="4" t="s">
        <v>3119</v>
      </c>
      <c r="F1263" s="5">
        <v>45939.999664351853</v>
      </c>
      <c r="G1263" s="16" t="str">
        <f t="shared" si="95"/>
        <v>MasonaryStone (Gitti)</v>
      </c>
      <c r="H1263" s="4" t="s">
        <v>2499</v>
      </c>
      <c r="I1263" s="18" t="str" cm="1">
        <f t="array" ref="I1263">_xlfn.LET(_xlpm.text, D1263,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3" s="18" t="str" cm="1">
        <f t="array" ref="J1263">_xlfn.LET(_xlpm.text, E1263,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3" s="14">
        <f t="shared" si="96"/>
        <v>45940</v>
      </c>
      <c r="L1263" s="14">
        <f t="shared" si="97"/>
        <v>45940.624664351853</v>
      </c>
      <c r="N1263" s="12"/>
    </row>
    <row r="1264" spans="1:14" x14ac:dyDescent="0.25">
      <c r="A1264" s="4" t="s">
        <v>1293</v>
      </c>
      <c r="B1264" s="16" t="str">
        <f t="shared" si="93"/>
        <v>M/s Sidhi Vinayak Aggregates Private Limated</v>
      </c>
      <c r="C1264" s="16" t="str">
        <f t="shared" si="94"/>
        <v>Barsingo Ka Bas Lohawat()</v>
      </c>
      <c r="D1264" s="4" t="s">
        <v>3031</v>
      </c>
      <c r="E1264" s="4" t="s">
        <v>3119</v>
      </c>
      <c r="F1264" s="5">
        <v>45962.999664351853</v>
      </c>
      <c r="G1264" s="16" t="str">
        <f t="shared" si="95"/>
        <v>MasonaryStone (Gitti)</v>
      </c>
      <c r="H1264" s="4" t="s">
        <v>2861</v>
      </c>
      <c r="I1264" s="18" t="str" cm="1">
        <f t="array" ref="I1264">_xlfn.LET(_xlpm.text, D1264,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4" s="18" t="str" cm="1">
        <f t="array" ref="J1264">_xlfn.LET(_xlpm.text, E1264,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4" s="14">
        <f t="shared" si="96"/>
        <v>45963</v>
      </c>
      <c r="L1264" s="14">
        <f t="shared" si="97"/>
        <v>45963.624664351853</v>
      </c>
      <c r="N1264" s="12"/>
    </row>
    <row r="1265" spans="1:14" x14ac:dyDescent="0.25">
      <c r="A1265" s="4" t="s">
        <v>1294</v>
      </c>
      <c r="B1265" s="16" t="str">
        <f t="shared" si="93"/>
        <v>M/s Sidhi Vinayak Aggregates Private Limated</v>
      </c>
      <c r="C1265" s="16" t="str">
        <f t="shared" si="94"/>
        <v>Barsingo Ka Bas Lohawat()</v>
      </c>
      <c r="D1265" s="4" t="s">
        <v>3031</v>
      </c>
      <c r="E1265" s="4" t="s">
        <v>3119</v>
      </c>
      <c r="F1265" s="5">
        <v>45930.999664351853</v>
      </c>
      <c r="G1265" s="16" t="str">
        <f t="shared" si="95"/>
        <v>MasonaryStone (Gitti)</v>
      </c>
      <c r="H1265" s="4" t="s">
        <v>2862</v>
      </c>
      <c r="I1265" s="18" t="str" cm="1">
        <f t="array" ref="I1265">_xlfn.LET(_xlpm.text, D1265,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5" s="18" t="str" cm="1">
        <f t="array" ref="J1265">_xlfn.LET(_xlpm.text, E1265,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5" s="14">
        <f t="shared" si="96"/>
        <v>45931</v>
      </c>
      <c r="L1265" s="14">
        <f t="shared" si="97"/>
        <v>45931.624664351853</v>
      </c>
      <c r="N1265" s="12"/>
    </row>
    <row r="1266" spans="1:14" x14ac:dyDescent="0.25">
      <c r="A1266" s="4" t="s">
        <v>1295</v>
      </c>
      <c r="B1266" s="16" t="str">
        <f t="shared" si="93"/>
        <v>M/s Sidhi Vinayak Aggregates Private Limated</v>
      </c>
      <c r="C1266" s="16" t="str">
        <f t="shared" si="94"/>
        <v>Barsingo Ka Bas Lohawat()</v>
      </c>
      <c r="D1266" s="4" t="s">
        <v>3031</v>
      </c>
      <c r="E1266" s="4" t="s">
        <v>3119</v>
      </c>
      <c r="F1266" s="5">
        <v>45934.999664351853</v>
      </c>
      <c r="G1266" s="16" t="str">
        <f t="shared" si="95"/>
        <v>MasonaryStone (Gitti)</v>
      </c>
      <c r="H1266" s="4" t="s">
        <v>2257</v>
      </c>
      <c r="I1266" s="18" t="str" cm="1">
        <f t="array" ref="I1266">_xlfn.LET(_xlpm.text, D1266,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6" s="18" t="str" cm="1">
        <f t="array" ref="J1266">_xlfn.LET(_xlpm.text, E1266,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6" s="14">
        <f t="shared" si="96"/>
        <v>45935</v>
      </c>
      <c r="L1266" s="14">
        <f t="shared" si="97"/>
        <v>45935.624664351853</v>
      </c>
      <c r="N1266" s="12"/>
    </row>
    <row r="1267" spans="1:14" x14ac:dyDescent="0.25">
      <c r="A1267" s="4" t="s">
        <v>1296</v>
      </c>
      <c r="B1267" s="16" t="str">
        <f t="shared" si="93"/>
        <v>M/s Sidhi Vinayak Aggregates Private Limated</v>
      </c>
      <c r="C1267" s="16" t="str">
        <f t="shared" si="94"/>
        <v>Barsingo Ka Bas Lohawat()</v>
      </c>
      <c r="D1267" s="4" t="s">
        <v>3031</v>
      </c>
      <c r="E1267" s="4" t="s">
        <v>3119</v>
      </c>
      <c r="F1267" s="5">
        <v>45946.999664351853</v>
      </c>
      <c r="G1267" s="16" t="str">
        <f t="shared" si="95"/>
        <v>MasonaryStone (Gitti)</v>
      </c>
      <c r="H1267" s="4" t="s">
        <v>2462</v>
      </c>
      <c r="I1267" s="18" t="str" cm="1">
        <f t="array" ref="I1267">_xlfn.LET(_xlpm.text, D1267,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7" s="18" t="str" cm="1">
        <f t="array" ref="J1267">_xlfn.LET(_xlpm.text, E1267,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7" s="14">
        <f t="shared" si="96"/>
        <v>45947</v>
      </c>
      <c r="L1267" s="14">
        <f t="shared" si="97"/>
        <v>45947.624664351853</v>
      </c>
      <c r="N1267" s="12"/>
    </row>
    <row r="1268" spans="1:14" x14ac:dyDescent="0.25">
      <c r="A1268" s="4" t="s">
        <v>1297</v>
      </c>
      <c r="B1268" s="16" t="str">
        <f t="shared" si="93"/>
        <v>M/s Sidhi Vinayak Aggregates Private Limated</v>
      </c>
      <c r="C1268" s="16" t="str">
        <f t="shared" si="94"/>
        <v>Barsingo Ka Bas Lohawat()</v>
      </c>
      <c r="D1268" s="4" t="s">
        <v>3031</v>
      </c>
      <c r="E1268" s="4" t="s">
        <v>3119</v>
      </c>
      <c r="F1268" s="5">
        <v>45932.999664351853</v>
      </c>
      <c r="G1268" s="16" t="str">
        <f t="shared" si="95"/>
        <v>MasonaryStone (Gitti)</v>
      </c>
      <c r="H1268" s="4" t="s">
        <v>2863</v>
      </c>
      <c r="I1268" s="18" t="str" cm="1">
        <f t="array" ref="I1268">_xlfn.LET(_xlpm.text, D1268,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8" s="18" t="str" cm="1">
        <f t="array" ref="J1268">_xlfn.LET(_xlpm.text, E1268,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8" s="14">
        <f t="shared" si="96"/>
        <v>45933</v>
      </c>
      <c r="L1268" s="14">
        <f t="shared" si="97"/>
        <v>45933.624664351853</v>
      </c>
      <c r="N1268" s="12"/>
    </row>
    <row r="1269" spans="1:14" x14ac:dyDescent="0.25">
      <c r="A1269" s="4" t="s">
        <v>1298</v>
      </c>
      <c r="B1269" s="16" t="str">
        <f t="shared" si="93"/>
        <v>M/s Sidhi Vinayak Aggregates Private Limated</v>
      </c>
      <c r="C1269" s="16" t="str">
        <f t="shared" si="94"/>
        <v>Barsingo Ka Bas Lohawat()</v>
      </c>
      <c r="D1269" s="4" t="s">
        <v>3031</v>
      </c>
      <c r="E1269" s="4" t="s">
        <v>3119</v>
      </c>
      <c r="F1269" s="5">
        <v>45956.999664351853</v>
      </c>
      <c r="G1269" s="16" t="str">
        <f t="shared" si="95"/>
        <v>MasonaryStone (Gitti)</v>
      </c>
      <c r="H1269" s="4" t="s">
        <v>2390</v>
      </c>
      <c r="I1269" s="18" t="str" cm="1">
        <f t="array" ref="I1269">_xlfn.LET(_xlpm.text, D1269,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69" s="18" t="str" cm="1">
        <f t="array" ref="J1269">_xlfn.LET(_xlpm.text, E1269,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69" s="14">
        <f t="shared" si="96"/>
        <v>45957</v>
      </c>
      <c r="L1269" s="14">
        <f t="shared" si="97"/>
        <v>45957.624664351853</v>
      </c>
      <c r="N1269" s="12"/>
    </row>
    <row r="1270" spans="1:14" x14ac:dyDescent="0.25">
      <c r="A1270" s="4" t="s">
        <v>1299</v>
      </c>
      <c r="B1270" s="16" t="str">
        <f t="shared" si="93"/>
        <v>M/s Sidhi Vinayak Aggregates Private Limated</v>
      </c>
      <c r="C1270" s="16" t="str">
        <f t="shared" si="94"/>
        <v>Barsingo Ka Bas Lohawat()</v>
      </c>
      <c r="D1270" s="4" t="s">
        <v>3031</v>
      </c>
      <c r="E1270" s="4" t="s">
        <v>3119</v>
      </c>
      <c r="F1270" s="5">
        <v>45932.999664351853</v>
      </c>
      <c r="G1270" s="16" t="str">
        <f t="shared" si="95"/>
        <v>MasonaryStone (Gitti)</v>
      </c>
      <c r="H1270" s="4" t="s">
        <v>2759</v>
      </c>
      <c r="I1270" s="18" t="str" cm="1">
        <f t="array" ref="I1270">_xlfn.LET(_xlpm.text, D1270,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0" s="18" t="str" cm="1">
        <f t="array" ref="J1270">_xlfn.LET(_xlpm.text, E1270,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0" s="14">
        <f t="shared" si="96"/>
        <v>45933</v>
      </c>
      <c r="L1270" s="14">
        <f t="shared" si="97"/>
        <v>45933.624664351853</v>
      </c>
      <c r="N1270" s="12"/>
    </row>
    <row r="1271" spans="1:14" x14ac:dyDescent="0.25">
      <c r="A1271" s="4" t="s">
        <v>1300</v>
      </c>
      <c r="B1271" s="16" t="str">
        <f t="shared" si="93"/>
        <v>M/s Sidhi Vinayak Aggregates Private Limated</v>
      </c>
      <c r="C1271" s="16" t="str">
        <f t="shared" si="94"/>
        <v>Barsingo Ka Bas Lohawat()</v>
      </c>
      <c r="D1271" s="4" t="s">
        <v>3031</v>
      </c>
      <c r="E1271" s="4" t="s">
        <v>3119</v>
      </c>
      <c r="F1271" s="5">
        <v>45942.999664351853</v>
      </c>
      <c r="G1271" s="16" t="str">
        <f t="shared" si="95"/>
        <v>MasonaryStone (Gitti)</v>
      </c>
      <c r="H1271" s="4" t="s">
        <v>2585</v>
      </c>
      <c r="I1271" s="18" t="str" cm="1">
        <f t="array" ref="I1271">_xlfn.LET(_xlpm.text, D1271,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1" s="18" t="str" cm="1">
        <f t="array" ref="J1271">_xlfn.LET(_xlpm.text, E1271,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1" s="14">
        <f t="shared" si="96"/>
        <v>45943</v>
      </c>
      <c r="L1271" s="14">
        <f t="shared" si="97"/>
        <v>45943.624664351853</v>
      </c>
      <c r="N1271" s="12"/>
    </row>
    <row r="1272" spans="1:14" x14ac:dyDescent="0.25">
      <c r="A1272" s="4" t="s">
        <v>1301</v>
      </c>
      <c r="B1272" s="16" t="str">
        <f t="shared" si="93"/>
        <v>M/s Sidhi Vinayak Aggregates Private Limated</v>
      </c>
      <c r="C1272" s="16" t="str">
        <f t="shared" si="94"/>
        <v>Barsingo Ka Bas Lohawat()</v>
      </c>
      <c r="D1272" s="4" t="s">
        <v>3031</v>
      </c>
      <c r="E1272" s="4" t="s">
        <v>3119</v>
      </c>
      <c r="F1272" s="5">
        <v>45934.999664351853</v>
      </c>
      <c r="G1272" s="16" t="str">
        <f t="shared" si="95"/>
        <v>MasonaryStone (Gitti)</v>
      </c>
      <c r="H1272" s="4" t="s">
        <v>2491</v>
      </c>
      <c r="I1272" s="18" t="str" cm="1">
        <f t="array" ref="I1272">_xlfn.LET(_xlpm.text, D1272,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2" s="18" t="str" cm="1">
        <f t="array" ref="J1272">_xlfn.LET(_xlpm.text, E1272,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2" s="14">
        <f t="shared" si="96"/>
        <v>45935</v>
      </c>
      <c r="L1272" s="14">
        <f t="shared" si="97"/>
        <v>45935.624664351853</v>
      </c>
      <c r="N1272" s="12"/>
    </row>
    <row r="1273" spans="1:14" x14ac:dyDescent="0.25">
      <c r="A1273" s="4" t="s">
        <v>1302</v>
      </c>
      <c r="B1273" s="16" t="str">
        <f t="shared" si="93"/>
        <v>M/s Sidhi Vinayak Aggregates Private Limated</v>
      </c>
      <c r="C1273" s="16" t="str">
        <f t="shared" si="94"/>
        <v>Barsingo Ka Bas Lohawat()</v>
      </c>
      <c r="D1273" s="4" t="s">
        <v>3031</v>
      </c>
      <c r="E1273" s="4" t="s">
        <v>3119</v>
      </c>
      <c r="F1273" s="5">
        <v>45961.999664351853</v>
      </c>
      <c r="G1273" s="16" t="str">
        <f t="shared" si="95"/>
        <v>MasonaryStone (Gitti)</v>
      </c>
      <c r="H1273" s="4" t="s">
        <v>2864</v>
      </c>
      <c r="I1273" s="18" t="str" cm="1">
        <f t="array" ref="I1273">_xlfn.LET(_xlpm.text, D1273,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3" s="18" t="str" cm="1">
        <f t="array" ref="J1273">_xlfn.LET(_xlpm.text, E1273,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3" s="14">
        <f t="shared" si="96"/>
        <v>45962</v>
      </c>
      <c r="L1273" s="14">
        <f t="shared" si="97"/>
        <v>45962.624664351853</v>
      </c>
      <c r="N1273" s="12"/>
    </row>
    <row r="1274" spans="1:14" x14ac:dyDescent="0.25">
      <c r="A1274" s="4" t="s">
        <v>1303</v>
      </c>
      <c r="B1274" s="16" t="str">
        <f t="shared" si="93"/>
        <v>M/s Sidhi Vinayak Aggregates Private Limated</v>
      </c>
      <c r="C1274" s="16" t="str">
        <f t="shared" si="94"/>
        <v>Barsingo Ka Bas Lohawat()</v>
      </c>
      <c r="D1274" s="4" t="s">
        <v>3031</v>
      </c>
      <c r="E1274" s="4" t="s">
        <v>3119</v>
      </c>
      <c r="F1274" s="5">
        <v>45932.999664351853</v>
      </c>
      <c r="G1274" s="16" t="str">
        <f t="shared" si="95"/>
        <v>MasonaryStone (Gitti)</v>
      </c>
      <c r="H1274" s="4" t="s">
        <v>2661</v>
      </c>
      <c r="I1274" s="18" t="str" cm="1">
        <f t="array" ref="I1274">_xlfn.LET(_xlpm.text, D1274,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4" s="18" t="str" cm="1">
        <f t="array" ref="J1274">_xlfn.LET(_xlpm.text, E1274,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4" s="14">
        <f t="shared" si="96"/>
        <v>45933</v>
      </c>
      <c r="L1274" s="14">
        <f t="shared" si="97"/>
        <v>45933.624664351853</v>
      </c>
      <c r="N1274" s="12"/>
    </row>
    <row r="1275" spans="1:14" x14ac:dyDescent="0.25">
      <c r="A1275" s="4" t="s">
        <v>1304</v>
      </c>
      <c r="B1275" s="16" t="str">
        <f t="shared" si="93"/>
        <v>M/s Sidhi Vinayak Aggregates Private Limated</v>
      </c>
      <c r="C1275" s="16" t="str">
        <f t="shared" si="94"/>
        <v>Barsingo Ka Bas Lohawat()</v>
      </c>
      <c r="D1275" s="4" t="s">
        <v>3031</v>
      </c>
      <c r="E1275" s="4" t="s">
        <v>3119</v>
      </c>
      <c r="F1275" s="5">
        <v>45933.999664351853</v>
      </c>
      <c r="G1275" s="16" t="str">
        <f t="shared" si="95"/>
        <v>MasonaryStone (Gitti)</v>
      </c>
      <c r="H1275" s="4" t="s">
        <v>2273</v>
      </c>
      <c r="I1275" s="18" t="str" cm="1">
        <f t="array" ref="I1275">_xlfn.LET(_xlpm.text, D1275,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5" s="18" t="str" cm="1">
        <f t="array" ref="J1275">_xlfn.LET(_xlpm.text, E1275,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5" s="14">
        <f t="shared" si="96"/>
        <v>45934</v>
      </c>
      <c r="L1275" s="14">
        <f t="shared" si="97"/>
        <v>45934.624664351853</v>
      </c>
      <c r="N1275" s="12"/>
    </row>
    <row r="1276" spans="1:14" x14ac:dyDescent="0.25">
      <c r="A1276" s="4" t="s">
        <v>1305</v>
      </c>
      <c r="B1276" s="16" t="str">
        <f t="shared" si="93"/>
        <v>M/s Sidhi Vinayak Aggregates Private Limated</v>
      </c>
      <c r="C1276" s="16" t="str">
        <f t="shared" si="94"/>
        <v>Barsingo Ka Bas Lohawat()</v>
      </c>
      <c r="D1276" s="4" t="s">
        <v>3031</v>
      </c>
      <c r="E1276" s="4" t="s">
        <v>3119</v>
      </c>
      <c r="F1276" s="5">
        <v>45933.999664351853</v>
      </c>
      <c r="G1276" s="16" t="str">
        <f t="shared" si="95"/>
        <v>MasonaryStone (Gitti)</v>
      </c>
      <c r="H1276" s="4" t="s">
        <v>2709</v>
      </c>
      <c r="I1276" s="18" t="str" cm="1">
        <f t="array" ref="I1276">_xlfn.LET(_xlpm.text, D1276,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6" s="18" t="str" cm="1">
        <f t="array" ref="J1276">_xlfn.LET(_xlpm.text, E1276,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6" s="14">
        <f t="shared" si="96"/>
        <v>45934</v>
      </c>
      <c r="L1276" s="14">
        <f t="shared" si="97"/>
        <v>45934.624664351853</v>
      </c>
      <c r="N1276" s="12"/>
    </row>
    <row r="1277" spans="1:14" x14ac:dyDescent="0.25">
      <c r="A1277" s="4" t="s">
        <v>1306</v>
      </c>
      <c r="B1277" s="16" t="str">
        <f t="shared" si="93"/>
        <v>M/s Sidhi Vinayak Aggregates Private Limated</v>
      </c>
      <c r="C1277" s="16" t="str">
        <f t="shared" si="94"/>
        <v>Barsingo Ka Bas Lohawat()</v>
      </c>
      <c r="D1277" s="4" t="s">
        <v>3031</v>
      </c>
      <c r="E1277" s="4" t="s">
        <v>3119</v>
      </c>
      <c r="F1277" s="5">
        <v>45930.999664351853</v>
      </c>
      <c r="G1277" s="16" t="str">
        <f t="shared" si="95"/>
        <v>MasonaryStone (Gitti)</v>
      </c>
      <c r="H1277" s="4" t="s">
        <v>2865</v>
      </c>
      <c r="I1277" s="18" t="str" cm="1">
        <f t="array" ref="I1277">_xlfn.LET(_xlpm.text, D1277,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7" s="18" t="str" cm="1">
        <f t="array" ref="J1277">_xlfn.LET(_xlpm.text, E1277,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7" s="14">
        <f t="shared" si="96"/>
        <v>45931</v>
      </c>
      <c r="L1277" s="14">
        <f t="shared" si="97"/>
        <v>45931.624664351853</v>
      </c>
      <c r="N1277" s="12"/>
    </row>
    <row r="1278" spans="1:14" x14ac:dyDescent="0.25">
      <c r="A1278" s="4" t="s">
        <v>1307</v>
      </c>
      <c r="B1278" s="16" t="str">
        <f t="shared" si="93"/>
        <v>M/s Sidhi Vinayak Aggregates Private Limated</v>
      </c>
      <c r="C1278" s="16" t="str">
        <f t="shared" si="94"/>
        <v>Barsingo Ka Bas Lohawat()</v>
      </c>
      <c r="D1278" s="4" t="s">
        <v>3031</v>
      </c>
      <c r="E1278" s="4" t="s">
        <v>3119</v>
      </c>
      <c r="F1278" s="5">
        <v>45958.999664351853</v>
      </c>
      <c r="G1278" s="16" t="str">
        <f t="shared" si="95"/>
        <v>MasonaryStone (Gitti)</v>
      </c>
      <c r="H1278" s="4" t="s">
        <v>2515</v>
      </c>
      <c r="I1278" s="18" t="str" cm="1">
        <f t="array" ref="I1278">_xlfn.LET(_xlpm.text, D1278,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8" s="18" t="str" cm="1">
        <f t="array" ref="J1278">_xlfn.LET(_xlpm.text, E1278,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8" s="14">
        <f t="shared" si="96"/>
        <v>45959</v>
      </c>
      <c r="L1278" s="14">
        <f t="shared" si="97"/>
        <v>45959.624664351853</v>
      </c>
      <c r="N1278" s="12"/>
    </row>
    <row r="1279" spans="1:14" x14ac:dyDescent="0.25">
      <c r="A1279" s="4" t="s">
        <v>1308</v>
      </c>
      <c r="B1279" s="16" t="str">
        <f t="shared" si="93"/>
        <v>M/s Sidhi Vinayak Aggregates Private Limated</v>
      </c>
      <c r="C1279" s="16" t="str">
        <f t="shared" si="94"/>
        <v>Barsingo Ka Bas Lohawat()</v>
      </c>
      <c r="D1279" s="4" t="s">
        <v>3031</v>
      </c>
      <c r="E1279" s="4" t="s">
        <v>3119</v>
      </c>
      <c r="F1279" s="5">
        <v>45933.999664351853</v>
      </c>
      <c r="G1279" s="16" t="str">
        <f t="shared" si="95"/>
        <v>MasonaryStone (Gitti)</v>
      </c>
      <c r="H1279" s="4" t="s">
        <v>2303</v>
      </c>
      <c r="I1279" s="18" t="str" cm="1">
        <f t="array" ref="I1279">_xlfn.LET(_xlpm.text, D1279,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79" s="18" t="str" cm="1">
        <f t="array" ref="J1279">_xlfn.LET(_xlpm.text, E1279,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79" s="14">
        <f t="shared" si="96"/>
        <v>45934</v>
      </c>
      <c r="L1279" s="14">
        <f t="shared" si="97"/>
        <v>45934.624664351853</v>
      </c>
      <c r="N1279" s="12"/>
    </row>
    <row r="1280" spans="1:14" x14ac:dyDescent="0.25">
      <c r="A1280" s="4" t="s">
        <v>1309</v>
      </c>
      <c r="B1280" s="16" t="str">
        <f t="shared" si="93"/>
        <v>M/s Sidhi Vinayak Aggregates Private Limated</v>
      </c>
      <c r="C1280" s="16" t="str">
        <f t="shared" si="94"/>
        <v>Barsingo Ka Bas Lohawat()</v>
      </c>
      <c r="D1280" s="4" t="s">
        <v>3031</v>
      </c>
      <c r="E1280" s="4" t="s">
        <v>3119</v>
      </c>
      <c r="F1280" s="5">
        <v>45938.999664351853</v>
      </c>
      <c r="G1280" s="16" t="str">
        <f t="shared" si="95"/>
        <v>MasonaryStone (Gitti)</v>
      </c>
      <c r="H1280" s="4" t="s">
        <v>2824</v>
      </c>
      <c r="I1280" s="18" t="str" cm="1">
        <f t="array" ref="I1280">_xlfn.LET(_xlpm.text, D1280,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0" s="18" t="str" cm="1">
        <f t="array" ref="J1280">_xlfn.LET(_xlpm.text, E1280,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0" s="14">
        <f t="shared" si="96"/>
        <v>45939</v>
      </c>
      <c r="L1280" s="14">
        <f t="shared" si="97"/>
        <v>45939.624664351853</v>
      </c>
      <c r="N1280" s="12"/>
    </row>
    <row r="1281" spans="1:14" x14ac:dyDescent="0.25">
      <c r="A1281" s="4" t="s">
        <v>1310</v>
      </c>
      <c r="B1281" s="16" t="str">
        <f t="shared" si="93"/>
        <v>M/s Sidhi Vinayak Aggregates Private Limated</v>
      </c>
      <c r="C1281" s="16" t="str">
        <f t="shared" si="94"/>
        <v>Barsingo Ka Bas Lohawat()</v>
      </c>
      <c r="D1281" s="4" t="s">
        <v>3031</v>
      </c>
      <c r="E1281" s="4" t="s">
        <v>3119</v>
      </c>
      <c r="F1281" s="5">
        <v>45938.999664351853</v>
      </c>
      <c r="G1281" s="16" t="str">
        <f t="shared" si="95"/>
        <v>MasonaryStone (Gitti)</v>
      </c>
      <c r="H1281" s="4" t="s">
        <v>2390</v>
      </c>
      <c r="I1281" s="18" t="str" cm="1">
        <f t="array" ref="I1281">_xlfn.LET(_xlpm.text, D1281,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1" s="18" t="str" cm="1">
        <f t="array" ref="J1281">_xlfn.LET(_xlpm.text, E1281,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1" s="14">
        <f t="shared" si="96"/>
        <v>45939</v>
      </c>
      <c r="L1281" s="14">
        <f t="shared" si="97"/>
        <v>45939.624664351853</v>
      </c>
      <c r="N1281" s="12"/>
    </row>
    <row r="1282" spans="1:14" x14ac:dyDescent="0.25">
      <c r="A1282" s="4" t="s">
        <v>1311</v>
      </c>
      <c r="B1282" s="16" t="str">
        <f t="shared" ref="B1282:B1345" si="98">VLOOKUP(LEFT($A1282,4)&amp;"*",$O$3:$R$17, 2, FALSE)</f>
        <v>M/s Sidhi Vinayak Aggregates Private Limated</v>
      </c>
      <c r="C1282" s="16" t="str">
        <f t="shared" ref="C1282:C1345" si="99">VLOOKUP(LEFT($A1282,4)&amp;"*",$O$3:$R$17, 3, FALSE)</f>
        <v>Barsingo Ka Bas Lohawat()</v>
      </c>
      <c r="D1282" s="4" t="s">
        <v>3031</v>
      </c>
      <c r="E1282" s="4" t="s">
        <v>3119</v>
      </c>
      <c r="F1282" s="5">
        <v>45970.999664351853</v>
      </c>
      <c r="G1282" s="16" t="str">
        <f t="shared" ref="G1282:G1345" si="100">VLOOKUP(LEFT($A1282,4)&amp;"*",$O$3:$R$17, 4, FALSE)</f>
        <v>MasonaryStone (Gitti)</v>
      </c>
      <c r="H1282" s="4" t="s">
        <v>2851</v>
      </c>
      <c r="I1282" s="18" t="str" cm="1">
        <f t="array" ref="I1282">_xlfn.LET(_xlpm.text, D1282,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2" s="18" t="str" cm="1">
        <f t="array" ref="J1282">_xlfn.LET(_xlpm.text, E1282,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2" s="14">
        <f t="shared" si="96"/>
        <v>45971</v>
      </c>
      <c r="L1282" s="14">
        <f t="shared" si="97"/>
        <v>45971.624664351853</v>
      </c>
      <c r="N1282" s="12"/>
    </row>
    <row r="1283" spans="1:14" x14ac:dyDescent="0.25">
      <c r="A1283" s="4" t="s">
        <v>1312</v>
      </c>
      <c r="B1283" s="16" t="str">
        <f t="shared" si="98"/>
        <v>M/s Sidhi Vinayak Aggregates Private Limated</v>
      </c>
      <c r="C1283" s="16" t="str">
        <f t="shared" si="99"/>
        <v>Barsingo Ka Bas Lohawat()</v>
      </c>
      <c r="D1283" s="4" t="s">
        <v>3031</v>
      </c>
      <c r="E1283" s="4" t="s">
        <v>3119</v>
      </c>
      <c r="F1283" s="5">
        <v>45983.999664351853</v>
      </c>
      <c r="G1283" s="16" t="str">
        <f t="shared" si="100"/>
        <v>MasonaryStone (Gitti)</v>
      </c>
      <c r="H1283" s="4" t="s">
        <v>2866</v>
      </c>
      <c r="I1283" s="18" t="str" cm="1">
        <f t="array" ref="I1283">_xlfn.LET(_xlpm.text, D1283,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3" s="18" t="str" cm="1">
        <f t="array" ref="J1283">_xlfn.LET(_xlpm.text, E1283,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3" s="14">
        <f t="shared" ref="K1283:K1346" si="101">F1283+(29/86400)</f>
        <v>45984</v>
      </c>
      <c r="L1283" s="14">
        <f t="shared" ref="L1283:L1346" si="102">F1283+(15/24)</f>
        <v>45984.624664351853</v>
      </c>
      <c r="N1283" s="12"/>
    </row>
    <row r="1284" spans="1:14" x14ac:dyDescent="0.25">
      <c r="A1284" s="4" t="s">
        <v>1313</v>
      </c>
      <c r="B1284" s="16" t="str">
        <f t="shared" si="98"/>
        <v>M/s Sidhi Vinayak Aggregates Private Limated</v>
      </c>
      <c r="C1284" s="16" t="str">
        <f t="shared" si="99"/>
        <v>Barsingo Ka Bas Lohawat()</v>
      </c>
      <c r="D1284" s="4" t="s">
        <v>3031</v>
      </c>
      <c r="E1284" s="4" t="s">
        <v>3119</v>
      </c>
      <c r="F1284" s="5">
        <v>45939.999664351853</v>
      </c>
      <c r="G1284" s="16" t="str">
        <f t="shared" si="100"/>
        <v>MasonaryStone (Gitti)</v>
      </c>
      <c r="H1284" s="4" t="s">
        <v>2470</v>
      </c>
      <c r="I1284" s="18" t="str" cm="1">
        <f t="array" ref="I1284">_xlfn.LET(_xlpm.text, D1284,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4" s="18" t="str" cm="1">
        <f t="array" ref="J1284">_xlfn.LET(_xlpm.text, E1284,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4" s="14">
        <f t="shared" si="101"/>
        <v>45940</v>
      </c>
      <c r="L1284" s="14">
        <f t="shared" si="102"/>
        <v>45940.624664351853</v>
      </c>
      <c r="N1284" s="12"/>
    </row>
    <row r="1285" spans="1:14" x14ac:dyDescent="0.25">
      <c r="A1285" s="4" t="s">
        <v>1314</v>
      </c>
      <c r="B1285" s="16" t="str">
        <f t="shared" si="98"/>
        <v>M/s Sidhi Vinayak Aggregates Private Limated</v>
      </c>
      <c r="C1285" s="16" t="str">
        <f t="shared" si="99"/>
        <v>Barsingo Ka Bas Lohawat()</v>
      </c>
      <c r="D1285" s="4" t="s">
        <v>3031</v>
      </c>
      <c r="E1285" s="4" t="s">
        <v>3119</v>
      </c>
      <c r="F1285" s="5">
        <v>45939.999664351853</v>
      </c>
      <c r="G1285" s="16" t="str">
        <f t="shared" si="100"/>
        <v>MasonaryStone (Gitti)</v>
      </c>
      <c r="H1285" s="4" t="s">
        <v>2867</v>
      </c>
      <c r="I1285" s="18" t="str" cm="1">
        <f t="array" ref="I1285">_xlfn.LET(_xlpm.text, D1285,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5" s="18" t="str" cm="1">
        <f t="array" ref="J1285">_xlfn.LET(_xlpm.text, E1285,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5" s="14">
        <f t="shared" si="101"/>
        <v>45940</v>
      </c>
      <c r="L1285" s="14">
        <f t="shared" si="102"/>
        <v>45940.624664351853</v>
      </c>
      <c r="N1285" s="12"/>
    </row>
    <row r="1286" spans="1:14" x14ac:dyDescent="0.25">
      <c r="A1286" s="4" t="s">
        <v>1315</v>
      </c>
      <c r="B1286" s="16" t="str">
        <f t="shared" si="98"/>
        <v>M/s Sidhi Vinayak Aggregates Private Limated</v>
      </c>
      <c r="C1286" s="16" t="str">
        <f t="shared" si="99"/>
        <v>Barsingo Ka Bas Lohawat()</v>
      </c>
      <c r="D1286" s="4" t="s">
        <v>3031</v>
      </c>
      <c r="E1286" s="4" t="s">
        <v>3119</v>
      </c>
      <c r="F1286" s="5">
        <v>45959.999664351853</v>
      </c>
      <c r="G1286" s="16" t="str">
        <f t="shared" si="100"/>
        <v>MasonaryStone (Gitti)</v>
      </c>
      <c r="H1286" s="4" t="s">
        <v>2773</v>
      </c>
      <c r="I1286" s="18" t="str" cm="1">
        <f t="array" ref="I1286">_xlfn.LET(_xlpm.text, D1286,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6" s="18" t="str" cm="1">
        <f t="array" ref="J1286">_xlfn.LET(_xlpm.text, E1286,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6" s="14">
        <f t="shared" si="101"/>
        <v>45960</v>
      </c>
      <c r="L1286" s="14">
        <f t="shared" si="102"/>
        <v>45960.624664351853</v>
      </c>
      <c r="N1286" s="12"/>
    </row>
    <row r="1287" spans="1:14" x14ac:dyDescent="0.25">
      <c r="A1287" s="4" t="s">
        <v>1316</v>
      </c>
      <c r="B1287" s="16" t="str">
        <f t="shared" si="98"/>
        <v>M/s Sidhi Vinayak Aggregates Private Limated</v>
      </c>
      <c r="C1287" s="16" t="str">
        <f t="shared" si="99"/>
        <v>Barsingo Ka Bas Lohawat()</v>
      </c>
      <c r="D1287" s="4" t="s">
        <v>3031</v>
      </c>
      <c r="E1287" s="4" t="s">
        <v>3119</v>
      </c>
      <c r="F1287" s="5">
        <v>45969.999664351853</v>
      </c>
      <c r="G1287" s="16" t="str">
        <f t="shared" si="100"/>
        <v>MasonaryStone (Gitti)</v>
      </c>
      <c r="H1287" s="4" t="s">
        <v>2821</v>
      </c>
      <c r="I1287" s="18" t="str" cm="1">
        <f t="array" ref="I1287">_xlfn.LET(_xlpm.text, D1287,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7" s="18" t="str" cm="1">
        <f t="array" ref="J1287">_xlfn.LET(_xlpm.text, E1287,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7" s="14">
        <f t="shared" si="101"/>
        <v>45970</v>
      </c>
      <c r="L1287" s="14">
        <f t="shared" si="102"/>
        <v>45970.624664351853</v>
      </c>
      <c r="N1287" s="12"/>
    </row>
    <row r="1288" spans="1:14" x14ac:dyDescent="0.25">
      <c r="A1288" s="4" t="s">
        <v>1317</v>
      </c>
      <c r="B1288" s="16" t="str">
        <f t="shared" si="98"/>
        <v>M/s Sidhi Vinayak Aggregates Private Limated</v>
      </c>
      <c r="C1288" s="16" t="str">
        <f t="shared" si="99"/>
        <v>Barsingo Ka Bas Lohawat()</v>
      </c>
      <c r="D1288" s="4" t="s">
        <v>3031</v>
      </c>
      <c r="E1288" s="4" t="s">
        <v>3119</v>
      </c>
      <c r="F1288" s="5">
        <v>45984.999664351853</v>
      </c>
      <c r="G1288" s="16" t="str">
        <f t="shared" si="100"/>
        <v>MasonaryStone (Gitti)</v>
      </c>
      <c r="H1288" s="4" t="s">
        <v>2868</v>
      </c>
      <c r="I1288" s="18" t="str" cm="1">
        <f t="array" ref="I1288">_xlfn.LET(_xlpm.text, D1288,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8" s="18" t="str" cm="1">
        <f t="array" ref="J1288">_xlfn.LET(_xlpm.text, E1288,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8" s="14">
        <f t="shared" si="101"/>
        <v>45985</v>
      </c>
      <c r="L1288" s="14">
        <f t="shared" si="102"/>
        <v>45985.624664351853</v>
      </c>
      <c r="N1288" s="12"/>
    </row>
    <row r="1289" spans="1:14" x14ac:dyDescent="0.25">
      <c r="A1289" s="4" t="s">
        <v>1318</v>
      </c>
      <c r="B1289" s="16" t="str">
        <f t="shared" si="98"/>
        <v>M/s Sidhi Vinayak Aggregates Private Limated</v>
      </c>
      <c r="C1289" s="16" t="str">
        <f t="shared" si="99"/>
        <v>Barsingo Ka Bas Lohawat()</v>
      </c>
      <c r="D1289" s="4" t="s">
        <v>3031</v>
      </c>
      <c r="E1289" s="4" t="s">
        <v>3119</v>
      </c>
      <c r="F1289" s="5">
        <v>45985.999664351853</v>
      </c>
      <c r="G1289" s="16" t="str">
        <f t="shared" si="100"/>
        <v>MasonaryStone (Gitti)</v>
      </c>
      <c r="H1289" s="4" t="s">
        <v>2838</v>
      </c>
      <c r="I1289" s="18" t="str" cm="1">
        <f t="array" ref="I1289">_xlfn.LET(_xlpm.text, D1289,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89" s="18" t="str" cm="1">
        <f t="array" ref="J1289">_xlfn.LET(_xlpm.text, E1289,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89" s="14">
        <f t="shared" si="101"/>
        <v>45986</v>
      </c>
      <c r="L1289" s="14">
        <f t="shared" si="102"/>
        <v>45986.624664351853</v>
      </c>
      <c r="N1289" s="12"/>
    </row>
    <row r="1290" spans="1:14" x14ac:dyDescent="0.25">
      <c r="A1290" s="4" t="s">
        <v>1319</v>
      </c>
      <c r="B1290" s="16" t="str">
        <f t="shared" si="98"/>
        <v>M/s Sidhi Vinayak Aggregates Private Limated</v>
      </c>
      <c r="C1290" s="16" t="str">
        <f t="shared" si="99"/>
        <v>Barsingo Ka Bas Lohawat()</v>
      </c>
      <c r="D1290" s="4" t="s">
        <v>3031</v>
      </c>
      <c r="E1290" s="4" t="s">
        <v>3119</v>
      </c>
      <c r="F1290" s="5">
        <v>45970.999664351853</v>
      </c>
      <c r="G1290" s="16" t="str">
        <f t="shared" si="100"/>
        <v>MasonaryStone (Gitti)</v>
      </c>
      <c r="H1290" s="4" t="s">
        <v>2869</v>
      </c>
      <c r="I1290" s="18" t="str" cm="1">
        <f t="array" ref="I1290">_xlfn.LET(_xlpm.text, D1290,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0" s="18" t="str" cm="1">
        <f t="array" ref="J1290">_xlfn.LET(_xlpm.text, E1290,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0" s="14">
        <f t="shared" si="101"/>
        <v>45971</v>
      </c>
      <c r="L1290" s="14">
        <f t="shared" si="102"/>
        <v>45971.624664351853</v>
      </c>
      <c r="N1290" s="12"/>
    </row>
    <row r="1291" spans="1:14" x14ac:dyDescent="0.25">
      <c r="A1291" s="4" t="s">
        <v>1320</v>
      </c>
      <c r="B1291" s="16" t="str">
        <f t="shared" si="98"/>
        <v>M/s Sidhi Vinayak Aggregates Private Limated</v>
      </c>
      <c r="C1291" s="16" t="str">
        <f t="shared" si="99"/>
        <v>Barsingo Ka Bas Lohawat()</v>
      </c>
      <c r="D1291" s="4" t="s">
        <v>3031</v>
      </c>
      <c r="E1291" s="4" t="s">
        <v>3119</v>
      </c>
      <c r="F1291" s="5">
        <v>45960.999664351853</v>
      </c>
      <c r="G1291" s="16" t="str">
        <f t="shared" si="100"/>
        <v>MasonaryStone (Gitti)</v>
      </c>
      <c r="H1291" s="4" t="s">
        <v>2870</v>
      </c>
      <c r="I1291" s="18" t="str" cm="1">
        <f t="array" ref="I1291">_xlfn.LET(_xlpm.text, D1291,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1" s="18" t="str" cm="1">
        <f t="array" ref="J1291">_xlfn.LET(_xlpm.text, E1291,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1" s="14">
        <f t="shared" si="101"/>
        <v>45961</v>
      </c>
      <c r="L1291" s="14">
        <f t="shared" si="102"/>
        <v>45961.624664351853</v>
      </c>
      <c r="N1291" s="12"/>
    </row>
    <row r="1292" spans="1:14" x14ac:dyDescent="0.25">
      <c r="A1292" s="4" t="s">
        <v>1321</v>
      </c>
      <c r="B1292" s="16" t="str">
        <f t="shared" si="98"/>
        <v>M/s Sidhi Vinayak Aggregates Private Limated</v>
      </c>
      <c r="C1292" s="16" t="str">
        <f t="shared" si="99"/>
        <v>Barsingo Ka Bas Lohawat()</v>
      </c>
      <c r="D1292" s="4" t="s">
        <v>3031</v>
      </c>
      <c r="E1292" s="4" t="s">
        <v>3119</v>
      </c>
      <c r="F1292" s="5">
        <v>45969.999664351853</v>
      </c>
      <c r="G1292" s="16" t="str">
        <f t="shared" si="100"/>
        <v>MasonaryStone (Gitti)</v>
      </c>
      <c r="H1292" s="4" t="s">
        <v>2257</v>
      </c>
      <c r="I1292" s="18" t="str" cm="1">
        <f t="array" ref="I1292">_xlfn.LET(_xlpm.text, D1292,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2" s="18" t="str" cm="1">
        <f t="array" ref="J1292">_xlfn.LET(_xlpm.text, E1292,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2" s="14">
        <f t="shared" si="101"/>
        <v>45970</v>
      </c>
      <c r="L1292" s="14">
        <f t="shared" si="102"/>
        <v>45970.624664351853</v>
      </c>
      <c r="N1292" s="12"/>
    </row>
    <row r="1293" spans="1:14" x14ac:dyDescent="0.25">
      <c r="A1293" s="4" t="s">
        <v>1322</v>
      </c>
      <c r="B1293" s="16" t="str">
        <f t="shared" si="98"/>
        <v>M/s Sidhi Vinayak Aggregates Private Limated</v>
      </c>
      <c r="C1293" s="16" t="str">
        <f t="shared" si="99"/>
        <v>Barsingo Ka Bas Lohawat()</v>
      </c>
      <c r="D1293" s="4" t="s">
        <v>3031</v>
      </c>
      <c r="E1293" s="4" t="s">
        <v>3119</v>
      </c>
      <c r="F1293" s="5">
        <v>45970.999664351853</v>
      </c>
      <c r="G1293" s="16" t="str">
        <f t="shared" si="100"/>
        <v>MasonaryStone (Gitti)</v>
      </c>
      <c r="H1293" s="4" t="s">
        <v>2268</v>
      </c>
      <c r="I1293" s="18" t="str" cm="1">
        <f t="array" ref="I1293">_xlfn.LET(_xlpm.text, D1293,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3" s="18" t="str" cm="1">
        <f t="array" ref="J1293">_xlfn.LET(_xlpm.text, E1293,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3" s="14">
        <f t="shared" si="101"/>
        <v>45971</v>
      </c>
      <c r="L1293" s="14">
        <f t="shared" si="102"/>
        <v>45971.624664351853</v>
      </c>
      <c r="N1293" s="12"/>
    </row>
    <row r="1294" spans="1:14" x14ac:dyDescent="0.25">
      <c r="A1294" s="4" t="s">
        <v>1323</v>
      </c>
      <c r="B1294" s="16" t="str">
        <f t="shared" si="98"/>
        <v>M/s Sidhi Vinayak Aggregates Private Limated</v>
      </c>
      <c r="C1294" s="16" t="str">
        <f t="shared" si="99"/>
        <v>Barsingo Ka Bas Lohawat()</v>
      </c>
      <c r="D1294" s="4" t="s">
        <v>3031</v>
      </c>
      <c r="E1294" s="4" t="s">
        <v>3119</v>
      </c>
      <c r="F1294" s="5">
        <v>45970.999664351853</v>
      </c>
      <c r="G1294" s="16" t="str">
        <f t="shared" si="100"/>
        <v>MasonaryStone (Gitti)</v>
      </c>
      <c r="H1294" s="4" t="s">
        <v>2264</v>
      </c>
      <c r="I1294" s="18" t="str" cm="1">
        <f t="array" ref="I1294">_xlfn.LET(_xlpm.text, D1294,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4" s="18" t="str" cm="1">
        <f t="array" ref="J1294">_xlfn.LET(_xlpm.text, E1294,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4" s="14">
        <f t="shared" si="101"/>
        <v>45971</v>
      </c>
      <c r="L1294" s="14">
        <f t="shared" si="102"/>
        <v>45971.624664351853</v>
      </c>
      <c r="N1294" s="12"/>
    </row>
    <row r="1295" spans="1:14" x14ac:dyDescent="0.25">
      <c r="A1295" s="4" t="s">
        <v>1324</v>
      </c>
      <c r="B1295" s="16" t="str">
        <f t="shared" si="98"/>
        <v>M/s Sidhi Vinayak Aggregates Private Limated</v>
      </c>
      <c r="C1295" s="16" t="str">
        <f t="shared" si="99"/>
        <v>Barsingo Ka Bas Lohawat()</v>
      </c>
      <c r="D1295" s="4" t="s">
        <v>3031</v>
      </c>
      <c r="E1295" s="4" t="s">
        <v>3119</v>
      </c>
      <c r="F1295" s="5">
        <v>45970.999664351853</v>
      </c>
      <c r="G1295" s="16" t="str">
        <f t="shared" si="100"/>
        <v>MasonaryStone (Gitti)</v>
      </c>
      <c r="H1295" s="4" t="s">
        <v>2264</v>
      </c>
      <c r="I1295" s="18" t="str" cm="1">
        <f t="array" ref="I1295">_xlfn.LET(_xlpm.text, D1295,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5" s="18" t="str" cm="1">
        <f t="array" ref="J1295">_xlfn.LET(_xlpm.text, E1295,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5" s="14">
        <f t="shared" si="101"/>
        <v>45971</v>
      </c>
      <c r="L1295" s="14">
        <f t="shared" si="102"/>
        <v>45971.624664351853</v>
      </c>
      <c r="N1295" s="12"/>
    </row>
    <row r="1296" spans="1:14" x14ac:dyDescent="0.25">
      <c r="A1296" s="4" t="s">
        <v>1325</v>
      </c>
      <c r="B1296" s="16" t="str">
        <f t="shared" si="98"/>
        <v>M/s Sidhi Vinayak Aggregates Private Limated</v>
      </c>
      <c r="C1296" s="16" t="str">
        <f t="shared" si="99"/>
        <v>Barsingo Ka Bas Lohawat()</v>
      </c>
      <c r="D1296" s="4" t="s">
        <v>3031</v>
      </c>
      <c r="E1296" s="4" t="s">
        <v>3119</v>
      </c>
      <c r="F1296" s="5">
        <v>45938.999664351853</v>
      </c>
      <c r="G1296" s="16" t="str">
        <f t="shared" si="100"/>
        <v>MasonaryStone (Gitti)</v>
      </c>
      <c r="H1296" s="4" t="s">
        <v>2871</v>
      </c>
      <c r="I1296" s="18" t="str" cm="1">
        <f t="array" ref="I1296">_xlfn.LET(_xlpm.text, D1296,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6" s="18" t="str" cm="1">
        <f t="array" ref="J1296">_xlfn.LET(_xlpm.text, E1296,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6" s="14">
        <f t="shared" si="101"/>
        <v>45939</v>
      </c>
      <c r="L1296" s="14">
        <f t="shared" si="102"/>
        <v>45939.624664351853</v>
      </c>
      <c r="N1296" s="12"/>
    </row>
    <row r="1297" spans="1:14" x14ac:dyDescent="0.25">
      <c r="A1297" s="4" t="s">
        <v>1326</v>
      </c>
      <c r="B1297" s="16" t="str">
        <f t="shared" si="98"/>
        <v>M/s Sidhi Vinayak Aggregates Private Limated</v>
      </c>
      <c r="C1297" s="16" t="str">
        <f t="shared" si="99"/>
        <v>Barsingo Ka Bas Lohawat()</v>
      </c>
      <c r="D1297" s="4" t="s">
        <v>3031</v>
      </c>
      <c r="E1297" s="4" t="s">
        <v>3119</v>
      </c>
      <c r="F1297" s="5">
        <v>45938.999664351853</v>
      </c>
      <c r="G1297" s="16" t="str">
        <f t="shared" si="100"/>
        <v>MasonaryStone (Gitti)</v>
      </c>
      <c r="H1297" s="4" t="s">
        <v>2486</v>
      </c>
      <c r="I1297" s="18" t="str" cm="1">
        <f t="array" ref="I1297">_xlfn.LET(_xlpm.text, D1297,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7" s="18" t="str" cm="1">
        <f t="array" ref="J1297">_xlfn.LET(_xlpm.text, E1297,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7" s="14">
        <f t="shared" si="101"/>
        <v>45939</v>
      </c>
      <c r="L1297" s="14">
        <f t="shared" si="102"/>
        <v>45939.624664351853</v>
      </c>
      <c r="N1297" s="12"/>
    </row>
    <row r="1298" spans="1:14" x14ac:dyDescent="0.25">
      <c r="A1298" s="4" t="s">
        <v>1327</v>
      </c>
      <c r="B1298" s="16" t="str">
        <f t="shared" si="98"/>
        <v>M/s Sidhi Vinayak Aggregates Private Limated</v>
      </c>
      <c r="C1298" s="16" t="str">
        <f t="shared" si="99"/>
        <v>Barsingo Ka Bas Lohawat()</v>
      </c>
      <c r="D1298" s="4" t="s">
        <v>3031</v>
      </c>
      <c r="E1298" s="4" t="s">
        <v>3119</v>
      </c>
      <c r="F1298" s="5">
        <v>45929.999664351853</v>
      </c>
      <c r="G1298" s="16" t="str">
        <f t="shared" si="100"/>
        <v>MasonaryStone (Gitti)</v>
      </c>
      <c r="H1298" s="4" t="s">
        <v>2259</v>
      </c>
      <c r="I1298" s="18" t="str" cm="1">
        <f t="array" ref="I1298">_xlfn.LET(_xlpm.text, D1298,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298" s="18" t="str" cm="1">
        <f t="array" ref="J1298">_xlfn.LET(_xlpm.text, E1298,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8" s="14">
        <f t="shared" si="101"/>
        <v>45930</v>
      </c>
      <c r="L1298" s="14">
        <f t="shared" si="102"/>
        <v>45930.624664351853</v>
      </c>
      <c r="N1298" s="12"/>
    </row>
    <row r="1299" spans="1:14" x14ac:dyDescent="0.25">
      <c r="A1299" s="4" t="s">
        <v>1328</v>
      </c>
      <c r="B1299" s="16" t="str">
        <f t="shared" si="98"/>
        <v>MAA DURGA STONE CRUSHING COMPANY</v>
      </c>
      <c r="C1299" s="16" t="str">
        <f t="shared" si="99"/>
        <v>CHADWAS(Chadwas/Bidasar/Sujangarh)</v>
      </c>
      <c r="D1299" s="4" t="s">
        <v>3035</v>
      </c>
      <c r="E1299" s="4" t="s">
        <v>3119</v>
      </c>
      <c r="F1299" s="5">
        <v>46113.999664351853</v>
      </c>
      <c r="G1299" s="16" t="str">
        <f t="shared" si="100"/>
        <v>MasonaryStone (Gitti)</v>
      </c>
      <c r="H1299" s="4" t="s">
        <v>2281</v>
      </c>
      <c r="I1299" s="18" t="str" cm="1">
        <f t="array" ref="I1299">_xlfn.LET(_xlpm.text, D1299,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299" s="18" t="str" cm="1">
        <f t="array" ref="J1299">_xlfn.LET(_xlpm.text, E1299,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299" s="14">
        <f t="shared" si="101"/>
        <v>46114</v>
      </c>
      <c r="L1299" s="14">
        <f t="shared" si="102"/>
        <v>46114.624664351853</v>
      </c>
      <c r="N1299" s="12"/>
    </row>
    <row r="1300" spans="1:14" x14ac:dyDescent="0.25">
      <c r="A1300" s="4" t="s">
        <v>1329</v>
      </c>
      <c r="B1300" s="16" t="str">
        <f t="shared" si="98"/>
        <v>MAA DURGA STONE CRUSHING COMPANY</v>
      </c>
      <c r="C1300" s="16" t="str">
        <f t="shared" si="99"/>
        <v>CHADWAS(Chadwas/Bidasar/Sujangarh)</v>
      </c>
      <c r="D1300" s="4" t="s">
        <v>3035</v>
      </c>
      <c r="E1300" s="4" t="s">
        <v>3119</v>
      </c>
      <c r="F1300" s="5">
        <v>46113.999664351853</v>
      </c>
      <c r="G1300" s="16" t="str">
        <f t="shared" si="100"/>
        <v>MasonaryStone (Gitti)</v>
      </c>
      <c r="H1300" s="4" t="s">
        <v>371</v>
      </c>
      <c r="I1300" s="18" t="str" cm="1">
        <f t="array" ref="I1300">_xlfn.LET(_xlpm.text, D1300,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0" s="18" t="str" cm="1">
        <f t="array" ref="J1300">_xlfn.LET(_xlpm.text, E1300,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0" s="14">
        <f t="shared" si="101"/>
        <v>46114</v>
      </c>
      <c r="L1300" s="14">
        <f t="shared" si="102"/>
        <v>46114.624664351853</v>
      </c>
      <c r="N1300" s="12"/>
    </row>
    <row r="1301" spans="1:14" x14ac:dyDescent="0.25">
      <c r="A1301" s="4" t="s">
        <v>1330</v>
      </c>
      <c r="B1301" s="16" t="str">
        <f t="shared" si="98"/>
        <v>MAA DURGA STONE CRUSHING COMPANY</v>
      </c>
      <c r="C1301" s="16" t="str">
        <f t="shared" si="99"/>
        <v>CHADWAS(Chadwas/Bidasar/Sujangarh)</v>
      </c>
      <c r="D1301" s="4" t="s">
        <v>3035</v>
      </c>
      <c r="E1301" s="4" t="s">
        <v>3119</v>
      </c>
      <c r="F1301" s="5">
        <v>46114.999664351853</v>
      </c>
      <c r="G1301" s="16" t="str">
        <f t="shared" si="100"/>
        <v>MasonaryStone (Gitti)</v>
      </c>
      <c r="H1301" s="4" t="s">
        <v>2872</v>
      </c>
      <c r="I1301" s="18" t="str" cm="1">
        <f t="array" ref="I1301">_xlfn.LET(_xlpm.text, D1301,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1" s="18" t="str" cm="1">
        <f t="array" ref="J1301">_xlfn.LET(_xlpm.text, E1301,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1" s="14">
        <f t="shared" si="101"/>
        <v>46115</v>
      </c>
      <c r="L1301" s="14">
        <f t="shared" si="102"/>
        <v>46115.624664351853</v>
      </c>
      <c r="N1301" s="12"/>
    </row>
    <row r="1302" spans="1:14" x14ac:dyDescent="0.25">
      <c r="A1302" s="4" t="s">
        <v>1331</v>
      </c>
      <c r="B1302" s="16" t="str">
        <f t="shared" si="98"/>
        <v>MAA DURGA STONE CRUSHING COMPANY</v>
      </c>
      <c r="C1302" s="16" t="str">
        <f t="shared" si="99"/>
        <v>CHADWAS(Chadwas/Bidasar/Sujangarh)</v>
      </c>
      <c r="D1302" s="4" t="s">
        <v>3035</v>
      </c>
      <c r="E1302" s="4" t="s">
        <v>3119</v>
      </c>
      <c r="F1302" s="5">
        <v>46114.999664351853</v>
      </c>
      <c r="G1302" s="16" t="str">
        <f t="shared" si="100"/>
        <v>MasonaryStone (Gitti)</v>
      </c>
      <c r="H1302" s="4" t="s">
        <v>2873</v>
      </c>
      <c r="I1302" s="18" t="str" cm="1">
        <f t="array" ref="I1302">_xlfn.LET(_xlpm.text, D1302,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2" s="18" t="str" cm="1">
        <f t="array" ref="J1302">_xlfn.LET(_xlpm.text, E1302,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2" s="14">
        <f t="shared" si="101"/>
        <v>46115</v>
      </c>
      <c r="L1302" s="14">
        <f t="shared" si="102"/>
        <v>46115.624664351853</v>
      </c>
      <c r="N1302" s="12"/>
    </row>
    <row r="1303" spans="1:14" x14ac:dyDescent="0.25">
      <c r="A1303" s="4" t="s">
        <v>1332</v>
      </c>
      <c r="B1303" s="16" t="str">
        <f t="shared" si="98"/>
        <v>MAA DURGA STONE CRUSHING COMPANY</v>
      </c>
      <c r="C1303" s="16" t="str">
        <f t="shared" si="99"/>
        <v>CHADWAS(Chadwas/Bidasar/Sujangarh)</v>
      </c>
      <c r="D1303" s="4" t="s">
        <v>3035</v>
      </c>
      <c r="E1303" s="4" t="s">
        <v>3119</v>
      </c>
      <c r="F1303" s="5">
        <v>46112.999664351853</v>
      </c>
      <c r="G1303" s="16" t="str">
        <f t="shared" si="100"/>
        <v>MasonaryStone (Gitti)</v>
      </c>
      <c r="H1303" s="4" t="s">
        <v>2874</v>
      </c>
      <c r="I1303" s="18" t="str" cm="1">
        <f t="array" ref="I1303">_xlfn.LET(_xlpm.text, D1303,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3" s="18" t="str" cm="1">
        <f t="array" ref="J1303">_xlfn.LET(_xlpm.text, E1303,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3" s="14">
        <f t="shared" si="101"/>
        <v>46113</v>
      </c>
      <c r="L1303" s="14">
        <f t="shared" si="102"/>
        <v>46113.624664351853</v>
      </c>
      <c r="N1303" s="12"/>
    </row>
    <row r="1304" spans="1:14" x14ac:dyDescent="0.25">
      <c r="A1304" s="4" t="s">
        <v>1333</v>
      </c>
      <c r="B1304" s="16" t="str">
        <f t="shared" si="98"/>
        <v>MAA DURGA STONE CRUSHING COMPANY</v>
      </c>
      <c r="C1304" s="16" t="str">
        <f t="shared" si="99"/>
        <v>CHADWAS(Chadwas/Bidasar/Sujangarh)</v>
      </c>
      <c r="D1304" s="4" t="s">
        <v>3035</v>
      </c>
      <c r="E1304" s="4" t="s">
        <v>3119</v>
      </c>
      <c r="F1304" s="5">
        <v>46112.999664351853</v>
      </c>
      <c r="G1304" s="16" t="str">
        <f t="shared" si="100"/>
        <v>MasonaryStone (Gitti)</v>
      </c>
      <c r="H1304" s="4" t="s">
        <v>2832</v>
      </c>
      <c r="I1304" s="18" t="str" cm="1">
        <f t="array" ref="I1304">_xlfn.LET(_xlpm.text, D1304,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4" s="18" t="str" cm="1">
        <f t="array" ref="J1304">_xlfn.LET(_xlpm.text, E1304,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4" s="14">
        <f t="shared" si="101"/>
        <v>46113</v>
      </c>
      <c r="L1304" s="14">
        <f t="shared" si="102"/>
        <v>46113.624664351853</v>
      </c>
      <c r="N1304" s="12"/>
    </row>
    <row r="1305" spans="1:14" x14ac:dyDescent="0.25">
      <c r="A1305" s="4" t="s">
        <v>1334</v>
      </c>
      <c r="B1305" s="16" t="str">
        <f t="shared" si="98"/>
        <v>MAA DURGA STONE CRUSHING COMPANY</v>
      </c>
      <c r="C1305" s="16" t="str">
        <f t="shared" si="99"/>
        <v>CHADWAS(Chadwas/Bidasar/Sujangarh)</v>
      </c>
      <c r="D1305" s="4" t="s">
        <v>3035</v>
      </c>
      <c r="E1305" s="4" t="s">
        <v>3119</v>
      </c>
      <c r="F1305" s="5">
        <v>46123.999664351853</v>
      </c>
      <c r="G1305" s="16" t="str">
        <f t="shared" si="100"/>
        <v>MasonaryStone (Gitti)</v>
      </c>
      <c r="H1305" s="4" t="s">
        <v>2875</v>
      </c>
      <c r="I1305" s="18" t="str" cm="1">
        <f t="array" ref="I1305">_xlfn.LET(_xlpm.text, D1305,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5" s="18" t="str" cm="1">
        <f t="array" ref="J1305">_xlfn.LET(_xlpm.text, E1305,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5" s="14">
        <f t="shared" si="101"/>
        <v>46124</v>
      </c>
      <c r="L1305" s="14">
        <f t="shared" si="102"/>
        <v>46124.624664351853</v>
      </c>
      <c r="N1305" s="12"/>
    </row>
    <row r="1306" spans="1:14" x14ac:dyDescent="0.25">
      <c r="A1306" s="4" t="s">
        <v>1335</v>
      </c>
      <c r="B1306" s="16" t="str">
        <f t="shared" si="98"/>
        <v>MAA DURGA STONE CRUSHING COMPANY</v>
      </c>
      <c r="C1306" s="16" t="str">
        <f t="shared" si="99"/>
        <v>CHADWAS(Chadwas/Bidasar/Sujangarh)</v>
      </c>
      <c r="D1306" s="4" t="s">
        <v>3035</v>
      </c>
      <c r="E1306" s="4" t="s">
        <v>3119</v>
      </c>
      <c r="F1306" s="5">
        <v>46110.999664351853</v>
      </c>
      <c r="G1306" s="16" t="str">
        <f t="shared" si="100"/>
        <v>MasonaryStone (Gitti)</v>
      </c>
      <c r="H1306" s="4" t="s">
        <v>2263</v>
      </c>
      <c r="I1306" s="18" t="str" cm="1">
        <f t="array" ref="I1306">_xlfn.LET(_xlpm.text, D1306,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6" s="18" t="str" cm="1">
        <f t="array" ref="J1306">_xlfn.LET(_xlpm.text, E1306,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6" s="14">
        <f t="shared" si="101"/>
        <v>46111</v>
      </c>
      <c r="L1306" s="14">
        <f t="shared" si="102"/>
        <v>46111.624664351853</v>
      </c>
      <c r="N1306" s="12"/>
    </row>
    <row r="1307" spans="1:14" x14ac:dyDescent="0.25">
      <c r="A1307" s="4" t="s">
        <v>1336</v>
      </c>
      <c r="B1307" s="16" t="str">
        <f t="shared" si="98"/>
        <v>MAA DURGA STONE CRUSHING COMPANY</v>
      </c>
      <c r="C1307" s="16" t="str">
        <f t="shared" si="99"/>
        <v>CHADWAS(Chadwas/Bidasar/Sujangarh)</v>
      </c>
      <c r="D1307" s="4" t="s">
        <v>3035</v>
      </c>
      <c r="E1307" s="4" t="s">
        <v>3119</v>
      </c>
      <c r="F1307" s="5">
        <v>46112.999664351853</v>
      </c>
      <c r="G1307" s="16" t="str">
        <f t="shared" si="100"/>
        <v>MasonaryStone (Gitti)</v>
      </c>
      <c r="H1307" s="4" t="s">
        <v>2506</v>
      </c>
      <c r="I1307" s="18" t="str" cm="1">
        <f t="array" ref="I1307">_xlfn.LET(_xlpm.text, D1307,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7" s="18" t="str" cm="1">
        <f t="array" ref="J1307">_xlfn.LET(_xlpm.text, E1307,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7" s="14">
        <f t="shared" si="101"/>
        <v>46113</v>
      </c>
      <c r="L1307" s="14">
        <f t="shared" si="102"/>
        <v>46113.624664351853</v>
      </c>
      <c r="N1307" s="12"/>
    </row>
    <row r="1308" spans="1:14" x14ac:dyDescent="0.25">
      <c r="A1308" s="4" t="s">
        <v>1337</v>
      </c>
      <c r="B1308" s="16" t="str">
        <f t="shared" si="98"/>
        <v>MAA DURGA STONE CRUSHING COMPANY</v>
      </c>
      <c r="C1308" s="16" t="str">
        <f t="shared" si="99"/>
        <v>CHADWAS(Chadwas/Bidasar/Sujangarh)</v>
      </c>
      <c r="D1308" s="4" t="s">
        <v>3035</v>
      </c>
      <c r="E1308" s="4" t="s">
        <v>3119</v>
      </c>
      <c r="F1308" s="5">
        <v>46111.999664351853</v>
      </c>
      <c r="G1308" s="16" t="str">
        <f t="shared" si="100"/>
        <v>MasonaryStone (Gitti)</v>
      </c>
      <c r="H1308" s="4" t="s">
        <v>2679</v>
      </c>
      <c r="I1308" s="18" t="str" cm="1">
        <f t="array" ref="I1308">_xlfn.LET(_xlpm.text, D1308,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08" s="18" t="str" cm="1">
        <f t="array" ref="J1308">_xlfn.LET(_xlpm.text, E1308,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8" s="14">
        <f t="shared" si="101"/>
        <v>46112</v>
      </c>
      <c r="L1308" s="14">
        <f t="shared" si="102"/>
        <v>46112.624664351853</v>
      </c>
      <c r="N1308" s="12"/>
    </row>
    <row r="1309" spans="1:14" x14ac:dyDescent="0.25">
      <c r="A1309" s="4" t="s">
        <v>1338</v>
      </c>
      <c r="B1309" s="16" t="str">
        <f t="shared" si="98"/>
        <v>MAA DURGA STONE CRUSHING COMPANY</v>
      </c>
      <c r="C1309" s="16" t="str">
        <f t="shared" si="99"/>
        <v>CHADWAS(Chadwas/Bidasar/Sujangarh)</v>
      </c>
      <c r="D1309" s="4" t="s">
        <v>3034</v>
      </c>
      <c r="E1309" s="4" t="s">
        <v>3119</v>
      </c>
      <c r="F1309" s="5">
        <v>46117.999664351853</v>
      </c>
      <c r="G1309" s="16" t="str">
        <f t="shared" si="100"/>
        <v>MasonaryStone (Gitti)</v>
      </c>
      <c r="H1309" s="4" t="s">
        <v>2876</v>
      </c>
      <c r="I1309" s="18" t="str" cm="1">
        <f t="array" ref="I1309">_xlfn.LET(_xlpm.text, D1309,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09" s="18" t="str" cm="1">
        <f t="array" ref="J1309">_xlfn.LET(_xlpm.text, E1309,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09" s="14">
        <f t="shared" si="101"/>
        <v>46118</v>
      </c>
      <c r="L1309" s="14">
        <f t="shared" si="102"/>
        <v>46118.624664351853</v>
      </c>
      <c r="N1309" s="12"/>
    </row>
    <row r="1310" spans="1:14" x14ac:dyDescent="0.25">
      <c r="A1310" s="4" t="s">
        <v>1339</v>
      </c>
      <c r="B1310" s="16" t="str">
        <f t="shared" si="98"/>
        <v>MAA DURGA STONE CRUSHING COMPANY</v>
      </c>
      <c r="C1310" s="16" t="str">
        <f t="shared" si="99"/>
        <v>CHADWAS(Chadwas/Bidasar/Sujangarh)</v>
      </c>
      <c r="D1310" s="4" t="s">
        <v>3034</v>
      </c>
      <c r="E1310" s="4" t="s">
        <v>3119</v>
      </c>
      <c r="F1310" s="5">
        <v>46117.999664351853</v>
      </c>
      <c r="G1310" s="16" t="str">
        <f t="shared" si="100"/>
        <v>MasonaryStone (Gitti)</v>
      </c>
      <c r="H1310" s="4" t="s">
        <v>2257</v>
      </c>
      <c r="I1310" s="18" t="str" cm="1">
        <f t="array" ref="I1310">_xlfn.LET(_xlpm.text, D1310,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0" s="18" t="str" cm="1">
        <f t="array" ref="J1310">_xlfn.LET(_xlpm.text, E1310,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0" s="14">
        <f t="shared" si="101"/>
        <v>46118</v>
      </c>
      <c r="L1310" s="14">
        <f t="shared" si="102"/>
        <v>46118.624664351853</v>
      </c>
      <c r="N1310" s="12"/>
    </row>
    <row r="1311" spans="1:14" x14ac:dyDescent="0.25">
      <c r="A1311" s="4" t="s">
        <v>1340</v>
      </c>
      <c r="B1311" s="16" t="str">
        <f t="shared" si="98"/>
        <v>MAA DURGA STONE CRUSHING COMPANY</v>
      </c>
      <c r="C1311" s="16" t="str">
        <f t="shared" si="99"/>
        <v>CHADWAS(Chadwas/Bidasar/Sujangarh)</v>
      </c>
      <c r="D1311" s="4" t="s">
        <v>3034</v>
      </c>
      <c r="E1311" s="4" t="s">
        <v>3119</v>
      </c>
      <c r="F1311" s="5">
        <v>46117.999664351853</v>
      </c>
      <c r="G1311" s="16" t="str">
        <f t="shared" si="100"/>
        <v>MasonaryStone (Gitti)</v>
      </c>
      <c r="H1311" s="4" t="s">
        <v>2858</v>
      </c>
      <c r="I1311" s="18" t="str" cm="1">
        <f t="array" ref="I1311">_xlfn.LET(_xlpm.text, D1311,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1" s="18" t="str" cm="1">
        <f t="array" ref="J1311">_xlfn.LET(_xlpm.text, E1311,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1" s="14">
        <f t="shared" si="101"/>
        <v>46118</v>
      </c>
      <c r="L1311" s="14">
        <f t="shared" si="102"/>
        <v>46118.624664351853</v>
      </c>
      <c r="N1311" s="12"/>
    </row>
    <row r="1312" spans="1:14" x14ac:dyDescent="0.25">
      <c r="A1312" s="4" t="s">
        <v>1341</v>
      </c>
      <c r="B1312" s="16" t="str">
        <f t="shared" si="98"/>
        <v>MAA DURGA STONE CRUSHING COMPANY</v>
      </c>
      <c r="C1312" s="16" t="str">
        <f t="shared" si="99"/>
        <v>CHADWAS(Chadwas/Bidasar/Sujangarh)</v>
      </c>
      <c r="D1312" s="4" t="s">
        <v>3034</v>
      </c>
      <c r="E1312" s="4" t="s">
        <v>3119</v>
      </c>
      <c r="F1312" s="5">
        <v>46117.999664351853</v>
      </c>
      <c r="G1312" s="16" t="str">
        <f t="shared" si="100"/>
        <v>MasonaryStone (Gitti)</v>
      </c>
      <c r="H1312" s="4" t="s">
        <v>2876</v>
      </c>
      <c r="I1312" s="18" t="str" cm="1">
        <f t="array" ref="I1312">_xlfn.LET(_xlpm.text, D1312,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2" s="18" t="str" cm="1">
        <f t="array" ref="J1312">_xlfn.LET(_xlpm.text, E1312,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2" s="14">
        <f t="shared" si="101"/>
        <v>46118</v>
      </c>
      <c r="L1312" s="14">
        <f t="shared" si="102"/>
        <v>46118.624664351853</v>
      </c>
      <c r="N1312" s="12"/>
    </row>
    <row r="1313" spans="1:14" x14ac:dyDescent="0.25">
      <c r="A1313" s="4" t="s">
        <v>1342</v>
      </c>
      <c r="B1313" s="16" t="str">
        <f t="shared" si="98"/>
        <v>MAA DURGA STONE CRUSHING COMPANY</v>
      </c>
      <c r="C1313" s="16" t="str">
        <f t="shared" si="99"/>
        <v>CHADWAS(Chadwas/Bidasar/Sujangarh)</v>
      </c>
      <c r="D1313" s="4" t="s">
        <v>3034</v>
      </c>
      <c r="E1313" s="4" t="s">
        <v>3119</v>
      </c>
      <c r="F1313" s="5">
        <v>46117.999664351853</v>
      </c>
      <c r="G1313" s="16" t="str">
        <f t="shared" si="100"/>
        <v>MasonaryStone (Gitti)</v>
      </c>
      <c r="H1313" s="4" t="s">
        <v>2687</v>
      </c>
      <c r="I1313" s="18" t="str" cm="1">
        <f t="array" ref="I1313">_xlfn.LET(_xlpm.text, D1313,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3" s="18" t="str" cm="1">
        <f t="array" ref="J1313">_xlfn.LET(_xlpm.text, E1313,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3" s="14">
        <f t="shared" si="101"/>
        <v>46118</v>
      </c>
      <c r="L1313" s="14">
        <f t="shared" si="102"/>
        <v>46118.624664351853</v>
      </c>
      <c r="N1313" s="12"/>
    </row>
    <row r="1314" spans="1:14" x14ac:dyDescent="0.25">
      <c r="A1314" s="4" t="s">
        <v>1343</v>
      </c>
      <c r="B1314" s="16" t="str">
        <f t="shared" si="98"/>
        <v>MAA DURGA STONE CRUSHING COMPANY</v>
      </c>
      <c r="C1314" s="16" t="str">
        <f t="shared" si="99"/>
        <v>CHADWAS(Chadwas/Bidasar/Sujangarh)</v>
      </c>
      <c r="D1314" s="4" t="s">
        <v>3034</v>
      </c>
      <c r="E1314" s="4" t="s">
        <v>3119</v>
      </c>
      <c r="F1314" s="5">
        <v>46117.999664351853</v>
      </c>
      <c r="G1314" s="16" t="str">
        <f t="shared" si="100"/>
        <v>MasonaryStone (Gitti)</v>
      </c>
      <c r="H1314" s="4" t="s">
        <v>2773</v>
      </c>
      <c r="I1314" s="18" t="str" cm="1">
        <f t="array" ref="I1314">_xlfn.LET(_xlpm.text, D1314,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4" s="18" t="str" cm="1">
        <f t="array" ref="J1314">_xlfn.LET(_xlpm.text, E1314,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4" s="14">
        <f t="shared" si="101"/>
        <v>46118</v>
      </c>
      <c r="L1314" s="14">
        <f t="shared" si="102"/>
        <v>46118.624664351853</v>
      </c>
      <c r="N1314" s="12"/>
    </row>
    <row r="1315" spans="1:14" x14ac:dyDescent="0.25">
      <c r="A1315" s="4" t="s">
        <v>1344</v>
      </c>
      <c r="B1315" s="16" t="str">
        <f t="shared" si="98"/>
        <v>MAA DURGA STONE CRUSHING COMPANY</v>
      </c>
      <c r="C1315" s="16" t="str">
        <f t="shared" si="99"/>
        <v>CHADWAS(Chadwas/Bidasar/Sujangarh)</v>
      </c>
      <c r="D1315" s="4" t="s">
        <v>3034</v>
      </c>
      <c r="E1315" s="4" t="s">
        <v>3119</v>
      </c>
      <c r="F1315" s="5">
        <v>46117.999664351853</v>
      </c>
      <c r="G1315" s="16" t="str">
        <f t="shared" si="100"/>
        <v>MasonaryStone (Gitti)</v>
      </c>
      <c r="H1315" s="4" t="s">
        <v>2462</v>
      </c>
      <c r="I1315" s="18" t="str" cm="1">
        <f t="array" ref="I1315">_xlfn.LET(_xlpm.text, D1315,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5" s="18" t="str" cm="1">
        <f t="array" ref="J1315">_xlfn.LET(_xlpm.text, E1315,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5" s="14">
        <f t="shared" si="101"/>
        <v>46118</v>
      </c>
      <c r="L1315" s="14">
        <f t="shared" si="102"/>
        <v>46118.624664351853</v>
      </c>
      <c r="N1315" s="12"/>
    </row>
    <row r="1316" spans="1:14" x14ac:dyDescent="0.25">
      <c r="A1316" s="4" t="s">
        <v>1345</v>
      </c>
      <c r="B1316" s="16" t="str">
        <f t="shared" si="98"/>
        <v>MAA DURGA STONE CRUSHING COMPANY</v>
      </c>
      <c r="C1316" s="16" t="str">
        <f t="shared" si="99"/>
        <v>CHADWAS(Chadwas/Bidasar/Sujangarh)</v>
      </c>
      <c r="D1316" s="4" t="s">
        <v>3034</v>
      </c>
      <c r="E1316" s="4" t="s">
        <v>3119</v>
      </c>
      <c r="F1316" s="5">
        <v>46117.999664351853</v>
      </c>
      <c r="G1316" s="16" t="str">
        <f t="shared" si="100"/>
        <v>MasonaryStone (Gitti)</v>
      </c>
      <c r="H1316" s="4" t="s">
        <v>2581</v>
      </c>
      <c r="I1316" s="18" t="str" cm="1">
        <f t="array" ref="I1316">_xlfn.LET(_xlpm.text, D1316,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6" s="18" t="str" cm="1">
        <f t="array" ref="J1316">_xlfn.LET(_xlpm.text, E1316,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6" s="14">
        <f t="shared" si="101"/>
        <v>46118</v>
      </c>
      <c r="L1316" s="14">
        <f t="shared" si="102"/>
        <v>46118.624664351853</v>
      </c>
      <c r="N1316" s="12"/>
    </row>
    <row r="1317" spans="1:14" x14ac:dyDescent="0.25">
      <c r="A1317" s="4" t="s">
        <v>1346</v>
      </c>
      <c r="B1317" s="16" t="str">
        <f t="shared" si="98"/>
        <v>MAA DURGA STONE CRUSHING COMPANY</v>
      </c>
      <c r="C1317" s="16" t="str">
        <f t="shared" si="99"/>
        <v>CHADWAS(Chadwas/Bidasar/Sujangarh)</v>
      </c>
      <c r="D1317" s="4" t="s">
        <v>3034</v>
      </c>
      <c r="E1317" s="4" t="s">
        <v>3119</v>
      </c>
      <c r="F1317" s="5">
        <v>46117.999664351853</v>
      </c>
      <c r="G1317" s="16" t="str">
        <f t="shared" si="100"/>
        <v>MasonaryStone (Gitti)</v>
      </c>
      <c r="H1317" s="4" t="s">
        <v>2773</v>
      </c>
      <c r="I1317" s="18" t="str" cm="1">
        <f t="array" ref="I1317">_xlfn.LET(_xlpm.text, D1317,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7" s="18" t="str" cm="1">
        <f t="array" ref="J1317">_xlfn.LET(_xlpm.text, E1317,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7" s="14">
        <f t="shared" si="101"/>
        <v>46118</v>
      </c>
      <c r="L1317" s="14">
        <f t="shared" si="102"/>
        <v>46118.624664351853</v>
      </c>
      <c r="N1317" s="12"/>
    </row>
    <row r="1318" spans="1:14" x14ac:dyDescent="0.25">
      <c r="A1318" s="4" t="s">
        <v>1347</v>
      </c>
      <c r="B1318" s="16" t="str">
        <f t="shared" si="98"/>
        <v>MAA DURGA STONE CRUSHING COMPANY</v>
      </c>
      <c r="C1318" s="16" t="str">
        <f t="shared" si="99"/>
        <v>CHADWAS(Chadwas/Bidasar/Sujangarh)</v>
      </c>
      <c r="D1318" s="4" t="s">
        <v>3034</v>
      </c>
      <c r="E1318" s="4" t="s">
        <v>3119</v>
      </c>
      <c r="F1318" s="5">
        <v>46118.999664351853</v>
      </c>
      <c r="G1318" s="16" t="str">
        <f t="shared" si="100"/>
        <v>MasonaryStone (Gitti)</v>
      </c>
      <c r="H1318" s="4" t="s">
        <v>2835</v>
      </c>
      <c r="I1318" s="18" t="str" cm="1">
        <f t="array" ref="I1318">_xlfn.LET(_xlpm.text, D1318,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8" s="18" t="str" cm="1">
        <f t="array" ref="J1318">_xlfn.LET(_xlpm.text, E1318,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8" s="14">
        <f t="shared" si="101"/>
        <v>46119</v>
      </c>
      <c r="L1318" s="14">
        <f t="shared" si="102"/>
        <v>46119.624664351853</v>
      </c>
      <c r="N1318" s="12"/>
    </row>
    <row r="1319" spans="1:14" x14ac:dyDescent="0.25">
      <c r="A1319" s="4" t="s">
        <v>1348</v>
      </c>
      <c r="B1319" s="16" t="str">
        <f t="shared" si="98"/>
        <v>MAA DURGA STONE CRUSHING COMPANY</v>
      </c>
      <c r="C1319" s="16" t="str">
        <f t="shared" si="99"/>
        <v>CHADWAS(Chadwas/Bidasar/Sujangarh)</v>
      </c>
      <c r="D1319" s="4" t="s">
        <v>3034</v>
      </c>
      <c r="E1319" s="4" t="s">
        <v>3119</v>
      </c>
      <c r="F1319" s="5">
        <v>46118.999664351853</v>
      </c>
      <c r="G1319" s="16" t="str">
        <f t="shared" si="100"/>
        <v>MasonaryStone (Gitti)</v>
      </c>
      <c r="H1319" s="4" t="s">
        <v>2315</v>
      </c>
      <c r="I1319" s="18" t="str" cm="1">
        <f t="array" ref="I1319">_xlfn.LET(_xlpm.text, D1319,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19" s="18" t="str" cm="1">
        <f t="array" ref="J1319">_xlfn.LET(_xlpm.text, E1319,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19" s="14">
        <f t="shared" si="101"/>
        <v>46119</v>
      </c>
      <c r="L1319" s="14">
        <f t="shared" si="102"/>
        <v>46119.624664351853</v>
      </c>
      <c r="N1319" s="12"/>
    </row>
    <row r="1320" spans="1:14" x14ac:dyDescent="0.25">
      <c r="A1320" s="4" t="s">
        <v>1349</v>
      </c>
      <c r="B1320" s="16" t="str">
        <f t="shared" si="98"/>
        <v>MAA DURGA STONE CRUSHING COMPANY</v>
      </c>
      <c r="C1320" s="16" t="str">
        <f t="shared" si="99"/>
        <v>CHADWAS(Chadwas/Bidasar/Sujangarh)</v>
      </c>
      <c r="D1320" s="4" t="s">
        <v>3034</v>
      </c>
      <c r="E1320" s="4" t="s">
        <v>3119</v>
      </c>
      <c r="F1320" s="5">
        <v>46118.999664351853</v>
      </c>
      <c r="G1320" s="16" t="str">
        <f t="shared" si="100"/>
        <v>MasonaryStone (Gitti)</v>
      </c>
      <c r="H1320" s="4" t="s">
        <v>2409</v>
      </c>
      <c r="I1320" s="18" t="str" cm="1">
        <f t="array" ref="I1320">_xlfn.LET(_xlpm.text, D1320,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0" s="18" t="str" cm="1">
        <f t="array" ref="J1320">_xlfn.LET(_xlpm.text, E1320,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0" s="14">
        <f t="shared" si="101"/>
        <v>46119</v>
      </c>
      <c r="L1320" s="14">
        <f t="shared" si="102"/>
        <v>46119.624664351853</v>
      </c>
      <c r="N1320" s="12"/>
    </row>
    <row r="1321" spans="1:14" x14ac:dyDescent="0.25">
      <c r="A1321" s="4" t="s">
        <v>1350</v>
      </c>
      <c r="B1321" s="16" t="str">
        <f t="shared" si="98"/>
        <v>MAA DURGA STONE CRUSHING COMPANY</v>
      </c>
      <c r="C1321" s="16" t="str">
        <f t="shared" si="99"/>
        <v>CHADWAS(Chadwas/Bidasar/Sujangarh)</v>
      </c>
      <c r="D1321" s="4" t="s">
        <v>3034</v>
      </c>
      <c r="E1321" s="4" t="s">
        <v>3119</v>
      </c>
      <c r="F1321" s="5">
        <v>46118.999664351853</v>
      </c>
      <c r="G1321" s="16" t="str">
        <f t="shared" si="100"/>
        <v>MasonaryStone (Gitti)</v>
      </c>
      <c r="H1321" s="4" t="s">
        <v>2486</v>
      </c>
      <c r="I1321" s="18" t="str" cm="1">
        <f t="array" ref="I1321">_xlfn.LET(_xlpm.text, D1321,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1" s="18" t="str" cm="1">
        <f t="array" ref="J1321">_xlfn.LET(_xlpm.text, E1321,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1" s="14">
        <f t="shared" si="101"/>
        <v>46119</v>
      </c>
      <c r="L1321" s="14">
        <f t="shared" si="102"/>
        <v>46119.624664351853</v>
      </c>
      <c r="N1321" s="12"/>
    </row>
    <row r="1322" spans="1:14" x14ac:dyDescent="0.25">
      <c r="A1322" s="4" t="s">
        <v>1351</v>
      </c>
      <c r="B1322" s="16" t="str">
        <f t="shared" si="98"/>
        <v>MAA DURGA STONE CRUSHING COMPANY</v>
      </c>
      <c r="C1322" s="16" t="str">
        <f t="shared" si="99"/>
        <v>CHADWAS(Chadwas/Bidasar/Sujangarh)</v>
      </c>
      <c r="D1322" s="4" t="s">
        <v>3034</v>
      </c>
      <c r="E1322" s="4" t="s">
        <v>3119</v>
      </c>
      <c r="F1322" s="5">
        <v>46118.999664351853</v>
      </c>
      <c r="G1322" s="16" t="str">
        <f t="shared" si="100"/>
        <v>MasonaryStone (Gitti)</v>
      </c>
      <c r="H1322" s="4" t="s">
        <v>2604</v>
      </c>
      <c r="I1322" s="18" t="str" cm="1">
        <f t="array" ref="I1322">_xlfn.LET(_xlpm.text, D1322,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2" s="18" t="str" cm="1">
        <f t="array" ref="J1322">_xlfn.LET(_xlpm.text, E1322,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2" s="14">
        <f t="shared" si="101"/>
        <v>46119</v>
      </c>
      <c r="L1322" s="14">
        <f t="shared" si="102"/>
        <v>46119.624664351853</v>
      </c>
      <c r="N1322" s="12"/>
    </row>
    <row r="1323" spans="1:14" x14ac:dyDescent="0.25">
      <c r="A1323" s="4" t="s">
        <v>1352</v>
      </c>
      <c r="B1323" s="16" t="str">
        <f t="shared" si="98"/>
        <v>MAA DURGA STONE CRUSHING COMPANY</v>
      </c>
      <c r="C1323" s="16" t="str">
        <f t="shared" si="99"/>
        <v>CHADWAS(Chadwas/Bidasar/Sujangarh)</v>
      </c>
      <c r="D1323" s="4" t="s">
        <v>3034</v>
      </c>
      <c r="E1323" s="4" t="s">
        <v>3119</v>
      </c>
      <c r="F1323" s="5">
        <v>46118.999664351853</v>
      </c>
      <c r="G1323" s="16" t="str">
        <f t="shared" si="100"/>
        <v>MasonaryStone (Gitti)</v>
      </c>
      <c r="H1323" s="4" t="s">
        <v>2817</v>
      </c>
      <c r="I1323" s="18" t="str" cm="1">
        <f t="array" ref="I1323">_xlfn.LET(_xlpm.text, D1323,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3" s="18" t="str" cm="1">
        <f t="array" ref="J1323">_xlfn.LET(_xlpm.text, E1323,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3" s="14">
        <f t="shared" si="101"/>
        <v>46119</v>
      </c>
      <c r="L1323" s="14">
        <f t="shared" si="102"/>
        <v>46119.624664351853</v>
      </c>
      <c r="N1323" s="12"/>
    </row>
    <row r="1324" spans="1:14" x14ac:dyDescent="0.25">
      <c r="A1324" s="4" t="s">
        <v>1353</v>
      </c>
      <c r="B1324" s="16" t="str">
        <f t="shared" si="98"/>
        <v>MAA DURGA STONE CRUSHING COMPANY</v>
      </c>
      <c r="C1324" s="16" t="str">
        <f t="shared" si="99"/>
        <v>CHADWAS(Chadwas/Bidasar/Sujangarh)</v>
      </c>
      <c r="D1324" s="4" t="s">
        <v>3034</v>
      </c>
      <c r="E1324" s="4" t="s">
        <v>3119</v>
      </c>
      <c r="F1324" s="5">
        <v>46118.999664351853</v>
      </c>
      <c r="G1324" s="16" t="str">
        <f t="shared" si="100"/>
        <v>MasonaryStone (Gitti)</v>
      </c>
      <c r="H1324" s="4" t="s">
        <v>2513</v>
      </c>
      <c r="I1324" s="18" t="str" cm="1">
        <f t="array" ref="I1324">_xlfn.LET(_xlpm.text, D1324,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4" s="18" t="str" cm="1">
        <f t="array" ref="J1324">_xlfn.LET(_xlpm.text, E1324,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4" s="14">
        <f t="shared" si="101"/>
        <v>46119</v>
      </c>
      <c r="L1324" s="14">
        <f t="shared" si="102"/>
        <v>46119.624664351853</v>
      </c>
      <c r="N1324" s="12"/>
    </row>
    <row r="1325" spans="1:14" x14ac:dyDescent="0.25">
      <c r="A1325" s="4" t="s">
        <v>1354</v>
      </c>
      <c r="B1325" s="16" t="str">
        <f t="shared" si="98"/>
        <v>MAA DURGA STONE CRUSHING COMPANY</v>
      </c>
      <c r="C1325" s="16" t="str">
        <f t="shared" si="99"/>
        <v>CHADWAS(Chadwas/Bidasar/Sujangarh)</v>
      </c>
      <c r="D1325" s="4" t="s">
        <v>3034</v>
      </c>
      <c r="E1325" s="4" t="s">
        <v>3119</v>
      </c>
      <c r="F1325" s="5">
        <v>46118.999664351853</v>
      </c>
      <c r="G1325" s="16" t="str">
        <f t="shared" si="100"/>
        <v>MasonaryStone (Gitti)</v>
      </c>
      <c r="H1325" s="4" t="s">
        <v>2660</v>
      </c>
      <c r="I1325" s="18" t="str" cm="1">
        <f t="array" ref="I1325">_xlfn.LET(_xlpm.text, D1325,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5" s="18" t="str" cm="1">
        <f t="array" ref="J1325">_xlfn.LET(_xlpm.text, E1325,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5" s="14">
        <f t="shared" si="101"/>
        <v>46119</v>
      </c>
      <c r="L1325" s="14">
        <f t="shared" si="102"/>
        <v>46119.624664351853</v>
      </c>
      <c r="N1325" s="12"/>
    </row>
    <row r="1326" spans="1:14" x14ac:dyDescent="0.25">
      <c r="A1326" s="4" t="s">
        <v>1355</v>
      </c>
      <c r="B1326" s="16" t="str">
        <f t="shared" si="98"/>
        <v>MAA DURGA STONE CRUSHING COMPANY</v>
      </c>
      <c r="C1326" s="16" t="str">
        <f t="shared" si="99"/>
        <v>CHADWAS(Chadwas/Bidasar/Sujangarh)</v>
      </c>
      <c r="D1326" s="4" t="s">
        <v>3034</v>
      </c>
      <c r="E1326" s="4" t="s">
        <v>3119</v>
      </c>
      <c r="F1326" s="5">
        <v>46118.999664351853</v>
      </c>
      <c r="G1326" s="16" t="str">
        <f t="shared" si="100"/>
        <v>MasonaryStone (Gitti)</v>
      </c>
      <c r="H1326" s="4" t="s">
        <v>2773</v>
      </c>
      <c r="I1326" s="18" t="str" cm="1">
        <f t="array" ref="I1326">_xlfn.LET(_xlpm.text, D1326,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6" s="18" t="str" cm="1">
        <f t="array" ref="J1326">_xlfn.LET(_xlpm.text, E1326,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6" s="14">
        <f t="shared" si="101"/>
        <v>46119</v>
      </c>
      <c r="L1326" s="14">
        <f t="shared" si="102"/>
        <v>46119.624664351853</v>
      </c>
      <c r="N1326" s="12"/>
    </row>
    <row r="1327" spans="1:14" x14ac:dyDescent="0.25">
      <c r="A1327" s="4" t="s">
        <v>1356</v>
      </c>
      <c r="B1327" s="16" t="str">
        <f t="shared" si="98"/>
        <v>MAA DURGA STONE CRUSHING COMPANY</v>
      </c>
      <c r="C1327" s="16" t="str">
        <f t="shared" si="99"/>
        <v>CHADWAS(Chadwas/Bidasar/Sujangarh)</v>
      </c>
      <c r="D1327" s="4" t="s">
        <v>3034</v>
      </c>
      <c r="E1327" s="4" t="s">
        <v>3119</v>
      </c>
      <c r="F1327" s="5">
        <v>46119.999664351853</v>
      </c>
      <c r="G1327" s="16" t="str">
        <f t="shared" si="100"/>
        <v>MasonaryStone (Gitti)</v>
      </c>
      <c r="H1327" s="4" t="s">
        <v>2471</v>
      </c>
      <c r="I1327" s="18" t="str" cm="1">
        <f t="array" ref="I1327">_xlfn.LET(_xlpm.text, D1327,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7" s="18" t="str" cm="1">
        <f t="array" ref="J1327">_xlfn.LET(_xlpm.text, E1327,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7" s="14">
        <f t="shared" si="101"/>
        <v>46120</v>
      </c>
      <c r="L1327" s="14">
        <f t="shared" si="102"/>
        <v>46120.624664351853</v>
      </c>
      <c r="N1327" s="12"/>
    </row>
    <row r="1328" spans="1:14" x14ac:dyDescent="0.25">
      <c r="A1328" s="4" t="s">
        <v>1357</v>
      </c>
      <c r="B1328" s="16" t="str">
        <f t="shared" si="98"/>
        <v>MAA DURGA STONE CRUSHING COMPANY</v>
      </c>
      <c r="C1328" s="16" t="str">
        <f t="shared" si="99"/>
        <v>CHADWAS(Chadwas/Bidasar/Sujangarh)</v>
      </c>
      <c r="D1328" s="4" t="s">
        <v>3034</v>
      </c>
      <c r="E1328" s="4" t="s">
        <v>3119</v>
      </c>
      <c r="F1328" s="5">
        <v>46119.999664351853</v>
      </c>
      <c r="G1328" s="16" t="str">
        <f t="shared" si="100"/>
        <v>MasonaryStone (Gitti)</v>
      </c>
      <c r="H1328" s="4" t="s">
        <v>2471</v>
      </c>
      <c r="I1328" s="18" t="str" cm="1">
        <f t="array" ref="I1328">_xlfn.LET(_xlpm.text, D1328,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8" s="18" t="str" cm="1">
        <f t="array" ref="J1328">_xlfn.LET(_xlpm.text, E1328,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8" s="14">
        <f t="shared" si="101"/>
        <v>46120</v>
      </c>
      <c r="L1328" s="14">
        <f t="shared" si="102"/>
        <v>46120.624664351853</v>
      </c>
      <c r="N1328" s="12"/>
    </row>
    <row r="1329" spans="1:14" x14ac:dyDescent="0.25">
      <c r="A1329" s="4" t="s">
        <v>1358</v>
      </c>
      <c r="B1329" s="16" t="str">
        <f t="shared" si="98"/>
        <v>MAA DURGA STONE CRUSHING COMPANY</v>
      </c>
      <c r="C1329" s="16" t="str">
        <f t="shared" si="99"/>
        <v>CHADWAS(Chadwas/Bidasar/Sujangarh)</v>
      </c>
      <c r="D1329" s="4" t="s">
        <v>3034</v>
      </c>
      <c r="E1329" s="4" t="s">
        <v>3119</v>
      </c>
      <c r="F1329" s="5">
        <v>46119.999664351853</v>
      </c>
      <c r="G1329" s="16" t="str">
        <f t="shared" si="100"/>
        <v>MasonaryStone (Gitti)</v>
      </c>
      <c r="H1329" s="4" t="s">
        <v>2834</v>
      </c>
      <c r="I1329" s="18" t="str" cm="1">
        <f t="array" ref="I1329">_xlfn.LET(_xlpm.text, D1329,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29" s="18" t="str" cm="1">
        <f t="array" ref="J1329">_xlfn.LET(_xlpm.text, E1329,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29" s="14">
        <f t="shared" si="101"/>
        <v>46120</v>
      </c>
      <c r="L1329" s="14">
        <f t="shared" si="102"/>
        <v>46120.624664351853</v>
      </c>
      <c r="N1329" s="12"/>
    </row>
    <row r="1330" spans="1:14" x14ac:dyDescent="0.25">
      <c r="A1330" s="4" t="s">
        <v>1359</v>
      </c>
      <c r="B1330" s="16" t="str">
        <f t="shared" si="98"/>
        <v>MAA DURGA STONE CRUSHING COMPANY</v>
      </c>
      <c r="C1330" s="16" t="str">
        <f t="shared" si="99"/>
        <v>CHADWAS(Chadwas/Bidasar/Sujangarh)</v>
      </c>
      <c r="D1330" s="4" t="s">
        <v>3034</v>
      </c>
      <c r="E1330" s="4" t="s">
        <v>3119</v>
      </c>
      <c r="F1330" s="5">
        <v>46119.999664351853</v>
      </c>
      <c r="G1330" s="16" t="str">
        <f t="shared" si="100"/>
        <v>MasonaryStone (Gitti)</v>
      </c>
      <c r="H1330" s="4" t="s">
        <v>2409</v>
      </c>
      <c r="I1330" s="18" t="str" cm="1">
        <f t="array" ref="I1330">_xlfn.LET(_xlpm.text, D1330,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0" s="18" t="str" cm="1">
        <f t="array" ref="J1330">_xlfn.LET(_xlpm.text, E1330,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0" s="14">
        <f t="shared" si="101"/>
        <v>46120</v>
      </c>
      <c r="L1330" s="14">
        <f t="shared" si="102"/>
        <v>46120.624664351853</v>
      </c>
      <c r="N1330" s="12"/>
    </row>
    <row r="1331" spans="1:14" x14ac:dyDescent="0.25">
      <c r="A1331" s="4" t="s">
        <v>1360</v>
      </c>
      <c r="B1331" s="16" t="str">
        <f t="shared" si="98"/>
        <v>MAA DURGA STONE CRUSHING COMPANY</v>
      </c>
      <c r="C1331" s="16" t="str">
        <f t="shared" si="99"/>
        <v>CHADWAS(Chadwas/Bidasar/Sujangarh)</v>
      </c>
      <c r="D1331" s="4" t="s">
        <v>3034</v>
      </c>
      <c r="E1331" s="4" t="s">
        <v>3119</v>
      </c>
      <c r="F1331" s="5">
        <v>46119.999664351853</v>
      </c>
      <c r="G1331" s="16" t="str">
        <f t="shared" si="100"/>
        <v>MasonaryStone (Gitti)</v>
      </c>
      <c r="H1331" s="4" t="s">
        <v>2773</v>
      </c>
      <c r="I1331" s="18" t="str" cm="1">
        <f t="array" ref="I1331">_xlfn.LET(_xlpm.text, D1331,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1" s="18" t="str" cm="1">
        <f t="array" ref="J1331">_xlfn.LET(_xlpm.text, E1331,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1" s="14">
        <f t="shared" si="101"/>
        <v>46120</v>
      </c>
      <c r="L1331" s="14">
        <f t="shared" si="102"/>
        <v>46120.624664351853</v>
      </c>
      <c r="N1331" s="12"/>
    </row>
    <row r="1332" spans="1:14" x14ac:dyDescent="0.25">
      <c r="A1332" s="4" t="s">
        <v>1361</v>
      </c>
      <c r="B1332" s="16" t="str">
        <f t="shared" si="98"/>
        <v>MAA DURGA STONE CRUSHING COMPANY</v>
      </c>
      <c r="C1332" s="16" t="str">
        <f t="shared" si="99"/>
        <v>CHADWAS(Chadwas/Bidasar/Sujangarh)</v>
      </c>
      <c r="D1332" s="4" t="s">
        <v>3034</v>
      </c>
      <c r="E1332" s="4" t="s">
        <v>3119</v>
      </c>
      <c r="F1332" s="5">
        <v>46119.999664351853</v>
      </c>
      <c r="G1332" s="16" t="str">
        <f t="shared" si="100"/>
        <v>MasonaryStone (Gitti)</v>
      </c>
      <c r="H1332" s="4" t="s">
        <v>2406</v>
      </c>
      <c r="I1332" s="18" t="str" cm="1">
        <f t="array" ref="I1332">_xlfn.LET(_xlpm.text, D1332,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2" s="18" t="str" cm="1">
        <f t="array" ref="J1332">_xlfn.LET(_xlpm.text, E1332,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2" s="14">
        <f t="shared" si="101"/>
        <v>46120</v>
      </c>
      <c r="L1332" s="14">
        <f t="shared" si="102"/>
        <v>46120.624664351853</v>
      </c>
      <c r="N1332" s="12"/>
    </row>
    <row r="1333" spans="1:14" x14ac:dyDescent="0.25">
      <c r="A1333" s="4" t="s">
        <v>1362</v>
      </c>
      <c r="B1333" s="16" t="str">
        <f t="shared" si="98"/>
        <v>MAA DURGA STONE CRUSHING COMPANY</v>
      </c>
      <c r="C1333" s="16" t="str">
        <f t="shared" si="99"/>
        <v>CHADWAS(Chadwas/Bidasar/Sujangarh)</v>
      </c>
      <c r="D1333" s="4" t="s">
        <v>3034</v>
      </c>
      <c r="E1333" s="4" t="s">
        <v>3119</v>
      </c>
      <c r="F1333" s="5">
        <v>46119.999664351853</v>
      </c>
      <c r="G1333" s="16" t="str">
        <f t="shared" si="100"/>
        <v>MasonaryStone (Gitti)</v>
      </c>
      <c r="H1333" s="4" t="s">
        <v>2405</v>
      </c>
      <c r="I1333" s="18" t="str" cm="1">
        <f t="array" ref="I1333">_xlfn.LET(_xlpm.text, D1333,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3" s="18" t="str" cm="1">
        <f t="array" ref="J1333">_xlfn.LET(_xlpm.text, E1333,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3" s="14">
        <f t="shared" si="101"/>
        <v>46120</v>
      </c>
      <c r="L1333" s="14">
        <f t="shared" si="102"/>
        <v>46120.624664351853</v>
      </c>
      <c r="N1333" s="12"/>
    </row>
    <row r="1334" spans="1:14" x14ac:dyDescent="0.25">
      <c r="A1334" s="4" t="s">
        <v>1363</v>
      </c>
      <c r="B1334" s="16" t="str">
        <f t="shared" si="98"/>
        <v>MAA DURGA STONE CRUSHING COMPANY</v>
      </c>
      <c r="C1334" s="16" t="str">
        <f t="shared" si="99"/>
        <v>CHADWAS(Chadwas/Bidasar/Sujangarh)</v>
      </c>
      <c r="D1334" s="4" t="s">
        <v>3034</v>
      </c>
      <c r="E1334" s="4" t="s">
        <v>3119</v>
      </c>
      <c r="F1334" s="5">
        <v>46119.999664351853</v>
      </c>
      <c r="G1334" s="16" t="str">
        <f t="shared" si="100"/>
        <v>MasonaryStone (Gitti)</v>
      </c>
      <c r="H1334" s="4" t="s">
        <v>2773</v>
      </c>
      <c r="I1334" s="18" t="str" cm="1">
        <f t="array" ref="I1334">_xlfn.LET(_xlpm.text, D1334,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4" s="18" t="str" cm="1">
        <f t="array" ref="J1334">_xlfn.LET(_xlpm.text, E1334,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4" s="14">
        <f t="shared" si="101"/>
        <v>46120</v>
      </c>
      <c r="L1334" s="14">
        <f t="shared" si="102"/>
        <v>46120.624664351853</v>
      </c>
      <c r="N1334" s="12"/>
    </row>
    <row r="1335" spans="1:14" x14ac:dyDescent="0.25">
      <c r="A1335" s="4" t="s">
        <v>1364</v>
      </c>
      <c r="B1335" s="16" t="str">
        <f t="shared" si="98"/>
        <v>MAA DURGA STONE CRUSHING COMPANY</v>
      </c>
      <c r="C1335" s="16" t="str">
        <f t="shared" si="99"/>
        <v>CHADWAS(Chadwas/Bidasar/Sujangarh)</v>
      </c>
      <c r="D1335" s="4" t="s">
        <v>3034</v>
      </c>
      <c r="E1335" s="4" t="s">
        <v>3119</v>
      </c>
      <c r="F1335" s="5">
        <v>46119.999664351853</v>
      </c>
      <c r="G1335" s="16" t="str">
        <f t="shared" si="100"/>
        <v>MasonaryStone (Gitti)</v>
      </c>
      <c r="H1335" s="4" t="s">
        <v>2876</v>
      </c>
      <c r="I1335" s="18" t="str" cm="1">
        <f t="array" ref="I1335">_xlfn.LET(_xlpm.text, D1335,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5" s="18" t="str" cm="1">
        <f t="array" ref="J1335">_xlfn.LET(_xlpm.text, E1335,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5" s="14">
        <f t="shared" si="101"/>
        <v>46120</v>
      </c>
      <c r="L1335" s="14">
        <f t="shared" si="102"/>
        <v>46120.624664351853</v>
      </c>
      <c r="N1335" s="12"/>
    </row>
    <row r="1336" spans="1:14" x14ac:dyDescent="0.25">
      <c r="A1336" s="4" t="s">
        <v>1365</v>
      </c>
      <c r="B1336" s="16" t="str">
        <f t="shared" si="98"/>
        <v>MAA DURGA STONE CRUSHING COMPANY</v>
      </c>
      <c r="C1336" s="16" t="str">
        <f t="shared" si="99"/>
        <v>CHADWAS(Chadwas/Bidasar/Sujangarh)</v>
      </c>
      <c r="D1336" s="4" t="s">
        <v>3034</v>
      </c>
      <c r="E1336" s="4" t="s">
        <v>3119</v>
      </c>
      <c r="F1336" s="5">
        <v>46119.999664351853</v>
      </c>
      <c r="G1336" s="16" t="str">
        <f t="shared" si="100"/>
        <v>MasonaryStone (Gitti)</v>
      </c>
      <c r="H1336" s="4" t="s">
        <v>2617</v>
      </c>
      <c r="I1336" s="18" t="str" cm="1">
        <f t="array" ref="I1336">_xlfn.LET(_xlpm.text, D1336,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6" s="18" t="str" cm="1">
        <f t="array" ref="J1336">_xlfn.LET(_xlpm.text, E1336,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6" s="14">
        <f t="shared" si="101"/>
        <v>46120</v>
      </c>
      <c r="L1336" s="14">
        <f t="shared" si="102"/>
        <v>46120.624664351853</v>
      </c>
      <c r="N1336" s="12"/>
    </row>
    <row r="1337" spans="1:14" x14ac:dyDescent="0.25">
      <c r="A1337" s="4" t="s">
        <v>1366</v>
      </c>
      <c r="B1337" s="16" t="str">
        <f t="shared" si="98"/>
        <v>MAA DURGA STONE CRUSHING COMPANY</v>
      </c>
      <c r="C1337" s="16" t="str">
        <f t="shared" si="99"/>
        <v>CHADWAS(Chadwas/Bidasar/Sujangarh)</v>
      </c>
      <c r="D1337" s="4" t="s">
        <v>3034</v>
      </c>
      <c r="E1337" s="4" t="s">
        <v>3119</v>
      </c>
      <c r="F1337" s="5">
        <v>46119.999664351853</v>
      </c>
      <c r="G1337" s="16" t="str">
        <f t="shared" si="100"/>
        <v>MasonaryStone (Gitti)</v>
      </c>
      <c r="H1337" s="4" t="s">
        <v>2324</v>
      </c>
      <c r="I1337" s="18" t="str" cm="1">
        <f t="array" ref="I1337">_xlfn.LET(_xlpm.text, D1337,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7" s="18" t="str" cm="1">
        <f t="array" ref="J1337">_xlfn.LET(_xlpm.text, E1337,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7" s="14">
        <f t="shared" si="101"/>
        <v>46120</v>
      </c>
      <c r="L1337" s="14">
        <f t="shared" si="102"/>
        <v>46120.624664351853</v>
      </c>
      <c r="N1337" s="12"/>
    </row>
    <row r="1338" spans="1:14" x14ac:dyDescent="0.25">
      <c r="A1338" s="4" t="s">
        <v>1367</v>
      </c>
      <c r="B1338" s="16" t="str">
        <f t="shared" si="98"/>
        <v>MAA DURGA STONE CRUSHING COMPANY</v>
      </c>
      <c r="C1338" s="16" t="str">
        <f t="shared" si="99"/>
        <v>CHADWAS(Chadwas/Bidasar/Sujangarh)</v>
      </c>
      <c r="D1338" s="4" t="s">
        <v>3034</v>
      </c>
      <c r="E1338" s="4" t="s">
        <v>3119</v>
      </c>
      <c r="F1338" s="5">
        <v>46119.999664351853</v>
      </c>
      <c r="G1338" s="16" t="str">
        <f t="shared" si="100"/>
        <v>MasonaryStone (Gitti)</v>
      </c>
      <c r="H1338" s="4" t="s">
        <v>2836</v>
      </c>
      <c r="I1338" s="18" t="str" cm="1">
        <f t="array" ref="I1338">_xlfn.LET(_xlpm.text, D1338,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8" s="18" t="str" cm="1">
        <f t="array" ref="J1338">_xlfn.LET(_xlpm.text, E1338,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8" s="14">
        <f t="shared" si="101"/>
        <v>46120</v>
      </c>
      <c r="L1338" s="14">
        <f t="shared" si="102"/>
        <v>46120.624664351853</v>
      </c>
      <c r="N1338" s="12"/>
    </row>
    <row r="1339" spans="1:14" x14ac:dyDescent="0.25">
      <c r="A1339" s="4" t="s">
        <v>1368</v>
      </c>
      <c r="B1339" s="16" t="str">
        <f t="shared" si="98"/>
        <v>MAA DURGA STONE CRUSHING COMPANY</v>
      </c>
      <c r="C1339" s="16" t="str">
        <f t="shared" si="99"/>
        <v>CHADWAS(Chadwas/Bidasar/Sujangarh)</v>
      </c>
      <c r="D1339" s="4" t="s">
        <v>3034</v>
      </c>
      <c r="E1339" s="4" t="s">
        <v>3119</v>
      </c>
      <c r="F1339" s="5">
        <v>46119.999664351853</v>
      </c>
      <c r="G1339" s="16" t="str">
        <f t="shared" si="100"/>
        <v>MasonaryStone (Gitti)</v>
      </c>
      <c r="H1339" s="4" t="s">
        <v>2835</v>
      </c>
      <c r="I1339" s="18" t="str" cm="1">
        <f t="array" ref="I1339">_xlfn.LET(_xlpm.text, D1339,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39" s="18" t="str" cm="1">
        <f t="array" ref="J1339">_xlfn.LET(_xlpm.text, E1339,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39" s="14">
        <f t="shared" si="101"/>
        <v>46120</v>
      </c>
      <c r="L1339" s="14">
        <f t="shared" si="102"/>
        <v>46120.624664351853</v>
      </c>
      <c r="N1339" s="12"/>
    </row>
    <row r="1340" spans="1:14" x14ac:dyDescent="0.25">
      <c r="A1340" s="4" t="s">
        <v>1369</v>
      </c>
      <c r="B1340" s="16" t="str">
        <f t="shared" si="98"/>
        <v>MAA DURGA STONE CRUSHING COMPANY</v>
      </c>
      <c r="C1340" s="16" t="str">
        <f t="shared" si="99"/>
        <v>CHADWAS(Chadwas/Bidasar/Sujangarh)</v>
      </c>
      <c r="D1340" s="4" t="s">
        <v>3034</v>
      </c>
      <c r="E1340" s="4" t="s">
        <v>3119</v>
      </c>
      <c r="F1340" s="5">
        <v>46119.999664351853</v>
      </c>
      <c r="G1340" s="16" t="str">
        <f t="shared" si="100"/>
        <v>MasonaryStone (Gitti)</v>
      </c>
      <c r="H1340" s="4" t="s">
        <v>2406</v>
      </c>
      <c r="I1340" s="18" t="str" cm="1">
        <f t="array" ref="I1340">_xlfn.LET(_xlpm.text, D1340,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0" s="18" t="str" cm="1">
        <f t="array" ref="J1340">_xlfn.LET(_xlpm.text, E1340,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0" s="14">
        <f t="shared" si="101"/>
        <v>46120</v>
      </c>
      <c r="L1340" s="14">
        <f t="shared" si="102"/>
        <v>46120.624664351853</v>
      </c>
      <c r="N1340" s="12"/>
    </row>
    <row r="1341" spans="1:14" x14ac:dyDescent="0.25">
      <c r="A1341" s="4" t="s">
        <v>1370</v>
      </c>
      <c r="B1341" s="16" t="str">
        <f t="shared" si="98"/>
        <v>MAA DURGA STONE CRUSHING COMPANY</v>
      </c>
      <c r="C1341" s="16" t="str">
        <f t="shared" si="99"/>
        <v>CHADWAS(Chadwas/Bidasar/Sujangarh)</v>
      </c>
      <c r="D1341" s="4" t="s">
        <v>3034</v>
      </c>
      <c r="E1341" s="4" t="s">
        <v>3119</v>
      </c>
      <c r="F1341" s="5">
        <v>46119.999664351853</v>
      </c>
      <c r="G1341" s="16" t="str">
        <f t="shared" si="100"/>
        <v>MasonaryStone (Gitti)</v>
      </c>
      <c r="H1341" s="4" t="s">
        <v>2406</v>
      </c>
      <c r="I1341" s="18" t="str" cm="1">
        <f t="array" ref="I1341">_xlfn.LET(_xlpm.text, D1341,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1" s="18" t="str" cm="1">
        <f t="array" ref="J1341">_xlfn.LET(_xlpm.text, E1341,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1" s="14">
        <f t="shared" si="101"/>
        <v>46120</v>
      </c>
      <c r="L1341" s="14">
        <f t="shared" si="102"/>
        <v>46120.624664351853</v>
      </c>
      <c r="N1341" s="12"/>
    </row>
    <row r="1342" spans="1:14" x14ac:dyDescent="0.25">
      <c r="A1342" s="4" t="s">
        <v>1371</v>
      </c>
      <c r="B1342" s="16" t="str">
        <f t="shared" si="98"/>
        <v>MAA DURGA STONE CRUSHING COMPANY</v>
      </c>
      <c r="C1342" s="16" t="str">
        <f t="shared" si="99"/>
        <v>CHADWAS(Chadwas/Bidasar/Sujangarh)</v>
      </c>
      <c r="D1342" s="4" t="s">
        <v>3034</v>
      </c>
      <c r="E1342" s="4" t="s">
        <v>3119</v>
      </c>
      <c r="F1342" s="5">
        <v>46119.999664351853</v>
      </c>
      <c r="G1342" s="16" t="str">
        <f t="shared" si="100"/>
        <v>MasonaryStone (Gitti)</v>
      </c>
      <c r="H1342" s="4" t="s">
        <v>2470</v>
      </c>
      <c r="I1342" s="18" t="str" cm="1">
        <f t="array" ref="I1342">_xlfn.LET(_xlpm.text, D1342,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2" s="18" t="str" cm="1">
        <f t="array" ref="J1342">_xlfn.LET(_xlpm.text, E1342,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2" s="14">
        <f t="shared" si="101"/>
        <v>46120</v>
      </c>
      <c r="L1342" s="14">
        <f t="shared" si="102"/>
        <v>46120.624664351853</v>
      </c>
      <c r="N1342" s="12"/>
    </row>
    <row r="1343" spans="1:14" x14ac:dyDescent="0.25">
      <c r="A1343" s="4" t="s">
        <v>1372</v>
      </c>
      <c r="B1343" s="16" t="str">
        <f t="shared" si="98"/>
        <v>MAA DURGA STONE CRUSHING COMPANY</v>
      </c>
      <c r="C1343" s="16" t="str">
        <f t="shared" si="99"/>
        <v>CHADWAS(Chadwas/Bidasar/Sujangarh)</v>
      </c>
      <c r="D1343" s="4" t="s">
        <v>3034</v>
      </c>
      <c r="E1343" s="4" t="s">
        <v>3119</v>
      </c>
      <c r="F1343" s="5">
        <v>46119.999664351853</v>
      </c>
      <c r="G1343" s="16" t="str">
        <f t="shared" si="100"/>
        <v>MasonaryStone (Gitti)</v>
      </c>
      <c r="H1343" s="4" t="s">
        <v>2877</v>
      </c>
      <c r="I1343" s="18" t="str" cm="1">
        <f t="array" ref="I1343">_xlfn.LET(_xlpm.text, D1343,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3" s="18" t="str" cm="1">
        <f t="array" ref="J1343">_xlfn.LET(_xlpm.text, E1343,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3" s="14">
        <f t="shared" si="101"/>
        <v>46120</v>
      </c>
      <c r="L1343" s="14">
        <f t="shared" si="102"/>
        <v>46120.624664351853</v>
      </c>
      <c r="N1343" s="12"/>
    </row>
    <row r="1344" spans="1:14" x14ac:dyDescent="0.25">
      <c r="A1344" s="4" t="s">
        <v>1373</v>
      </c>
      <c r="B1344" s="16" t="str">
        <f t="shared" si="98"/>
        <v>MAA DURGA STONE CRUSHING COMPANY</v>
      </c>
      <c r="C1344" s="16" t="str">
        <f t="shared" si="99"/>
        <v>CHADWAS(Chadwas/Bidasar/Sujangarh)</v>
      </c>
      <c r="D1344" s="4" t="s">
        <v>3034</v>
      </c>
      <c r="E1344" s="4" t="s">
        <v>3119</v>
      </c>
      <c r="F1344" s="5">
        <v>46119.999664351853</v>
      </c>
      <c r="G1344" s="16" t="str">
        <f t="shared" si="100"/>
        <v>MasonaryStone (Gitti)</v>
      </c>
      <c r="H1344" s="4" t="s">
        <v>2773</v>
      </c>
      <c r="I1344" s="18" t="str" cm="1">
        <f t="array" ref="I1344">_xlfn.LET(_xlpm.text, D1344,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4" s="18" t="str" cm="1">
        <f t="array" ref="J1344">_xlfn.LET(_xlpm.text, E1344,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4" s="14">
        <f t="shared" si="101"/>
        <v>46120</v>
      </c>
      <c r="L1344" s="14">
        <f t="shared" si="102"/>
        <v>46120.624664351853</v>
      </c>
      <c r="N1344" s="12"/>
    </row>
    <row r="1345" spans="1:14" x14ac:dyDescent="0.25">
      <c r="A1345" s="4" t="s">
        <v>1374</v>
      </c>
      <c r="B1345" s="16" t="str">
        <f t="shared" si="98"/>
        <v>MAA DURGA STONE CRUSHING COMPANY</v>
      </c>
      <c r="C1345" s="16" t="str">
        <f t="shared" si="99"/>
        <v>CHADWAS(Chadwas/Bidasar/Sujangarh)</v>
      </c>
      <c r="D1345" s="4" t="s">
        <v>3034</v>
      </c>
      <c r="E1345" s="4" t="s">
        <v>3119</v>
      </c>
      <c r="F1345" s="5">
        <v>46119.999664351853</v>
      </c>
      <c r="G1345" s="16" t="str">
        <f t="shared" si="100"/>
        <v>MasonaryStone (Gitti)</v>
      </c>
      <c r="H1345" s="4" t="s">
        <v>2849</v>
      </c>
      <c r="I1345" s="18" t="str" cm="1">
        <f t="array" ref="I1345">_xlfn.LET(_xlpm.text, D1345,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5" s="18" t="str" cm="1">
        <f t="array" ref="J1345">_xlfn.LET(_xlpm.text, E1345,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5" s="14">
        <f t="shared" si="101"/>
        <v>46120</v>
      </c>
      <c r="L1345" s="14">
        <f t="shared" si="102"/>
        <v>46120.624664351853</v>
      </c>
      <c r="N1345" s="12"/>
    </row>
    <row r="1346" spans="1:14" x14ac:dyDescent="0.25">
      <c r="A1346" s="4" t="s">
        <v>1375</v>
      </c>
      <c r="B1346" s="16" t="str">
        <f t="shared" ref="B1346:B1409" si="103">VLOOKUP(LEFT($A1346,4)&amp;"*",$O$3:$R$17, 2, FALSE)</f>
        <v>MAA DURGA STONE CRUSHING COMPANY</v>
      </c>
      <c r="C1346" s="16" t="str">
        <f t="shared" ref="C1346:C1409" si="104">VLOOKUP(LEFT($A1346,4)&amp;"*",$O$3:$R$17, 3, FALSE)</f>
        <v>CHADWAS(Chadwas/Bidasar/Sujangarh)</v>
      </c>
      <c r="D1346" s="4" t="s">
        <v>3034</v>
      </c>
      <c r="E1346" s="4" t="s">
        <v>3119</v>
      </c>
      <c r="F1346" s="5">
        <v>46119.999664351853</v>
      </c>
      <c r="G1346" s="16" t="str">
        <f t="shared" ref="G1346:G1409" si="105">VLOOKUP(LEFT($A1346,4)&amp;"*",$O$3:$R$17, 4, FALSE)</f>
        <v>MasonaryStone (Gitti)</v>
      </c>
      <c r="H1346" s="4" t="s">
        <v>2604</v>
      </c>
      <c r="I1346" s="18" t="str" cm="1">
        <f t="array" ref="I1346">_xlfn.LET(_xlpm.text, D1346,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6" s="18" t="str" cm="1">
        <f t="array" ref="J1346">_xlfn.LET(_xlpm.text, E1346,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6" s="14">
        <f t="shared" si="101"/>
        <v>46120</v>
      </c>
      <c r="L1346" s="14">
        <f t="shared" si="102"/>
        <v>46120.624664351853</v>
      </c>
      <c r="N1346" s="12"/>
    </row>
    <row r="1347" spans="1:14" x14ac:dyDescent="0.25">
      <c r="A1347" s="4" t="s">
        <v>1376</v>
      </c>
      <c r="B1347" s="16" t="str">
        <f t="shared" si="103"/>
        <v>MAA DURGA STONE CRUSHING COMPANY</v>
      </c>
      <c r="C1347" s="16" t="str">
        <f t="shared" si="104"/>
        <v>CHADWAS(Chadwas/Bidasar/Sujangarh)</v>
      </c>
      <c r="D1347" s="4" t="s">
        <v>3034</v>
      </c>
      <c r="E1347" s="4" t="s">
        <v>3119</v>
      </c>
      <c r="F1347" s="5">
        <v>46125.999664351853</v>
      </c>
      <c r="G1347" s="16" t="str">
        <f t="shared" si="105"/>
        <v>MasonaryStone (Gitti)</v>
      </c>
      <c r="H1347" s="4" t="s">
        <v>2525</v>
      </c>
      <c r="I1347" s="18" t="str" cm="1">
        <f t="array" ref="I1347">_xlfn.LET(_xlpm.text, D1347,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7" s="18" t="str" cm="1">
        <f t="array" ref="J1347">_xlfn.LET(_xlpm.text, E1347,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7" s="14">
        <f t="shared" ref="K1347:K1410" si="106">F1347+(29/86400)</f>
        <v>46126</v>
      </c>
      <c r="L1347" s="14">
        <f t="shared" ref="L1347:L1410" si="107">F1347+(15/24)</f>
        <v>46126.624664351853</v>
      </c>
      <c r="N1347" s="12"/>
    </row>
    <row r="1348" spans="1:14" x14ac:dyDescent="0.25">
      <c r="A1348" s="4" t="s">
        <v>1377</v>
      </c>
      <c r="B1348" s="16" t="str">
        <f t="shared" si="103"/>
        <v>MAA DURGA STONE CRUSHING COMPANY</v>
      </c>
      <c r="C1348" s="16" t="str">
        <f t="shared" si="104"/>
        <v>CHADWAS(Chadwas/Bidasar/Sujangarh)</v>
      </c>
      <c r="D1348" s="4" t="s">
        <v>3034</v>
      </c>
      <c r="E1348" s="4" t="s">
        <v>3119</v>
      </c>
      <c r="F1348" s="5">
        <v>46125.999664351853</v>
      </c>
      <c r="G1348" s="16" t="str">
        <f t="shared" si="105"/>
        <v>MasonaryStone (Gitti)</v>
      </c>
      <c r="H1348" s="4" t="s">
        <v>2525</v>
      </c>
      <c r="I1348" s="18" t="str" cm="1">
        <f t="array" ref="I1348">_xlfn.LET(_xlpm.text, D1348,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8" s="18" t="str" cm="1">
        <f t="array" ref="J1348">_xlfn.LET(_xlpm.text, E1348,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8" s="14">
        <f t="shared" si="106"/>
        <v>46126</v>
      </c>
      <c r="L1348" s="14">
        <f t="shared" si="107"/>
        <v>46126.624664351853</v>
      </c>
      <c r="N1348" s="12"/>
    </row>
    <row r="1349" spans="1:14" x14ac:dyDescent="0.25">
      <c r="A1349" s="4" t="s">
        <v>1378</v>
      </c>
      <c r="B1349" s="16" t="str">
        <f t="shared" si="103"/>
        <v>MAA DURGA STONE CRUSHING COMPANY</v>
      </c>
      <c r="C1349" s="16" t="str">
        <f t="shared" si="104"/>
        <v>CHADWAS(Chadwas/Bidasar/Sujangarh)</v>
      </c>
      <c r="D1349" s="4" t="s">
        <v>3034</v>
      </c>
      <c r="E1349" s="4" t="s">
        <v>3119</v>
      </c>
      <c r="F1349" s="5">
        <v>46125.999664351853</v>
      </c>
      <c r="G1349" s="16" t="str">
        <f t="shared" si="105"/>
        <v>MasonaryStone (Gitti)</v>
      </c>
      <c r="H1349" s="4" t="s">
        <v>2257</v>
      </c>
      <c r="I1349" s="18" t="str" cm="1">
        <f t="array" ref="I1349">_xlfn.LET(_xlpm.text, D1349,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49" s="18" t="str" cm="1">
        <f t="array" ref="J1349">_xlfn.LET(_xlpm.text, E1349,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49" s="14">
        <f t="shared" si="106"/>
        <v>46126</v>
      </c>
      <c r="L1349" s="14">
        <f t="shared" si="107"/>
        <v>46126.624664351853</v>
      </c>
      <c r="N1349" s="12"/>
    </row>
    <row r="1350" spans="1:14" x14ac:dyDescent="0.25">
      <c r="A1350" s="4" t="s">
        <v>1379</v>
      </c>
      <c r="B1350" s="16" t="str">
        <f t="shared" si="103"/>
        <v>MAA DURGA STONE CRUSHING COMPANY</v>
      </c>
      <c r="C1350" s="16" t="str">
        <f t="shared" si="104"/>
        <v>CHADWAS(Chadwas/Bidasar/Sujangarh)</v>
      </c>
      <c r="D1350" s="4" t="s">
        <v>3034</v>
      </c>
      <c r="E1350" s="4" t="s">
        <v>3119</v>
      </c>
      <c r="F1350" s="5">
        <v>46125.999664351853</v>
      </c>
      <c r="G1350" s="16" t="str">
        <f t="shared" si="105"/>
        <v>MasonaryStone (Gitti)</v>
      </c>
      <c r="H1350" s="4" t="s">
        <v>2468</v>
      </c>
      <c r="I1350" s="18" t="str" cm="1">
        <f t="array" ref="I1350">_xlfn.LET(_xlpm.text, D1350,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50" s="18" t="str" cm="1">
        <f t="array" ref="J1350">_xlfn.LET(_xlpm.text, E1350,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0" s="14">
        <f t="shared" si="106"/>
        <v>46126</v>
      </c>
      <c r="L1350" s="14">
        <f t="shared" si="107"/>
        <v>46126.624664351853</v>
      </c>
      <c r="N1350" s="12"/>
    </row>
    <row r="1351" spans="1:14" x14ac:dyDescent="0.25">
      <c r="A1351" s="4" t="s">
        <v>1380</v>
      </c>
      <c r="B1351" s="16" t="str">
        <f t="shared" si="103"/>
        <v>MAA DURGA STONE CRUSHING COMPANY</v>
      </c>
      <c r="C1351" s="16" t="str">
        <f t="shared" si="104"/>
        <v>CHADWAS(Chadwas/Bidasar/Sujangarh)</v>
      </c>
      <c r="D1351" s="4" t="s">
        <v>3035</v>
      </c>
      <c r="E1351" s="4" t="s">
        <v>3119</v>
      </c>
      <c r="F1351" s="5">
        <v>46117.999664351853</v>
      </c>
      <c r="G1351" s="16" t="str">
        <f t="shared" si="105"/>
        <v>MasonaryStone (Gitti)</v>
      </c>
      <c r="H1351" s="4" t="s">
        <v>2258</v>
      </c>
      <c r="I1351" s="18" t="str" cm="1">
        <f t="array" ref="I1351">_xlfn.LET(_xlpm.text, D1351,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51" s="18" t="str" cm="1">
        <f t="array" ref="J1351">_xlfn.LET(_xlpm.text, E1351,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1" s="14">
        <f t="shared" si="106"/>
        <v>46118</v>
      </c>
      <c r="L1351" s="14">
        <f t="shared" si="107"/>
        <v>46118.624664351853</v>
      </c>
      <c r="N1351" s="12"/>
    </row>
    <row r="1352" spans="1:14" x14ac:dyDescent="0.25">
      <c r="A1352" s="4" t="s">
        <v>1381</v>
      </c>
      <c r="B1352" s="16" t="str">
        <f t="shared" si="103"/>
        <v>MAA DURGA STONE CRUSHING COMPANY</v>
      </c>
      <c r="C1352" s="16" t="str">
        <f t="shared" si="104"/>
        <v>CHADWAS(Chadwas/Bidasar/Sujangarh)</v>
      </c>
      <c r="D1352" s="4" t="s">
        <v>3035</v>
      </c>
      <c r="E1352" s="4" t="s">
        <v>3119</v>
      </c>
      <c r="F1352" s="5">
        <v>46122.999664351853</v>
      </c>
      <c r="G1352" s="16" t="str">
        <f t="shared" si="105"/>
        <v>MasonaryStone (Gitti)</v>
      </c>
      <c r="H1352" s="4" t="s">
        <v>2611</v>
      </c>
      <c r="I1352" s="18" t="str" cm="1">
        <f t="array" ref="I1352">_xlfn.LET(_xlpm.text, D1352,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52" s="18" t="str" cm="1">
        <f t="array" ref="J1352">_xlfn.LET(_xlpm.text, E1352,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2" s="14">
        <f t="shared" si="106"/>
        <v>46123</v>
      </c>
      <c r="L1352" s="14">
        <f t="shared" si="107"/>
        <v>46123.624664351853</v>
      </c>
      <c r="N1352" s="12"/>
    </row>
    <row r="1353" spans="1:14" x14ac:dyDescent="0.25">
      <c r="A1353" s="4" t="s">
        <v>1383</v>
      </c>
      <c r="B1353" s="16" t="str">
        <f t="shared" si="103"/>
        <v>GUDHA ASSOCIATES</v>
      </c>
      <c r="C1353" s="16" t="str">
        <f t="shared" si="104"/>
        <v>Samorakhi / Kolayat / Bikaner</v>
      </c>
      <c r="D1353" s="4" t="s">
        <v>3031</v>
      </c>
      <c r="E1353" s="4" t="s">
        <v>3119</v>
      </c>
      <c r="F1353" s="5">
        <v>45943.999664351853</v>
      </c>
      <c r="G1353" s="16" t="str">
        <f t="shared" si="105"/>
        <v>Silica Sand</v>
      </c>
      <c r="H1353" s="4" t="s">
        <v>2661</v>
      </c>
      <c r="I1353" s="18" t="str" cm="1">
        <f t="array" ref="I1353">_xlfn.LET(_xlpm.text, D1353,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53" s="18" t="str" cm="1">
        <f t="array" ref="J1353">_xlfn.LET(_xlpm.text, E1353,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3" s="14">
        <f t="shared" si="106"/>
        <v>45944</v>
      </c>
      <c r="L1353" s="14">
        <f t="shared" si="107"/>
        <v>45944.624664351853</v>
      </c>
      <c r="N1353" s="12"/>
    </row>
    <row r="1354" spans="1:14" x14ac:dyDescent="0.25">
      <c r="A1354" s="4" t="s">
        <v>1384</v>
      </c>
      <c r="B1354" s="16" t="str">
        <f t="shared" si="103"/>
        <v>GUDHA ASSOCIATES</v>
      </c>
      <c r="C1354" s="16" t="str">
        <f t="shared" si="104"/>
        <v>Samorakhi / Kolayat / Bikaner</v>
      </c>
      <c r="D1354" s="4" t="s">
        <v>3031</v>
      </c>
      <c r="E1354" s="4" t="s">
        <v>3119</v>
      </c>
      <c r="F1354" s="5">
        <v>45943.999664351853</v>
      </c>
      <c r="G1354" s="16" t="str">
        <f t="shared" si="105"/>
        <v>Silica Sand</v>
      </c>
      <c r="H1354" s="4" t="s">
        <v>2661</v>
      </c>
      <c r="I1354" s="18" t="str" cm="1">
        <f t="array" ref="I1354">_xlfn.LET(_xlpm.text, D1354,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54" s="18" t="str" cm="1">
        <f t="array" ref="J1354">_xlfn.LET(_xlpm.text, E1354,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4" s="14">
        <f t="shared" si="106"/>
        <v>45944</v>
      </c>
      <c r="L1354" s="14">
        <f t="shared" si="107"/>
        <v>45944.624664351853</v>
      </c>
      <c r="N1354" s="12"/>
    </row>
    <row r="1355" spans="1:14" x14ac:dyDescent="0.25">
      <c r="A1355" s="4" t="s">
        <v>1385</v>
      </c>
      <c r="B1355" s="16" t="str">
        <f t="shared" si="103"/>
        <v>GUDHA ASSOCIATES</v>
      </c>
      <c r="C1355" s="16" t="str">
        <f t="shared" si="104"/>
        <v>Samorakhi / Kolayat / Bikaner</v>
      </c>
      <c r="D1355" s="4" t="s">
        <v>3031</v>
      </c>
      <c r="E1355" s="4" t="s">
        <v>3119</v>
      </c>
      <c r="F1355" s="5">
        <v>45965.999664351853</v>
      </c>
      <c r="G1355" s="16" t="str">
        <f t="shared" si="105"/>
        <v>Silica Sand</v>
      </c>
      <c r="H1355" s="4" t="s">
        <v>2580</v>
      </c>
      <c r="I1355" s="18" t="str" cm="1">
        <f t="array" ref="I1355">_xlfn.LET(_xlpm.text, D1355,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55" s="18" t="str" cm="1">
        <f t="array" ref="J1355">_xlfn.LET(_xlpm.text, E1355,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5" s="14">
        <f t="shared" si="106"/>
        <v>45966</v>
      </c>
      <c r="L1355" s="14">
        <f t="shared" si="107"/>
        <v>45966.624664351853</v>
      </c>
      <c r="N1355" s="12"/>
    </row>
    <row r="1356" spans="1:14" x14ac:dyDescent="0.25">
      <c r="A1356" s="4" t="s">
        <v>1386</v>
      </c>
      <c r="B1356" s="16" t="str">
        <f t="shared" si="103"/>
        <v>GUDHA ASSOCIATES</v>
      </c>
      <c r="C1356" s="16" t="str">
        <f t="shared" si="104"/>
        <v>Samorakhi / Kolayat / Bikaner</v>
      </c>
      <c r="D1356" s="4" t="s">
        <v>3031</v>
      </c>
      <c r="E1356" s="4" t="s">
        <v>3119</v>
      </c>
      <c r="F1356" s="5">
        <v>45966.999664351853</v>
      </c>
      <c r="G1356" s="16" t="str">
        <f t="shared" si="105"/>
        <v>Silica Sand</v>
      </c>
      <c r="H1356" s="4" t="s">
        <v>2661</v>
      </c>
      <c r="I1356" s="18" t="str" cm="1">
        <f t="array" ref="I1356">_xlfn.LET(_xlpm.text, D1356,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56" s="18" t="str" cm="1">
        <f t="array" ref="J1356">_xlfn.LET(_xlpm.text, E1356,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6" s="14">
        <f t="shared" si="106"/>
        <v>45967</v>
      </c>
      <c r="L1356" s="14">
        <f t="shared" si="107"/>
        <v>45967.624664351853</v>
      </c>
      <c r="N1356" s="12"/>
    </row>
    <row r="1357" spans="1:14" x14ac:dyDescent="0.25">
      <c r="A1357" s="4" t="s">
        <v>1387</v>
      </c>
      <c r="B1357" s="16" t="str">
        <f t="shared" si="103"/>
        <v>ANIL KUMAR KHICHER</v>
      </c>
      <c r="C1357" s="16" t="str">
        <f t="shared" si="104"/>
        <v>Kishnasar / Nokha / Bikaner</v>
      </c>
      <c r="D1357" s="4" t="s">
        <v>3033</v>
      </c>
      <c r="E1357" s="4" t="s">
        <v>3119</v>
      </c>
      <c r="F1357" s="5">
        <v>45966.999664351853</v>
      </c>
      <c r="G1357" s="16" t="str">
        <f t="shared" si="105"/>
        <v>Silica Sand</v>
      </c>
      <c r="H1357" s="4" t="s">
        <v>2878</v>
      </c>
      <c r="I1357" s="18" t="str" cm="1">
        <f t="array" ref="I1357">_xlfn.LET(_xlpm.text, D1357,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57" s="18" t="str" cm="1">
        <f t="array" ref="J1357">_xlfn.LET(_xlpm.text, E1357,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7" s="14">
        <f t="shared" si="106"/>
        <v>45967</v>
      </c>
      <c r="L1357" s="14">
        <f t="shared" si="107"/>
        <v>45967.624664351853</v>
      </c>
      <c r="N1357" s="12"/>
    </row>
    <row r="1358" spans="1:14" x14ac:dyDescent="0.25">
      <c r="A1358" s="4" t="s">
        <v>1388</v>
      </c>
      <c r="B1358" s="16" t="str">
        <f t="shared" si="103"/>
        <v>GUDHA ASSOCIATES</v>
      </c>
      <c r="C1358" s="16" t="str">
        <f t="shared" si="104"/>
        <v>Samorakhi / Kolayat / Bikaner</v>
      </c>
      <c r="D1358" s="4" t="s">
        <v>3031</v>
      </c>
      <c r="E1358" s="4" t="s">
        <v>3119</v>
      </c>
      <c r="F1358" s="5">
        <v>45966.999664351853</v>
      </c>
      <c r="G1358" s="16" t="str">
        <f t="shared" si="105"/>
        <v>Silica Sand</v>
      </c>
      <c r="H1358" s="4" t="s">
        <v>2580</v>
      </c>
      <c r="I1358" s="18" t="str" cm="1">
        <f t="array" ref="I1358">_xlfn.LET(_xlpm.text, D1358,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58" s="18" t="str" cm="1">
        <f t="array" ref="J1358">_xlfn.LET(_xlpm.text, E1358,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8" s="14">
        <f t="shared" si="106"/>
        <v>45967</v>
      </c>
      <c r="L1358" s="14">
        <f t="shared" si="107"/>
        <v>45967.624664351853</v>
      </c>
      <c r="N1358" s="12"/>
    </row>
    <row r="1359" spans="1:14" x14ac:dyDescent="0.25">
      <c r="A1359" s="4" t="s">
        <v>1389</v>
      </c>
      <c r="B1359" s="16" t="str">
        <f t="shared" si="103"/>
        <v>GUDHA ASSOCIATES</v>
      </c>
      <c r="C1359" s="16" t="str">
        <f t="shared" si="104"/>
        <v>Samorakhi / Kolayat / Bikaner</v>
      </c>
      <c r="D1359" s="4" t="s">
        <v>3031</v>
      </c>
      <c r="E1359" s="4" t="s">
        <v>3119</v>
      </c>
      <c r="F1359" s="5">
        <v>45968.999664351853</v>
      </c>
      <c r="G1359" s="16" t="str">
        <f t="shared" si="105"/>
        <v>Silica Sand</v>
      </c>
      <c r="H1359" s="4" t="s">
        <v>2473</v>
      </c>
      <c r="I1359" s="18" t="str" cm="1">
        <f t="array" ref="I1359">_xlfn.LET(_xlpm.text, D1359,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59" s="18" t="str" cm="1">
        <f t="array" ref="J1359">_xlfn.LET(_xlpm.text, E1359,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59" s="14">
        <f t="shared" si="106"/>
        <v>45969</v>
      </c>
      <c r="L1359" s="14">
        <f t="shared" si="107"/>
        <v>45969.624664351853</v>
      </c>
      <c r="N1359" s="12"/>
    </row>
    <row r="1360" spans="1:14" x14ac:dyDescent="0.25">
      <c r="A1360" s="4" t="s">
        <v>1390</v>
      </c>
      <c r="B1360" s="16" t="str">
        <f t="shared" si="103"/>
        <v>ANIL KUMAR KHICHER</v>
      </c>
      <c r="C1360" s="16" t="str">
        <f t="shared" si="104"/>
        <v>Kishnasar / Nokha / Bikaner</v>
      </c>
      <c r="D1360" s="4" t="s">
        <v>3033</v>
      </c>
      <c r="E1360" s="4" t="s">
        <v>3119</v>
      </c>
      <c r="F1360" s="5">
        <v>45968.999664351853</v>
      </c>
      <c r="G1360" s="16" t="str">
        <f t="shared" si="105"/>
        <v>Silica Sand</v>
      </c>
      <c r="H1360" s="4" t="s">
        <v>2879</v>
      </c>
      <c r="I1360" s="18" t="str" cm="1">
        <f t="array" ref="I1360">_xlfn.LET(_xlpm.text, D1360,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60" s="18" t="str" cm="1">
        <f t="array" ref="J1360">_xlfn.LET(_xlpm.text, E1360,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0" s="14">
        <f t="shared" si="106"/>
        <v>45969</v>
      </c>
      <c r="L1360" s="14">
        <f t="shared" si="107"/>
        <v>45969.624664351853</v>
      </c>
      <c r="N1360" s="12"/>
    </row>
    <row r="1361" spans="1:14" x14ac:dyDescent="0.25">
      <c r="A1361" s="4" t="s">
        <v>1391</v>
      </c>
      <c r="B1361" s="16" t="str">
        <f t="shared" si="103"/>
        <v>ANIL KUMAR KHICHER</v>
      </c>
      <c r="C1361" s="16" t="str">
        <f t="shared" si="104"/>
        <v>Kishnasar / Nokha / Bikaner</v>
      </c>
      <c r="D1361" s="4" t="s">
        <v>3033</v>
      </c>
      <c r="E1361" s="4" t="s">
        <v>3119</v>
      </c>
      <c r="F1361" s="5">
        <v>45968.999664351853</v>
      </c>
      <c r="G1361" s="16" t="str">
        <f t="shared" si="105"/>
        <v>Silica Sand</v>
      </c>
      <c r="H1361" s="4" t="s">
        <v>2880</v>
      </c>
      <c r="I1361" s="18" t="str" cm="1">
        <f t="array" ref="I1361">_xlfn.LET(_xlpm.text, D1361,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61" s="18" t="str" cm="1">
        <f t="array" ref="J1361">_xlfn.LET(_xlpm.text, E1361,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1" s="14">
        <f t="shared" si="106"/>
        <v>45969</v>
      </c>
      <c r="L1361" s="14">
        <f t="shared" si="107"/>
        <v>45969.624664351853</v>
      </c>
      <c r="N1361" s="12"/>
    </row>
    <row r="1362" spans="1:14" x14ac:dyDescent="0.25">
      <c r="A1362" s="4" t="s">
        <v>1392</v>
      </c>
      <c r="B1362" s="16" t="str">
        <f t="shared" si="103"/>
        <v>ANIL KUMAR KHICHER</v>
      </c>
      <c r="C1362" s="16" t="str">
        <f t="shared" si="104"/>
        <v>Kishnasar / Nokha / Bikaner</v>
      </c>
      <c r="D1362" s="4" t="s">
        <v>3033</v>
      </c>
      <c r="E1362" s="4" t="s">
        <v>3119</v>
      </c>
      <c r="F1362" s="5">
        <v>45968.999664351853</v>
      </c>
      <c r="G1362" s="16" t="str">
        <f t="shared" si="105"/>
        <v>Silica Sand</v>
      </c>
      <c r="H1362" s="4" t="s">
        <v>2879</v>
      </c>
      <c r="I1362" s="18" t="str" cm="1">
        <f t="array" ref="I1362">_xlfn.LET(_xlpm.text, D1362,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62" s="18" t="str" cm="1">
        <f t="array" ref="J1362">_xlfn.LET(_xlpm.text, E1362,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2" s="14">
        <f t="shared" si="106"/>
        <v>45969</v>
      </c>
      <c r="L1362" s="14">
        <f t="shared" si="107"/>
        <v>45969.624664351853</v>
      </c>
      <c r="N1362" s="12"/>
    </row>
    <row r="1363" spans="1:14" x14ac:dyDescent="0.25">
      <c r="A1363" s="4" t="s">
        <v>1393</v>
      </c>
      <c r="B1363" s="16" t="str">
        <f t="shared" si="103"/>
        <v>ANIL KUMAR KHICHER</v>
      </c>
      <c r="C1363" s="16" t="str">
        <f t="shared" si="104"/>
        <v>Kishnasar / Nokha / Bikaner</v>
      </c>
      <c r="D1363" s="4" t="s">
        <v>3032</v>
      </c>
      <c r="E1363" s="4" t="s">
        <v>3119</v>
      </c>
      <c r="F1363" s="5">
        <v>45971.999664351853</v>
      </c>
      <c r="G1363" s="16" t="str">
        <f t="shared" si="105"/>
        <v>Silica Sand</v>
      </c>
      <c r="H1363" s="4" t="s">
        <v>2661</v>
      </c>
      <c r="I1363" s="18" t="str" cm="1">
        <f t="array" ref="I1363">_xlfn.LET(_xlpm.text, D1363,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363" s="18" t="str" cm="1">
        <f t="array" ref="J1363">_xlfn.LET(_xlpm.text, E1363,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3" s="14">
        <f t="shared" si="106"/>
        <v>45972</v>
      </c>
      <c r="L1363" s="14">
        <f t="shared" si="107"/>
        <v>45972.624664351853</v>
      </c>
      <c r="N1363" s="12"/>
    </row>
    <row r="1364" spans="1:14" x14ac:dyDescent="0.25">
      <c r="A1364" s="4" t="s">
        <v>1394</v>
      </c>
      <c r="B1364" s="16" t="str">
        <f t="shared" si="103"/>
        <v>ANIL KUMAR KHICHER</v>
      </c>
      <c r="C1364" s="16" t="str">
        <f t="shared" si="104"/>
        <v>Kishnasar / Nokha / Bikaner</v>
      </c>
      <c r="D1364" s="4" t="s">
        <v>3032</v>
      </c>
      <c r="E1364" s="4" t="s">
        <v>3119</v>
      </c>
      <c r="F1364" s="5">
        <v>45972.999664351853</v>
      </c>
      <c r="G1364" s="16" t="str">
        <f t="shared" si="105"/>
        <v>Silica Sand</v>
      </c>
      <c r="H1364" s="4" t="s">
        <v>2661</v>
      </c>
      <c r="I1364" s="18" t="str" cm="1">
        <f t="array" ref="I1364">_xlfn.LET(_xlpm.text, D1364,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364" s="18" t="str" cm="1">
        <f t="array" ref="J1364">_xlfn.LET(_xlpm.text, E1364,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4" s="14">
        <f t="shared" si="106"/>
        <v>45973</v>
      </c>
      <c r="L1364" s="14">
        <f t="shared" si="107"/>
        <v>45973.624664351853</v>
      </c>
      <c r="N1364" s="12"/>
    </row>
    <row r="1365" spans="1:14" x14ac:dyDescent="0.25">
      <c r="A1365" s="4" t="s">
        <v>1395</v>
      </c>
      <c r="B1365" s="16" t="str">
        <f t="shared" si="103"/>
        <v>S.R.MINES AND MINERLS</v>
      </c>
      <c r="C1365" s="16" t="str">
        <f t="shared" si="104"/>
        <v>Indo Ka Bala / Kolayat / Bikaner</v>
      </c>
      <c r="D1365" s="4" t="s">
        <v>3034</v>
      </c>
      <c r="E1365" s="4" t="s">
        <v>3119</v>
      </c>
      <c r="F1365" s="5">
        <v>45973.999664351853</v>
      </c>
      <c r="G1365" s="16" t="str">
        <f t="shared" si="105"/>
        <v>Silica Sand</v>
      </c>
      <c r="H1365" s="4" t="s">
        <v>2881</v>
      </c>
      <c r="I1365" s="18" t="str" cm="1">
        <f t="array" ref="I1365">_xlfn.LET(_xlpm.text, D1365,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65" s="18" t="str" cm="1">
        <f t="array" ref="J1365">_xlfn.LET(_xlpm.text, E1365,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5" s="14">
        <f t="shared" si="106"/>
        <v>45974</v>
      </c>
      <c r="L1365" s="14">
        <f t="shared" si="107"/>
        <v>45974.624664351853</v>
      </c>
      <c r="N1365" s="12"/>
    </row>
    <row r="1366" spans="1:14" x14ac:dyDescent="0.25">
      <c r="A1366" s="4" t="s">
        <v>1396</v>
      </c>
      <c r="B1366" s="16" t="str">
        <f t="shared" si="103"/>
        <v>S.R.MINES AND MINERLS</v>
      </c>
      <c r="C1366" s="16" t="str">
        <f t="shared" si="104"/>
        <v>Indo Ka Bala / Kolayat / Bikaner</v>
      </c>
      <c r="D1366" s="4" t="s">
        <v>3034</v>
      </c>
      <c r="E1366" s="4" t="s">
        <v>3119</v>
      </c>
      <c r="F1366" s="5">
        <v>45973.999664351853</v>
      </c>
      <c r="G1366" s="16" t="str">
        <f t="shared" si="105"/>
        <v>Silica Sand</v>
      </c>
      <c r="H1366" s="4" t="s">
        <v>2661</v>
      </c>
      <c r="I1366" s="18" t="str" cm="1">
        <f t="array" ref="I1366">_xlfn.LET(_xlpm.text, D1366,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66" s="18" t="str" cm="1">
        <f t="array" ref="J1366">_xlfn.LET(_xlpm.text, E1366,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6" s="14">
        <f t="shared" si="106"/>
        <v>45974</v>
      </c>
      <c r="L1366" s="14">
        <f t="shared" si="107"/>
        <v>45974.624664351853</v>
      </c>
      <c r="N1366" s="12"/>
    </row>
    <row r="1367" spans="1:14" x14ac:dyDescent="0.25">
      <c r="A1367" s="4" t="s">
        <v>1397</v>
      </c>
      <c r="B1367" s="16" t="str">
        <f t="shared" si="103"/>
        <v>GUDHA ASSOCIATES</v>
      </c>
      <c r="C1367" s="16" t="str">
        <f t="shared" si="104"/>
        <v>Samorakhi / Kolayat / Bikaner</v>
      </c>
      <c r="D1367" s="4" t="s">
        <v>3031</v>
      </c>
      <c r="E1367" s="4" t="s">
        <v>3119</v>
      </c>
      <c r="F1367" s="5">
        <v>45973.999664351853</v>
      </c>
      <c r="G1367" s="16" t="str">
        <f t="shared" si="105"/>
        <v>Silica Sand</v>
      </c>
      <c r="H1367" s="4" t="s">
        <v>412</v>
      </c>
      <c r="I1367" s="18" t="str" cm="1">
        <f t="array" ref="I1367">_xlfn.LET(_xlpm.text, D1367,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67" s="18" t="str" cm="1">
        <f t="array" ref="J1367">_xlfn.LET(_xlpm.text, E1367,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7" s="14">
        <f t="shared" si="106"/>
        <v>45974</v>
      </c>
      <c r="L1367" s="14">
        <f t="shared" si="107"/>
        <v>45974.624664351853</v>
      </c>
      <c r="N1367" s="12"/>
    </row>
    <row r="1368" spans="1:14" x14ac:dyDescent="0.25">
      <c r="A1368" s="4" t="s">
        <v>1398</v>
      </c>
      <c r="B1368" s="16" t="str">
        <f t="shared" si="103"/>
        <v>GUDHA ASSOCIATES</v>
      </c>
      <c r="C1368" s="16" t="str">
        <f t="shared" si="104"/>
        <v>Samorakhi / Kolayat / Bikaner</v>
      </c>
      <c r="D1368" s="4" t="s">
        <v>3031</v>
      </c>
      <c r="E1368" s="4" t="s">
        <v>3119</v>
      </c>
      <c r="F1368" s="5">
        <v>45973.999664351853</v>
      </c>
      <c r="G1368" s="16" t="str">
        <f t="shared" si="105"/>
        <v>Silica Sand</v>
      </c>
      <c r="H1368" s="4" t="s">
        <v>2881</v>
      </c>
      <c r="I1368" s="18" t="str" cm="1">
        <f t="array" ref="I1368">_xlfn.LET(_xlpm.text, D1368,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68" s="18" t="str" cm="1">
        <f t="array" ref="J1368">_xlfn.LET(_xlpm.text, E1368,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8" s="14">
        <f t="shared" si="106"/>
        <v>45974</v>
      </c>
      <c r="L1368" s="14">
        <f t="shared" si="107"/>
        <v>45974.624664351853</v>
      </c>
      <c r="N1368" s="12"/>
    </row>
    <row r="1369" spans="1:14" x14ac:dyDescent="0.25">
      <c r="A1369" s="4" t="s">
        <v>1399</v>
      </c>
      <c r="B1369" s="16" t="str">
        <f t="shared" si="103"/>
        <v>GUDHA ASSOCIATES</v>
      </c>
      <c r="C1369" s="16" t="str">
        <f t="shared" si="104"/>
        <v>Samorakhi / Kolayat / Bikaner</v>
      </c>
      <c r="D1369" s="4" t="s">
        <v>3031</v>
      </c>
      <c r="E1369" s="4" t="s">
        <v>3119</v>
      </c>
      <c r="F1369" s="5">
        <v>45973.999664351853</v>
      </c>
      <c r="G1369" s="16" t="str">
        <f t="shared" si="105"/>
        <v>Silica Sand</v>
      </c>
      <c r="H1369" s="4" t="s">
        <v>411</v>
      </c>
      <c r="I1369" s="18" t="str" cm="1">
        <f t="array" ref="I1369">_xlfn.LET(_xlpm.text, D1369,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69" s="18" t="str" cm="1">
        <f t="array" ref="J1369">_xlfn.LET(_xlpm.text, E1369,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69" s="14">
        <f t="shared" si="106"/>
        <v>45974</v>
      </c>
      <c r="L1369" s="14">
        <f t="shared" si="107"/>
        <v>45974.624664351853</v>
      </c>
      <c r="N1369" s="12"/>
    </row>
    <row r="1370" spans="1:14" x14ac:dyDescent="0.25">
      <c r="A1370" s="4" t="s">
        <v>1400</v>
      </c>
      <c r="B1370" s="16" t="str">
        <f t="shared" si="103"/>
        <v>GUDHA ASSOCIATES</v>
      </c>
      <c r="C1370" s="16" t="str">
        <f t="shared" si="104"/>
        <v>Samorakhi / Kolayat / Bikaner</v>
      </c>
      <c r="D1370" s="4" t="s">
        <v>3031</v>
      </c>
      <c r="E1370" s="4" t="s">
        <v>3119</v>
      </c>
      <c r="F1370" s="5">
        <v>45973.999664351853</v>
      </c>
      <c r="G1370" s="16" t="str">
        <f t="shared" si="105"/>
        <v>Silica Sand</v>
      </c>
      <c r="H1370" s="4" t="s">
        <v>2661</v>
      </c>
      <c r="I1370" s="18" t="str" cm="1">
        <f t="array" ref="I1370">_xlfn.LET(_xlpm.text, D1370,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70" s="18" t="str" cm="1">
        <f t="array" ref="J1370">_xlfn.LET(_xlpm.text, E1370,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0" s="14">
        <f t="shared" si="106"/>
        <v>45974</v>
      </c>
      <c r="L1370" s="14">
        <f t="shared" si="107"/>
        <v>45974.624664351853</v>
      </c>
      <c r="N1370" s="12"/>
    </row>
    <row r="1371" spans="1:14" x14ac:dyDescent="0.25">
      <c r="A1371" s="4" t="s">
        <v>1401</v>
      </c>
      <c r="B1371" s="16" t="str">
        <f t="shared" si="103"/>
        <v>J.V MINES AND MINERALS</v>
      </c>
      <c r="C1371" s="16" t="str">
        <f t="shared" si="104"/>
        <v>Golari / Kolayat / Bikaner</v>
      </c>
      <c r="D1371" s="4" t="s">
        <v>3033</v>
      </c>
      <c r="E1371" s="4" t="s">
        <v>3119</v>
      </c>
      <c r="F1371" s="5">
        <v>45973.999664351853</v>
      </c>
      <c r="G1371" s="16" t="str">
        <f t="shared" si="105"/>
        <v>Silica Sand</v>
      </c>
      <c r="H1371" s="4" t="s">
        <v>2882</v>
      </c>
      <c r="I1371" s="18" t="str" cm="1">
        <f t="array" ref="I1371">_xlfn.LET(_xlpm.text, D1371,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71" s="18" t="str" cm="1">
        <f t="array" ref="J1371">_xlfn.LET(_xlpm.text, E1371,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1" s="14">
        <f t="shared" si="106"/>
        <v>45974</v>
      </c>
      <c r="L1371" s="14">
        <f t="shared" si="107"/>
        <v>45974.624664351853</v>
      </c>
      <c r="N1371" s="12"/>
    </row>
    <row r="1372" spans="1:14" x14ac:dyDescent="0.25">
      <c r="A1372" s="4" t="s">
        <v>1402</v>
      </c>
      <c r="B1372" s="16" t="str">
        <f t="shared" si="103"/>
        <v>GUDHA ASSOCIATES</v>
      </c>
      <c r="C1372" s="16" t="str">
        <f t="shared" si="104"/>
        <v>Samorakhi / Kolayat / Bikaner</v>
      </c>
      <c r="D1372" s="4" t="s">
        <v>3032</v>
      </c>
      <c r="E1372" s="4" t="s">
        <v>3119</v>
      </c>
      <c r="F1372" s="5">
        <v>45975.999664351853</v>
      </c>
      <c r="G1372" s="16" t="str">
        <f t="shared" si="105"/>
        <v>Silica Sand</v>
      </c>
      <c r="H1372" s="4" t="s">
        <v>410</v>
      </c>
      <c r="I1372" s="18" t="str" cm="1">
        <f t="array" ref="I1372">_xlfn.LET(_xlpm.text, D1372,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372" s="18" t="str" cm="1">
        <f t="array" ref="J1372">_xlfn.LET(_xlpm.text, E1372,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2" s="14">
        <f t="shared" si="106"/>
        <v>45976</v>
      </c>
      <c r="L1372" s="14">
        <f t="shared" si="107"/>
        <v>45976.624664351853</v>
      </c>
      <c r="N1372" s="12"/>
    </row>
    <row r="1373" spans="1:14" x14ac:dyDescent="0.25">
      <c r="A1373" s="4" t="s">
        <v>1403</v>
      </c>
      <c r="B1373" s="16" t="str">
        <f t="shared" si="103"/>
        <v>GUDHA ASSOCIATES</v>
      </c>
      <c r="C1373" s="16" t="str">
        <f t="shared" si="104"/>
        <v>Samorakhi / Kolayat / Bikaner</v>
      </c>
      <c r="D1373" s="4" t="s">
        <v>3032</v>
      </c>
      <c r="E1373" s="4" t="s">
        <v>3119</v>
      </c>
      <c r="F1373" s="5">
        <v>45975.999664351853</v>
      </c>
      <c r="G1373" s="16" t="str">
        <f t="shared" si="105"/>
        <v>Silica Sand</v>
      </c>
      <c r="H1373" s="4" t="s">
        <v>412</v>
      </c>
      <c r="I1373" s="18" t="str" cm="1">
        <f t="array" ref="I1373">_xlfn.LET(_xlpm.text, D1373,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373" s="18" t="str" cm="1">
        <f t="array" ref="J1373">_xlfn.LET(_xlpm.text, E1373,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3" s="14">
        <f t="shared" si="106"/>
        <v>45976</v>
      </c>
      <c r="L1373" s="14">
        <f t="shared" si="107"/>
        <v>45976.624664351853</v>
      </c>
      <c r="N1373" s="12"/>
    </row>
    <row r="1374" spans="1:14" x14ac:dyDescent="0.25">
      <c r="A1374" s="4" t="s">
        <v>1404</v>
      </c>
      <c r="B1374" s="16" t="str">
        <f t="shared" si="103"/>
        <v>GUDHA ASSOCIATES</v>
      </c>
      <c r="C1374" s="16" t="str">
        <f t="shared" si="104"/>
        <v>Samorakhi / Kolayat / Bikaner</v>
      </c>
      <c r="D1374" s="4" t="s">
        <v>3032</v>
      </c>
      <c r="E1374" s="4" t="s">
        <v>3119</v>
      </c>
      <c r="F1374" s="5">
        <v>45975.999664351853</v>
      </c>
      <c r="G1374" s="16" t="str">
        <f t="shared" si="105"/>
        <v>Silica Sand</v>
      </c>
      <c r="H1374" s="4" t="s">
        <v>412</v>
      </c>
      <c r="I1374" s="18" t="str" cm="1">
        <f t="array" ref="I1374">_xlfn.LET(_xlpm.text, D1374,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374" s="18" t="str" cm="1">
        <f t="array" ref="J1374">_xlfn.LET(_xlpm.text, E1374,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4" s="14">
        <f t="shared" si="106"/>
        <v>45976</v>
      </c>
      <c r="L1374" s="14">
        <f t="shared" si="107"/>
        <v>45976.624664351853</v>
      </c>
      <c r="N1374" s="12"/>
    </row>
    <row r="1375" spans="1:14" x14ac:dyDescent="0.25">
      <c r="A1375" s="4" t="s">
        <v>1405</v>
      </c>
      <c r="B1375" s="16" t="str">
        <f t="shared" si="103"/>
        <v>GUDHA ASSOCIATES</v>
      </c>
      <c r="C1375" s="16" t="str">
        <f t="shared" si="104"/>
        <v>Samorakhi / Kolayat / Bikaner</v>
      </c>
      <c r="D1375" s="4" t="s">
        <v>3032</v>
      </c>
      <c r="E1375" s="4" t="s">
        <v>3119</v>
      </c>
      <c r="F1375" s="5">
        <v>45975.999664351853</v>
      </c>
      <c r="G1375" s="16" t="str">
        <f t="shared" si="105"/>
        <v>Silica Sand</v>
      </c>
      <c r="H1375" s="4" t="s">
        <v>410</v>
      </c>
      <c r="I1375" s="18" t="str" cm="1">
        <f t="array" ref="I1375">_xlfn.LET(_xlpm.text, D1375,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375" s="18" t="str" cm="1">
        <f t="array" ref="J1375">_xlfn.LET(_xlpm.text, E1375,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5" s="14">
        <f t="shared" si="106"/>
        <v>45976</v>
      </c>
      <c r="L1375" s="14">
        <f t="shared" si="107"/>
        <v>45976.624664351853</v>
      </c>
      <c r="N1375" s="12"/>
    </row>
    <row r="1376" spans="1:14" x14ac:dyDescent="0.25">
      <c r="A1376" s="4" t="s">
        <v>1406</v>
      </c>
      <c r="B1376" s="16" t="str">
        <f t="shared" si="103"/>
        <v>J.V MINES AND MINERALS</v>
      </c>
      <c r="C1376" s="16" t="str">
        <f t="shared" si="104"/>
        <v>Golari / Kolayat / Bikaner</v>
      </c>
      <c r="D1376" s="4" t="s">
        <v>3033</v>
      </c>
      <c r="E1376" s="4" t="s">
        <v>3119</v>
      </c>
      <c r="F1376" s="5">
        <v>45976.999664351853</v>
      </c>
      <c r="G1376" s="16" t="str">
        <f t="shared" si="105"/>
        <v>Silica Sand</v>
      </c>
      <c r="H1376" s="4" t="s">
        <v>2883</v>
      </c>
      <c r="I1376" s="18" t="str" cm="1">
        <f t="array" ref="I1376">_xlfn.LET(_xlpm.text, D1376,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76" s="18" t="str" cm="1">
        <f t="array" ref="J1376">_xlfn.LET(_xlpm.text, E1376,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6" s="14">
        <f t="shared" si="106"/>
        <v>45977</v>
      </c>
      <c r="L1376" s="14">
        <f t="shared" si="107"/>
        <v>45977.624664351853</v>
      </c>
      <c r="N1376" s="12"/>
    </row>
    <row r="1377" spans="1:14" x14ac:dyDescent="0.25">
      <c r="A1377" s="4" t="s">
        <v>1407</v>
      </c>
      <c r="B1377" s="16" t="str">
        <f t="shared" si="103"/>
        <v>GUDHA ASSOCIATES</v>
      </c>
      <c r="C1377" s="16" t="str">
        <f t="shared" si="104"/>
        <v>Samorakhi / Kolayat / Bikaner</v>
      </c>
      <c r="D1377" s="4" t="s">
        <v>3031</v>
      </c>
      <c r="E1377" s="4" t="s">
        <v>3119</v>
      </c>
      <c r="F1377" s="5">
        <v>45978.999664351853</v>
      </c>
      <c r="G1377" s="16" t="str">
        <f t="shared" si="105"/>
        <v>Silica Sand</v>
      </c>
      <c r="H1377" s="4" t="s">
        <v>2661</v>
      </c>
      <c r="I1377" s="18" t="str" cm="1">
        <f t="array" ref="I1377">_xlfn.LET(_xlpm.text, D1377,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77" s="18" t="str" cm="1">
        <f t="array" ref="J1377">_xlfn.LET(_xlpm.text, E1377,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7" s="14">
        <f t="shared" si="106"/>
        <v>45979</v>
      </c>
      <c r="L1377" s="14">
        <f t="shared" si="107"/>
        <v>45979.624664351853</v>
      </c>
      <c r="N1377" s="12"/>
    </row>
    <row r="1378" spans="1:14" x14ac:dyDescent="0.25">
      <c r="A1378" s="4" t="s">
        <v>1408</v>
      </c>
      <c r="B1378" s="16" t="str">
        <f t="shared" si="103"/>
        <v>GUDHA ASSOCIATES</v>
      </c>
      <c r="C1378" s="16" t="str">
        <f t="shared" si="104"/>
        <v>Samorakhi / Kolayat / Bikaner</v>
      </c>
      <c r="D1378" s="4" t="s">
        <v>3031</v>
      </c>
      <c r="E1378" s="4" t="s">
        <v>3119</v>
      </c>
      <c r="F1378" s="5">
        <v>45979.999664351853</v>
      </c>
      <c r="G1378" s="16" t="str">
        <f t="shared" si="105"/>
        <v>Silica Sand</v>
      </c>
      <c r="H1378" s="4" t="s">
        <v>411</v>
      </c>
      <c r="I1378" s="18" t="str" cm="1">
        <f t="array" ref="I1378">_xlfn.LET(_xlpm.text, D1378,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78" s="18" t="str" cm="1">
        <f t="array" ref="J1378">_xlfn.LET(_xlpm.text, E1378,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8" s="14">
        <f t="shared" si="106"/>
        <v>45980</v>
      </c>
      <c r="L1378" s="14">
        <f t="shared" si="107"/>
        <v>45980.624664351853</v>
      </c>
      <c r="N1378" s="12"/>
    </row>
    <row r="1379" spans="1:14" x14ac:dyDescent="0.25">
      <c r="A1379" s="4" t="s">
        <v>1409</v>
      </c>
      <c r="B1379" s="16" t="str">
        <f t="shared" si="103"/>
        <v>GUDHA ASSOCIATES</v>
      </c>
      <c r="C1379" s="16" t="str">
        <f t="shared" si="104"/>
        <v>Samorakhi / Kolayat / Bikaner</v>
      </c>
      <c r="D1379" s="4" t="s">
        <v>3031</v>
      </c>
      <c r="E1379" s="4" t="s">
        <v>3119</v>
      </c>
      <c r="F1379" s="5">
        <v>45979.999664351853</v>
      </c>
      <c r="G1379" s="16" t="str">
        <f t="shared" si="105"/>
        <v>Silica Sand</v>
      </c>
      <c r="H1379" s="4" t="s">
        <v>412</v>
      </c>
      <c r="I1379" s="18" t="str" cm="1">
        <f t="array" ref="I1379">_xlfn.LET(_xlpm.text, D1379,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79" s="18" t="str" cm="1">
        <f t="array" ref="J1379">_xlfn.LET(_xlpm.text, E1379,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79" s="14">
        <f t="shared" si="106"/>
        <v>45980</v>
      </c>
      <c r="L1379" s="14">
        <f t="shared" si="107"/>
        <v>45980.624664351853</v>
      </c>
      <c r="N1379" s="12"/>
    </row>
    <row r="1380" spans="1:14" x14ac:dyDescent="0.25">
      <c r="A1380" s="4" t="s">
        <v>1410</v>
      </c>
      <c r="B1380" s="16" t="str">
        <f t="shared" si="103"/>
        <v>GUDHA ASSOCIATES</v>
      </c>
      <c r="C1380" s="16" t="str">
        <f t="shared" si="104"/>
        <v>Samorakhi / Kolayat / Bikaner</v>
      </c>
      <c r="D1380" s="4" t="s">
        <v>3031</v>
      </c>
      <c r="E1380" s="4" t="s">
        <v>3119</v>
      </c>
      <c r="F1380" s="5">
        <v>45984.999664351853</v>
      </c>
      <c r="G1380" s="16" t="str">
        <f t="shared" si="105"/>
        <v>Silica Sand</v>
      </c>
      <c r="H1380" s="4" t="s">
        <v>2661</v>
      </c>
      <c r="I1380" s="18" t="str" cm="1">
        <f t="array" ref="I1380">_xlfn.LET(_xlpm.text, D1380,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0" s="18" t="str" cm="1">
        <f t="array" ref="J1380">_xlfn.LET(_xlpm.text, E1380,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0" s="14">
        <f t="shared" si="106"/>
        <v>45985</v>
      </c>
      <c r="L1380" s="14">
        <f t="shared" si="107"/>
        <v>45985.624664351853</v>
      </c>
      <c r="N1380" s="12"/>
    </row>
    <row r="1381" spans="1:14" x14ac:dyDescent="0.25">
      <c r="A1381" s="4" t="s">
        <v>1411</v>
      </c>
      <c r="B1381" s="16" t="str">
        <f t="shared" si="103"/>
        <v>GUDHA ASSOCIATES</v>
      </c>
      <c r="C1381" s="16" t="str">
        <f t="shared" si="104"/>
        <v>Samorakhi / Kolayat / Bikaner</v>
      </c>
      <c r="D1381" s="4" t="s">
        <v>3031</v>
      </c>
      <c r="E1381" s="4" t="s">
        <v>3119</v>
      </c>
      <c r="F1381" s="5">
        <v>45985.999664351853</v>
      </c>
      <c r="G1381" s="16" t="str">
        <f t="shared" si="105"/>
        <v>Silica Sand</v>
      </c>
      <c r="H1381" s="4" t="s">
        <v>2488</v>
      </c>
      <c r="I1381" s="18" t="str" cm="1">
        <f t="array" ref="I1381">_xlfn.LET(_xlpm.text, D1381,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1" s="18" t="str" cm="1">
        <f t="array" ref="J1381">_xlfn.LET(_xlpm.text, E1381,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1" s="14">
        <f t="shared" si="106"/>
        <v>45986</v>
      </c>
      <c r="L1381" s="14">
        <f t="shared" si="107"/>
        <v>45986.624664351853</v>
      </c>
      <c r="N1381" s="12"/>
    </row>
    <row r="1382" spans="1:14" x14ac:dyDescent="0.25">
      <c r="A1382" s="4" t="s">
        <v>1412</v>
      </c>
      <c r="B1382" s="16" t="str">
        <f t="shared" si="103"/>
        <v>GUDHA ASSOCIATES</v>
      </c>
      <c r="C1382" s="16" t="str">
        <f t="shared" si="104"/>
        <v>Samorakhi / Kolayat / Bikaner</v>
      </c>
      <c r="D1382" s="4" t="s">
        <v>3031</v>
      </c>
      <c r="E1382" s="4" t="s">
        <v>3119</v>
      </c>
      <c r="F1382" s="5">
        <v>45985.999664351853</v>
      </c>
      <c r="G1382" s="16" t="str">
        <f t="shared" si="105"/>
        <v>Silica Sand</v>
      </c>
      <c r="H1382" s="4" t="s">
        <v>411</v>
      </c>
      <c r="I1382" s="18" t="str" cm="1">
        <f t="array" ref="I1382">_xlfn.LET(_xlpm.text, D1382,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2" s="18" t="str" cm="1">
        <f t="array" ref="J1382">_xlfn.LET(_xlpm.text, E1382,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2" s="14">
        <f t="shared" si="106"/>
        <v>45986</v>
      </c>
      <c r="L1382" s="14">
        <f t="shared" si="107"/>
        <v>45986.624664351853</v>
      </c>
      <c r="N1382" s="12"/>
    </row>
    <row r="1383" spans="1:14" x14ac:dyDescent="0.25">
      <c r="A1383" s="4" t="s">
        <v>1413</v>
      </c>
      <c r="B1383" s="16" t="str">
        <f t="shared" si="103"/>
        <v>GUDHA ASSOCIATES</v>
      </c>
      <c r="C1383" s="16" t="str">
        <f t="shared" si="104"/>
        <v>Samorakhi / Kolayat / Bikaner</v>
      </c>
      <c r="D1383" s="4" t="s">
        <v>3031</v>
      </c>
      <c r="E1383" s="4" t="s">
        <v>3119</v>
      </c>
      <c r="F1383" s="5">
        <v>45985.999664351853</v>
      </c>
      <c r="G1383" s="16" t="str">
        <f t="shared" si="105"/>
        <v>Silica Sand</v>
      </c>
      <c r="H1383" s="4" t="s">
        <v>2488</v>
      </c>
      <c r="I1383" s="18" t="str" cm="1">
        <f t="array" ref="I1383">_xlfn.LET(_xlpm.text, D1383,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3" s="18" t="str" cm="1">
        <f t="array" ref="J1383">_xlfn.LET(_xlpm.text, E1383,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3" s="14">
        <f t="shared" si="106"/>
        <v>45986</v>
      </c>
      <c r="L1383" s="14">
        <f t="shared" si="107"/>
        <v>45986.624664351853</v>
      </c>
      <c r="N1383" s="12"/>
    </row>
    <row r="1384" spans="1:14" x14ac:dyDescent="0.25">
      <c r="A1384" s="4" t="s">
        <v>1414</v>
      </c>
      <c r="B1384" s="16" t="str">
        <f t="shared" si="103"/>
        <v>GUDHA ASSOCIATES</v>
      </c>
      <c r="C1384" s="16" t="str">
        <f t="shared" si="104"/>
        <v>Samorakhi / Kolayat / Bikaner</v>
      </c>
      <c r="D1384" s="4" t="s">
        <v>3031</v>
      </c>
      <c r="E1384" s="4" t="s">
        <v>3119</v>
      </c>
      <c r="F1384" s="5">
        <v>45985.999664351853</v>
      </c>
      <c r="G1384" s="16" t="str">
        <f t="shared" si="105"/>
        <v>Silica Sand</v>
      </c>
      <c r="H1384" s="4" t="s">
        <v>2881</v>
      </c>
      <c r="I1384" s="18" t="str" cm="1">
        <f t="array" ref="I1384">_xlfn.LET(_xlpm.text, D1384,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4" s="18" t="str" cm="1">
        <f t="array" ref="J1384">_xlfn.LET(_xlpm.text, E1384,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4" s="14">
        <f t="shared" si="106"/>
        <v>45986</v>
      </c>
      <c r="L1384" s="14">
        <f t="shared" si="107"/>
        <v>45986.624664351853</v>
      </c>
      <c r="N1384" s="12"/>
    </row>
    <row r="1385" spans="1:14" x14ac:dyDescent="0.25">
      <c r="A1385" s="4" t="s">
        <v>1415</v>
      </c>
      <c r="B1385" s="16" t="str">
        <f t="shared" si="103"/>
        <v>GUDHA ASSOCIATES</v>
      </c>
      <c r="C1385" s="16" t="str">
        <f t="shared" si="104"/>
        <v>Samorakhi / Kolayat / Bikaner</v>
      </c>
      <c r="D1385" s="4" t="s">
        <v>3031</v>
      </c>
      <c r="E1385" s="4" t="s">
        <v>3119</v>
      </c>
      <c r="F1385" s="5">
        <v>45986.999664351853</v>
      </c>
      <c r="G1385" s="16" t="str">
        <f t="shared" si="105"/>
        <v>Silica Sand</v>
      </c>
      <c r="H1385" s="4" t="s">
        <v>2881</v>
      </c>
      <c r="I1385" s="18" t="str" cm="1">
        <f t="array" ref="I1385">_xlfn.LET(_xlpm.text, D1385,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5" s="18" t="str" cm="1">
        <f t="array" ref="J1385">_xlfn.LET(_xlpm.text, E1385,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5" s="14">
        <f t="shared" si="106"/>
        <v>45987</v>
      </c>
      <c r="L1385" s="14">
        <f t="shared" si="107"/>
        <v>45987.624664351853</v>
      </c>
      <c r="N1385" s="12"/>
    </row>
    <row r="1386" spans="1:14" x14ac:dyDescent="0.25">
      <c r="A1386" s="4" t="s">
        <v>1416</v>
      </c>
      <c r="B1386" s="16" t="str">
        <f t="shared" si="103"/>
        <v>GUDHA ASSOCIATES</v>
      </c>
      <c r="C1386" s="16" t="str">
        <f t="shared" si="104"/>
        <v>Samorakhi / Kolayat / Bikaner</v>
      </c>
      <c r="D1386" s="4" t="s">
        <v>3031</v>
      </c>
      <c r="E1386" s="4" t="s">
        <v>3119</v>
      </c>
      <c r="F1386" s="5">
        <v>45986.999664351853</v>
      </c>
      <c r="G1386" s="16" t="str">
        <f t="shared" si="105"/>
        <v>Silica Sand</v>
      </c>
      <c r="H1386" s="4" t="s">
        <v>2263</v>
      </c>
      <c r="I1386" s="18" t="str" cm="1">
        <f t="array" ref="I1386">_xlfn.LET(_xlpm.text, D1386,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86" s="18" t="str" cm="1">
        <f t="array" ref="J1386">_xlfn.LET(_xlpm.text, E1386,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6" s="14">
        <f t="shared" si="106"/>
        <v>45987</v>
      </c>
      <c r="L1386" s="14">
        <f t="shared" si="107"/>
        <v>45987.624664351853</v>
      </c>
      <c r="N1386" s="12"/>
    </row>
    <row r="1387" spans="1:14" x14ac:dyDescent="0.25">
      <c r="A1387" s="4" t="s">
        <v>1417</v>
      </c>
      <c r="B1387" s="16" t="str">
        <f t="shared" si="103"/>
        <v>MANOJ NAYAK</v>
      </c>
      <c r="C1387" s="16" t="str">
        <f t="shared" si="104"/>
        <v>Gangapura Chak No.7 / Kolayat / Bikaner</v>
      </c>
      <c r="D1387" s="4" t="s">
        <v>3033</v>
      </c>
      <c r="E1387" s="4" t="s">
        <v>3119</v>
      </c>
      <c r="F1387" s="5">
        <v>45986.999664351853</v>
      </c>
      <c r="G1387" s="16" t="str">
        <f t="shared" si="105"/>
        <v>Silica Sand</v>
      </c>
      <c r="H1387" s="4" t="s">
        <v>2884</v>
      </c>
      <c r="I1387" s="18" t="str" cm="1">
        <f t="array" ref="I1387">_xlfn.LET(_xlpm.text, D1387,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87" s="18" t="str" cm="1">
        <f t="array" ref="J1387">_xlfn.LET(_xlpm.text, E1387,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7" s="14">
        <f t="shared" si="106"/>
        <v>45987</v>
      </c>
      <c r="L1387" s="14">
        <f t="shared" si="107"/>
        <v>45987.624664351853</v>
      </c>
      <c r="N1387" s="12"/>
    </row>
    <row r="1388" spans="1:14" x14ac:dyDescent="0.25">
      <c r="A1388" s="4" t="s">
        <v>1418</v>
      </c>
      <c r="B1388" s="16" t="str">
        <f t="shared" si="103"/>
        <v>S.R.MINES AND MINERLS</v>
      </c>
      <c r="C1388" s="16" t="str">
        <f t="shared" si="104"/>
        <v>Indo Ka Bala / Kolayat / Bikaner</v>
      </c>
      <c r="D1388" s="4" t="s">
        <v>3033</v>
      </c>
      <c r="E1388" s="4" t="s">
        <v>3119</v>
      </c>
      <c r="F1388" s="5">
        <v>45987.999664351853</v>
      </c>
      <c r="G1388" s="16" t="str">
        <f t="shared" si="105"/>
        <v>Silica Sand</v>
      </c>
      <c r="H1388" s="4" t="s">
        <v>2885</v>
      </c>
      <c r="I1388" s="18" t="str" cm="1">
        <f t="array" ref="I1388">_xlfn.LET(_xlpm.text, D1388,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88" s="18" t="str" cm="1">
        <f t="array" ref="J1388">_xlfn.LET(_xlpm.text, E1388,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8" s="14">
        <f t="shared" si="106"/>
        <v>45988</v>
      </c>
      <c r="L1388" s="14">
        <f t="shared" si="107"/>
        <v>45988.624664351853</v>
      </c>
      <c r="N1388" s="12"/>
    </row>
    <row r="1389" spans="1:14" x14ac:dyDescent="0.25">
      <c r="A1389" s="4" t="s">
        <v>1419</v>
      </c>
      <c r="B1389" s="16" t="str">
        <f t="shared" si="103"/>
        <v>S.R.MINES AND MINERLS</v>
      </c>
      <c r="C1389" s="16" t="str">
        <f t="shared" si="104"/>
        <v>Indo Ka Bala / Kolayat / Bikaner</v>
      </c>
      <c r="D1389" s="4" t="s">
        <v>3033</v>
      </c>
      <c r="E1389" s="4" t="s">
        <v>3119</v>
      </c>
      <c r="F1389" s="5">
        <v>45987.999664351853</v>
      </c>
      <c r="G1389" s="16" t="str">
        <f t="shared" si="105"/>
        <v>Silica Sand</v>
      </c>
      <c r="H1389" s="4" t="s">
        <v>2735</v>
      </c>
      <c r="I1389" s="18" t="str" cm="1">
        <f t="array" ref="I1389">_xlfn.LET(_xlpm.text, D1389,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89" s="18" t="str" cm="1">
        <f t="array" ref="J1389">_xlfn.LET(_xlpm.text, E1389,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89" s="14">
        <f t="shared" si="106"/>
        <v>45988</v>
      </c>
      <c r="L1389" s="14">
        <f t="shared" si="107"/>
        <v>45988.624664351853</v>
      </c>
      <c r="N1389" s="12"/>
    </row>
    <row r="1390" spans="1:14" x14ac:dyDescent="0.25">
      <c r="A1390" s="4" t="s">
        <v>1420</v>
      </c>
      <c r="B1390" s="16" t="str">
        <f t="shared" si="103"/>
        <v>S.R.MINES AND MINERLS</v>
      </c>
      <c r="C1390" s="16" t="str">
        <f t="shared" si="104"/>
        <v>Indo Ka Bala / Kolayat / Bikaner</v>
      </c>
      <c r="D1390" s="4" t="s">
        <v>3034</v>
      </c>
      <c r="E1390" s="4" t="s">
        <v>3119</v>
      </c>
      <c r="F1390" s="5">
        <v>45987.999664351853</v>
      </c>
      <c r="G1390" s="16" t="str">
        <f t="shared" si="105"/>
        <v>Silica Sand</v>
      </c>
      <c r="H1390" s="4" t="s">
        <v>2733</v>
      </c>
      <c r="I1390" s="18" t="str" cm="1">
        <f t="array" ref="I1390">_xlfn.LET(_xlpm.text, D1390,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390" s="18" t="str" cm="1">
        <f t="array" ref="J1390">_xlfn.LET(_xlpm.text, E1390,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0" s="14">
        <f t="shared" si="106"/>
        <v>45988</v>
      </c>
      <c r="L1390" s="14">
        <f t="shared" si="107"/>
        <v>45988.624664351853</v>
      </c>
      <c r="N1390" s="12"/>
    </row>
    <row r="1391" spans="1:14" x14ac:dyDescent="0.25">
      <c r="A1391" s="4" t="s">
        <v>1421</v>
      </c>
      <c r="B1391" s="16" t="str">
        <f t="shared" si="103"/>
        <v>ANIL KUMAR KHICHER</v>
      </c>
      <c r="C1391" s="16" t="str">
        <f t="shared" si="104"/>
        <v>Kishnasar / Nokha / Bikaner</v>
      </c>
      <c r="D1391" s="4" t="s">
        <v>3033</v>
      </c>
      <c r="E1391" s="4" t="s">
        <v>3119</v>
      </c>
      <c r="F1391" s="5">
        <v>45987.999664351853</v>
      </c>
      <c r="G1391" s="16" t="str">
        <f t="shared" si="105"/>
        <v>Silica Sand</v>
      </c>
      <c r="H1391" s="4" t="s">
        <v>2878</v>
      </c>
      <c r="I1391" s="18" t="str" cm="1">
        <f t="array" ref="I1391">_xlfn.LET(_xlpm.text, D1391,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1" s="18" t="str" cm="1">
        <f t="array" ref="J1391">_xlfn.LET(_xlpm.text, E1391,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1" s="14">
        <f t="shared" si="106"/>
        <v>45988</v>
      </c>
      <c r="L1391" s="14">
        <f t="shared" si="107"/>
        <v>45988.624664351853</v>
      </c>
      <c r="N1391" s="12"/>
    </row>
    <row r="1392" spans="1:14" x14ac:dyDescent="0.25">
      <c r="A1392" s="4" t="s">
        <v>1422</v>
      </c>
      <c r="B1392" s="16" t="str">
        <f t="shared" si="103"/>
        <v>M/s SHREE VISHNU MINERALS</v>
      </c>
      <c r="C1392" s="16" t="str">
        <f t="shared" si="104"/>
        <v>Mokha Charnan / Kolayat / Bikaner</v>
      </c>
      <c r="D1392" s="4" t="s">
        <v>3035</v>
      </c>
      <c r="E1392" s="4" t="s">
        <v>3119</v>
      </c>
      <c r="F1392" s="5">
        <v>45987.999664351853</v>
      </c>
      <c r="G1392" s="16" t="str">
        <f t="shared" si="105"/>
        <v>Silica Sand</v>
      </c>
      <c r="H1392" s="4" t="s">
        <v>2611</v>
      </c>
      <c r="I1392" s="18" t="str" cm="1">
        <f t="array" ref="I1392">_xlfn.LET(_xlpm.text, D1392,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392" s="18" t="str" cm="1">
        <f t="array" ref="J1392">_xlfn.LET(_xlpm.text, E1392,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2" s="14">
        <f t="shared" si="106"/>
        <v>45988</v>
      </c>
      <c r="L1392" s="14">
        <f t="shared" si="107"/>
        <v>45988.624664351853</v>
      </c>
      <c r="N1392" s="12"/>
    </row>
    <row r="1393" spans="1:14" x14ac:dyDescent="0.25">
      <c r="A1393" s="4" t="s">
        <v>1423</v>
      </c>
      <c r="B1393" s="16" t="str">
        <f t="shared" si="103"/>
        <v>GUDHA ASSOCIATES</v>
      </c>
      <c r="C1393" s="16" t="str">
        <f t="shared" si="104"/>
        <v>Samorakhi / Kolayat / Bikaner</v>
      </c>
      <c r="D1393" s="4" t="s">
        <v>3031</v>
      </c>
      <c r="E1393" s="4" t="s">
        <v>3119</v>
      </c>
      <c r="F1393" s="5">
        <v>45988.999664351853</v>
      </c>
      <c r="G1393" s="16" t="str">
        <f t="shared" si="105"/>
        <v>Silica Sand</v>
      </c>
      <c r="H1393" s="4" t="s">
        <v>412</v>
      </c>
      <c r="I1393" s="18" t="str" cm="1">
        <f t="array" ref="I1393">_xlfn.LET(_xlpm.text, D1393,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393" s="18" t="str" cm="1">
        <f t="array" ref="J1393">_xlfn.LET(_xlpm.text, E1393,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3" s="14">
        <f t="shared" si="106"/>
        <v>45989</v>
      </c>
      <c r="L1393" s="14">
        <f t="shared" si="107"/>
        <v>45989.624664351853</v>
      </c>
      <c r="N1393" s="12"/>
    </row>
    <row r="1394" spans="1:14" x14ac:dyDescent="0.25">
      <c r="A1394" s="4" t="s">
        <v>1424</v>
      </c>
      <c r="B1394" s="16" t="str">
        <f t="shared" si="103"/>
        <v>S.R.MINES AND MINERLS</v>
      </c>
      <c r="C1394" s="16" t="str">
        <f t="shared" si="104"/>
        <v>Indo Ka Bala / Kolayat / Bikaner</v>
      </c>
      <c r="D1394" s="4" t="s">
        <v>3033</v>
      </c>
      <c r="E1394" s="4" t="s">
        <v>3119</v>
      </c>
      <c r="F1394" s="5">
        <v>45988.999664351853</v>
      </c>
      <c r="G1394" s="16" t="str">
        <f t="shared" si="105"/>
        <v>Silica Sand</v>
      </c>
      <c r="H1394" s="4" t="s">
        <v>2886</v>
      </c>
      <c r="I1394" s="18" t="str" cm="1">
        <f t="array" ref="I1394">_xlfn.LET(_xlpm.text, D1394,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4" s="18" t="str" cm="1">
        <f t="array" ref="J1394">_xlfn.LET(_xlpm.text, E1394,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4" s="14">
        <f t="shared" si="106"/>
        <v>45989</v>
      </c>
      <c r="L1394" s="14">
        <f t="shared" si="107"/>
        <v>45989.624664351853</v>
      </c>
      <c r="N1394" s="12"/>
    </row>
    <row r="1395" spans="1:14" x14ac:dyDescent="0.25">
      <c r="A1395" s="4" t="s">
        <v>1425</v>
      </c>
      <c r="B1395" s="16" t="str">
        <f t="shared" si="103"/>
        <v>S.R.MINES AND MINERLS</v>
      </c>
      <c r="C1395" s="16" t="str">
        <f t="shared" si="104"/>
        <v>Indo Ka Bala / Kolayat / Bikaner</v>
      </c>
      <c r="D1395" s="4" t="s">
        <v>3033</v>
      </c>
      <c r="E1395" s="4" t="s">
        <v>3119</v>
      </c>
      <c r="F1395" s="5">
        <v>45988.999664351853</v>
      </c>
      <c r="G1395" s="16" t="str">
        <f t="shared" si="105"/>
        <v>Silica Sand</v>
      </c>
      <c r="H1395" s="4" t="s">
        <v>2887</v>
      </c>
      <c r="I1395" s="18" t="str" cm="1">
        <f t="array" ref="I1395">_xlfn.LET(_xlpm.text, D1395,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5" s="18" t="str" cm="1">
        <f t="array" ref="J1395">_xlfn.LET(_xlpm.text, E1395,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5" s="14">
        <f t="shared" si="106"/>
        <v>45989</v>
      </c>
      <c r="L1395" s="14">
        <f t="shared" si="107"/>
        <v>45989.624664351853</v>
      </c>
      <c r="N1395" s="12"/>
    </row>
    <row r="1396" spans="1:14" x14ac:dyDescent="0.25">
      <c r="A1396" s="4" t="s">
        <v>1426</v>
      </c>
      <c r="B1396" s="16" t="str">
        <f t="shared" si="103"/>
        <v>MANOJ NAYAK</v>
      </c>
      <c r="C1396" s="16" t="str">
        <f t="shared" si="104"/>
        <v>Gangapura Chak No.7 / Kolayat / Bikaner</v>
      </c>
      <c r="D1396" s="4" t="s">
        <v>3033</v>
      </c>
      <c r="E1396" s="4" t="s">
        <v>3119</v>
      </c>
      <c r="F1396" s="5">
        <v>45988.999664351853</v>
      </c>
      <c r="G1396" s="16" t="str">
        <f t="shared" si="105"/>
        <v>Silica Sand</v>
      </c>
      <c r="H1396" s="4" t="s">
        <v>2885</v>
      </c>
      <c r="I1396" s="18" t="str" cm="1">
        <f t="array" ref="I1396">_xlfn.LET(_xlpm.text, D1396,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6" s="18" t="str" cm="1">
        <f t="array" ref="J1396">_xlfn.LET(_xlpm.text, E1396,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6" s="14">
        <f t="shared" si="106"/>
        <v>45989</v>
      </c>
      <c r="L1396" s="14">
        <f t="shared" si="107"/>
        <v>45989.624664351853</v>
      </c>
      <c r="N1396" s="12"/>
    </row>
    <row r="1397" spans="1:14" x14ac:dyDescent="0.25">
      <c r="A1397" s="4" t="s">
        <v>1427</v>
      </c>
      <c r="B1397" s="16" t="str">
        <f t="shared" si="103"/>
        <v>S.R.MINES AND MINERLS</v>
      </c>
      <c r="C1397" s="16" t="str">
        <f t="shared" si="104"/>
        <v>Indo Ka Bala / Kolayat / Bikaner</v>
      </c>
      <c r="D1397" s="4" t="s">
        <v>3033</v>
      </c>
      <c r="E1397" s="4" t="s">
        <v>3119</v>
      </c>
      <c r="F1397" s="5">
        <v>45988.999664351853</v>
      </c>
      <c r="G1397" s="16" t="str">
        <f t="shared" si="105"/>
        <v>Silica Sand</v>
      </c>
      <c r="H1397" s="4" t="s">
        <v>2888</v>
      </c>
      <c r="I1397" s="18" t="str" cm="1">
        <f t="array" ref="I1397">_xlfn.LET(_xlpm.text, D1397,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7" s="18" t="str" cm="1">
        <f t="array" ref="J1397">_xlfn.LET(_xlpm.text, E1397,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7" s="14">
        <f t="shared" si="106"/>
        <v>45989</v>
      </c>
      <c r="L1397" s="14">
        <f t="shared" si="107"/>
        <v>45989.624664351853</v>
      </c>
      <c r="N1397" s="12"/>
    </row>
    <row r="1398" spans="1:14" x14ac:dyDescent="0.25">
      <c r="A1398" s="4" t="s">
        <v>1428</v>
      </c>
      <c r="B1398" s="16" t="str">
        <f t="shared" si="103"/>
        <v>ANIL KUMAR KHICHER</v>
      </c>
      <c r="C1398" s="16" t="str">
        <f t="shared" si="104"/>
        <v>Kishnasar / Nokha / Bikaner</v>
      </c>
      <c r="D1398" s="4" t="s">
        <v>3033</v>
      </c>
      <c r="E1398" s="4" t="s">
        <v>3119</v>
      </c>
      <c r="F1398" s="5">
        <v>45988.999664351853</v>
      </c>
      <c r="G1398" s="16" t="str">
        <f t="shared" si="105"/>
        <v>Silica Sand</v>
      </c>
      <c r="H1398" s="4" t="s">
        <v>2878</v>
      </c>
      <c r="I1398" s="18" t="str" cm="1">
        <f t="array" ref="I1398">_xlfn.LET(_xlpm.text, D1398,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8" s="18" t="str" cm="1">
        <f t="array" ref="J1398">_xlfn.LET(_xlpm.text, E1398,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8" s="14">
        <f t="shared" si="106"/>
        <v>45989</v>
      </c>
      <c r="L1398" s="14">
        <f t="shared" si="107"/>
        <v>45989.624664351853</v>
      </c>
      <c r="N1398" s="12"/>
    </row>
    <row r="1399" spans="1:14" x14ac:dyDescent="0.25">
      <c r="A1399" s="4" t="s">
        <v>1429</v>
      </c>
      <c r="B1399" s="16" t="str">
        <f t="shared" si="103"/>
        <v>J.V MINES AND MINERALS</v>
      </c>
      <c r="C1399" s="16" t="str">
        <f t="shared" si="104"/>
        <v>Golari / Kolayat / Bikaner</v>
      </c>
      <c r="D1399" s="4" t="s">
        <v>3033</v>
      </c>
      <c r="E1399" s="4" t="s">
        <v>3119</v>
      </c>
      <c r="F1399" s="5">
        <v>45988.999664351853</v>
      </c>
      <c r="G1399" s="16" t="str">
        <f t="shared" si="105"/>
        <v>Silica Sand</v>
      </c>
      <c r="H1399" s="4" t="s">
        <v>2883</v>
      </c>
      <c r="I1399" s="18" t="str" cm="1">
        <f t="array" ref="I1399">_xlfn.LET(_xlpm.text, D1399,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399" s="18" t="str" cm="1">
        <f t="array" ref="J1399">_xlfn.LET(_xlpm.text, E1399,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399" s="14">
        <f t="shared" si="106"/>
        <v>45989</v>
      </c>
      <c r="L1399" s="14">
        <f t="shared" si="107"/>
        <v>45989.624664351853</v>
      </c>
      <c r="N1399" s="12"/>
    </row>
    <row r="1400" spans="1:14" x14ac:dyDescent="0.25">
      <c r="A1400" s="4" t="s">
        <v>1430</v>
      </c>
      <c r="B1400" s="16" t="str">
        <f t="shared" si="103"/>
        <v>M/s SHREE VISHNU MINERALS</v>
      </c>
      <c r="C1400" s="16" t="str">
        <f t="shared" si="104"/>
        <v>Mokha Charnan / Kolayat / Bikaner</v>
      </c>
      <c r="D1400" s="4" t="s">
        <v>3035</v>
      </c>
      <c r="E1400" s="4" t="s">
        <v>3119</v>
      </c>
      <c r="F1400" s="5">
        <v>45988.999664351853</v>
      </c>
      <c r="G1400" s="16" t="str">
        <f t="shared" si="105"/>
        <v>Silica Sand</v>
      </c>
      <c r="H1400" s="4" t="s">
        <v>2611</v>
      </c>
      <c r="I1400" s="18" t="str" cm="1">
        <f t="array" ref="I1400">_xlfn.LET(_xlpm.text, D1400,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00" s="18" t="str" cm="1">
        <f t="array" ref="J1400">_xlfn.LET(_xlpm.text, E1400,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0" s="14">
        <f t="shared" si="106"/>
        <v>45989</v>
      </c>
      <c r="L1400" s="14">
        <f t="shared" si="107"/>
        <v>45989.624664351853</v>
      </c>
      <c r="N1400" s="12"/>
    </row>
    <row r="1401" spans="1:14" x14ac:dyDescent="0.25">
      <c r="A1401" s="4" t="s">
        <v>1431</v>
      </c>
      <c r="B1401" s="16" t="str">
        <f t="shared" si="103"/>
        <v>M/s SHREE VISHNU MINERALS</v>
      </c>
      <c r="C1401" s="16" t="str">
        <f t="shared" si="104"/>
        <v>Mokha Charnan / Kolayat / Bikaner</v>
      </c>
      <c r="D1401" s="4" t="s">
        <v>3035</v>
      </c>
      <c r="E1401" s="4" t="s">
        <v>3119</v>
      </c>
      <c r="F1401" s="5">
        <v>45988.999664351853</v>
      </c>
      <c r="G1401" s="16" t="str">
        <f t="shared" si="105"/>
        <v>Silica Sand</v>
      </c>
      <c r="H1401" s="4" t="s">
        <v>2611</v>
      </c>
      <c r="I1401" s="18" t="str" cm="1">
        <f t="array" ref="I1401">_xlfn.LET(_xlpm.text, D1401,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01" s="18" t="str" cm="1">
        <f t="array" ref="J1401">_xlfn.LET(_xlpm.text, E1401,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1" s="14">
        <f t="shared" si="106"/>
        <v>45989</v>
      </c>
      <c r="L1401" s="14">
        <f t="shared" si="107"/>
        <v>45989.624664351853</v>
      </c>
      <c r="N1401" s="12"/>
    </row>
    <row r="1402" spans="1:14" x14ac:dyDescent="0.25">
      <c r="A1402" s="4" t="s">
        <v>1432</v>
      </c>
      <c r="B1402" s="16" t="str">
        <f t="shared" si="103"/>
        <v>S.R.MINES AND MINERLS</v>
      </c>
      <c r="C1402" s="16" t="str">
        <f t="shared" si="104"/>
        <v>Indo Ka Bala / Kolayat / Bikaner</v>
      </c>
      <c r="D1402" s="4" t="s">
        <v>1382</v>
      </c>
      <c r="E1402" s="4" t="s">
        <v>3119</v>
      </c>
      <c r="F1402" s="5">
        <v>45989.999664351853</v>
      </c>
      <c r="G1402" s="16" t="str">
        <f t="shared" si="105"/>
        <v>Silica Sand</v>
      </c>
      <c r="H1402" s="4" t="s">
        <v>2878</v>
      </c>
      <c r="I1402" s="18" t="str" cm="1">
        <f t="array" ref="I1402">_xlfn.LET(_xlpm.text, D1402,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02" s="18" t="str" cm="1">
        <f t="array" ref="J1402">_xlfn.LET(_xlpm.text, E1402,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2" s="14">
        <f t="shared" si="106"/>
        <v>45990</v>
      </c>
      <c r="L1402" s="14">
        <f t="shared" si="107"/>
        <v>45990.624664351853</v>
      </c>
      <c r="N1402" s="12"/>
    </row>
    <row r="1403" spans="1:14" x14ac:dyDescent="0.25">
      <c r="A1403" s="4" t="s">
        <v>1433</v>
      </c>
      <c r="B1403" s="16" t="str">
        <f t="shared" si="103"/>
        <v>MANOJ NAYAK</v>
      </c>
      <c r="C1403" s="16" t="str">
        <f t="shared" si="104"/>
        <v>Gangapura Chak No.7 / Kolayat / Bikaner</v>
      </c>
      <c r="D1403" s="4" t="s">
        <v>3033</v>
      </c>
      <c r="E1403" s="4" t="s">
        <v>3119</v>
      </c>
      <c r="F1403" s="5">
        <v>45989.999664351853</v>
      </c>
      <c r="G1403" s="16" t="str">
        <f t="shared" si="105"/>
        <v>Silica Sand</v>
      </c>
      <c r="H1403" s="4" t="s">
        <v>2889</v>
      </c>
      <c r="I1403" s="18" t="str" cm="1">
        <f t="array" ref="I1403">_xlfn.LET(_xlpm.text, D1403,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03" s="18" t="str" cm="1">
        <f t="array" ref="J1403">_xlfn.LET(_xlpm.text, E1403,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3" s="14">
        <f t="shared" si="106"/>
        <v>45990</v>
      </c>
      <c r="L1403" s="14">
        <f t="shared" si="107"/>
        <v>45990.624664351853</v>
      </c>
      <c r="N1403" s="12"/>
    </row>
    <row r="1404" spans="1:14" x14ac:dyDescent="0.25">
      <c r="A1404" s="4" t="s">
        <v>1434</v>
      </c>
      <c r="B1404" s="16" t="str">
        <f t="shared" si="103"/>
        <v>S.R.MINES AND MINERLS</v>
      </c>
      <c r="C1404" s="16" t="str">
        <f t="shared" si="104"/>
        <v>Indo Ka Bala / Kolayat / Bikaner</v>
      </c>
      <c r="D1404" s="4" t="s">
        <v>3033</v>
      </c>
      <c r="E1404" s="4" t="s">
        <v>3119</v>
      </c>
      <c r="F1404" s="5">
        <v>45989.999664351853</v>
      </c>
      <c r="G1404" s="16" t="str">
        <f t="shared" si="105"/>
        <v>Silica Sand</v>
      </c>
      <c r="H1404" s="4" t="s">
        <v>2890</v>
      </c>
      <c r="I1404" s="18" t="str" cm="1">
        <f t="array" ref="I1404">_xlfn.LET(_xlpm.text, D1404,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04" s="18" t="str" cm="1">
        <f t="array" ref="J1404">_xlfn.LET(_xlpm.text, E1404,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4" s="14">
        <f t="shared" si="106"/>
        <v>45990</v>
      </c>
      <c r="L1404" s="14">
        <f t="shared" si="107"/>
        <v>45990.624664351853</v>
      </c>
      <c r="N1404" s="12"/>
    </row>
    <row r="1405" spans="1:14" x14ac:dyDescent="0.25">
      <c r="A1405" s="4" t="s">
        <v>1435</v>
      </c>
      <c r="B1405" s="16" t="str">
        <f t="shared" si="103"/>
        <v>MANOJ NAYAK</v>
      </c>
      <c r="C1405" s="16" t="str">
        <f t="shared" si="104"/>
        <v>Gangapura Chak No.7 / Kolayat / Bikaner</v>
      </c>
      <c r="D1405" s="4" t="s">
        <v>3033</v>
      </c>
      <c r="E1405" s="4" t="s">
        <v>3119</v>
      </c>
      <c r="F1405" s="5">
        <v>45989.999664351853</v>
      </c>
      <c r="G1405" s="16" t="str">
        <f t="shared" si="105"/>
        <v>Silica Sand</v>
      </c>
      <c r="H1405" s="4" t="s">
        <v>2891</v>
      </c>
      <c r="I1405" s="18" t="str" cm="1">
        <f t="array" ref="I1405">_xlfn.LET(_xlpm.text, D1405,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05" s="18" t="str" cm="1">
        <f t="array" ref="J1405">_xlfn.LET(_xlpm.text, E1405,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5" s="14">
        <f t="shared" si="106"/>
        <v>45990</v>
      </c>
      <c r="L1405" s="14">
        <f t="shared" si="107"/>
        <v>45990.624664351853</v>
      </c>
      <c r="N1405" s="12"/>
    </row>
    <row r="1406" spans="1:14" x14ac:dyDescent="0.25">
      <c r="A1406" s="4" t="s">
        <v>1436</v>
      </c>
      <c r="B1406" s="16" t="str">
        <f t="shared" si="103"/>
        <v>S.R.MINES AND MINERLS</v>
      </c>
      <c r="C1406" s="16" t="str">
        <f t="shared" si="104"/>
        <v>Indo Ka Bala / Kolayat / Bikaner</v>
      </c>
      <c r="D1406" s="4" t="s">
        <v>3034</v>
      </c>
      <c r="E1406" s="4" t="s">
        <v>3119</v>
      </c>
      <c r="F1406" s="5">
        <v>45989.999664351853</v>
      </c>
      <c r="G1406" s="16" t="str">
        <f t="shared" si="105"/>
        <v>Silica Sand</v>
      </c>
      <c r="H1406" s="4" t="s">
        <v>2661</v>
      </c>
      <c r="I1406" s="18" t="str" cm="1">
        <f t="array" ref="I1406">_xlfn.LET(_xlpm.text, D1406,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06" s="18" t="str" cm="1">
        <f t="array" ref="J1406">_xlfn.LET(_xlpm.text, E1406,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6" s="14">
        <f t="shared" si="106"/>
        <v>45990</v>
      </c>
      <c r="L1406" s="14">
        <f t="shared" si="107"/>
        <v>45990.624664351853</v>
      </c>
      <c r="N1406" s="12"/>
    </row>
    <row r="1407" spans="1:14" x14ac:dyDescent="0.25">
      <c r="A1407" s="4" t="s">
        <v>1437</v>
      </c>
      <c r="B1407" s="16" t="str">
        <f t="shared" si="103"/>
        <v>MANOJ NAYAK</v>
      </c>
      <c r="C1407" s="16" t="str">
        <f t="shared" si="104"/>
        <v>Gangapura Chak No.7 / Kolayat / Bikaner</v>
      </c>
      <c r="D1407" s="4" t="s">
        <v>3033</v>
      </c>
      <c r="E1407" s="4" t="s">
        <v>3119</v>
      </c>
      <c r="F1407" s="5">
        <v>45989.999664351853</v>
      </c>
      <c r="G1407" s="16" t="str">
        <f t="shared" si="105"/>
        <v>Silica Sand</v>
      </c>
      <c r="H1407" s="4" t="s">
        <v>2892</v>
      </c>
      <c r="I1407" s="18" t="str" cm="1">
        <f t="array" ref="I1407">_xlfn.LET(_xlpm.text, D1407,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07" s="18" t="str" cm="1">
        <f t="array" ref="J1407">_xlfn.LET(_xlpm.text, E1407,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7" s="14">
        <f t="shared" si="106"/>
        <v>45990</v>
      </c>
      <c r="L1407" s="14">
        <f t="shared" si="107"/>
        <v>45990.624664351853</v>
      </c>
      <c r="N1407" s="12"/>
    </row>
    <row r="1408" spans="1:14" x14ac:dyDescent="0.25">
      <c r="A1408" s="4" t="s">
        <v>1438</v>
      </c>
      <c r="B1408" s="16" t="str">
        <f t="shared" si="103"/>
        <v>M/s SHREE VISHNU MINERALS</v>
      </c>
      <c r="C1408" s="16" t="str">
        <f t="shared" si="104"/>
        <v>Mokha Charnan / Kolayat / Bikaner</v>
      </c>
      <c r="D1408" s="4" t="s">
        <v>3035</v>
      </c>
      <c r="E1408" s="4" t="s">
        <v>3119</v>
      </c>
      <c r="F1408" s="5">
        <v>45989.999664351853</v>
      </c>
      <c r="G1408" s="16" t="str">
        <f t="shared" si="105"/>
        <v>Silica Sand</v>
      </c>
      <c r="H1408" s="4" t="s">
        <v>2617</v>
      </c>
      <c r="I1408" s="18" t="str" cm="1">
        <f t="array" ref="I1408">_xlfn.LET(_xlpm.text, D1408,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08" s="18" t="str" cm="1">
        <f t="array" ref="J1408">_xlfn.LET(_xlpm.text, E1408,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8" s="14">
        <f t="shared" si="106"/>
        <v>45990</v>
      </c>
      <c r="L1408" s="14">
        <f t="shared" si="107"/>
        <v>45990.624664351853</v>
      </c>
      <c r="N1408" s="12"/>
    </row>
    <row r="1409" spans="1:14" x14ac:dyDescent="0.25">
      <c r="A1409" s="4" t="s">
        <v>1439</v>
      </c>
      <c r="B1409" s="16" t="str">
        <f t="shared" si="103"/>
        <v>S.R.MINES AND MINERLS</v>
      </c>
      <c r="C1409" s="16" t="str">
        <f t="shared" si="104"/>
        <v>Indo Ka Bala / Kolayat / Bikaner</v>
      </c>
      <c r="D1409" s="4" t="s">
        <v>3034</v>
      </c>
      <c r="E1409" s="4" t="s">
        <v>3119</v>
      </c>
      <c r="F1409" s="5">
        <v>45990.999664351853</v>
      </c>
      <c r="G1409" s="16" t="str">
        <f t="shared" si="105"/>
        <v>Silica Sand</v>
      </c>
      <c r="H1409" s="4" t="s">
        <v>2580</v>
      </c>
      <c r="I1409" s="18" t="str" cm="1">
        <f t="array" ref="I1409">_xlfn.LET(_xlpm.text, D1409,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09" s="18" t="str" cm="1">
        <f t="array" ref="J1409">_xlfn.LET(_xlpm.text, E1409,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09" s="14">
        <f t="shared" si="106"/>
        <v>45991</v>
      </c>
      <c r="L1409" s="14">
        <f t="shared" si="107"/>
        <v>45991.624664351853</v>
      </c>
      <c r="N1409" s="12"/>
    </row>
    <row r="1410" spans="1:14" x14ac:dyDescent="0.25">
      <c r="A1410" s="4" t="s">
        <v>1440</v>
      </c>
      <c r="B1410" s="16" t="str">
        <f t="shared" ref="B1410:B1473" si="108">VLOOKUP(LEFT($A1410,4)&amp;"*",$O$3:$R$17, 2, FALSE)</f>
        <v>M/s SHREE VISHNU MINERALS</v>
      </c>
      <c r="C1410" s="16" t="str">
        <f t="shared" ref="C1410:C1473" si="109">VLOOKUP(LEFT($A1410,4)&amp;"*",$O$3:$R$17, 3, FALSE)</f>
        <v>Mokha Charnan / Kolayat / Bikaner</v>
      </c>
      <c r="D1410" s="4" t="s">
        <v>3034</v>
      </c>
      <c r="E1410" s="4" t="s">
        <v>3119</v>
      </c>
      <c r="F1410" s="5">
        <v>45990.999664351853</v>
      </c>
      <c r="G1410" s="16" t="str">
        <f t="shared" ref="G1410:G1473" si="110">VLOOKUP(LEFT($A1410,4)&amp;"*",$O$3:$R$17, 4, FALSE)</f>
        <v>Silica Sand</v>
      </c>
      <c r="H1410" s="4" t="s">
        <v>2882</v>
      </c>
      <c r="I1410" s="18" t="str" cm="1">
        <f t="array" ref="I1410">_xlfn.LET(_xlpm.text, D1410,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10" s="18" t="str" cm="1">
        <f t="array" ref="J1410">_xlfn.LET(_xlpm.text, E1410,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0" s="14">
        <f t="shared" si="106"/>
        <v>45991</v>
      </c>
      <c r="L1410" s="14">
        <f t="shared" si="107"/>
        <v>45991.624664351853</v>
      </c>
      <c r="N1410" s="12"/>
    </row>
    <row r="1411" spans="1:14" x14ac:dyDescent="0.25">
      <c r="A1411" s="4" t="s">
        <v>1441</v>
      </c>
      <c r="B1411" s="16" t="str">
        <f t="shared" si="108"/>
        <v>J.V MINES AND MINERALS</v>
      </c>
      <c r="C1411" s="16" t="str">
        <f t="shared" si="109"/>
        <v>Golari / Kolayat / Bikaner</v>
      </c>
      <c r="D1411" s="4" t="s">
        <v>1382</v>
      </c>
      <c r="E1411" s="4" t="s">
        <v>3119</v>
      </c>
      <c r="F1411" s="5">
        <v>45990.999664351853</v>
      </c>
      <c r="G1411" s="16" t="str">
        <f t="shared" si="110"/>
        <v>Silica Sand</v>
      </c>
      <c r="H1411" s="4" t="s">
        <v>2760</v>
      </c>
      <c r="I1411" s="18" t="str" cm="1">
        <f t="array" ref="I1411">_xlfn.LET(_xlpm.text, D1411,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11" s="18" t="str" cm="1">
        <f t="array" ref="J1411">_xlfn.LET(_xlpm.text, E1411,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1" s="14">
        <f t="shared" ref="K1411:K1474" si="111">F1411+(29/86400)</f>
        <v>45991</v>
      </c>
      <c r="L1411" s="14">
        <f t="shared" ref="L1411:L1474" si="112">F1411+(15/24)</f>
        <v>45991.624664351853</v>
      </c>
      <c r="N1411" s="12"/>
    </row>
    <row r="1412" spans="1:14" x14ac:dyDescent="0.25">
      <c r="A1412" s="4" t="s">
        <v>1442</v>
      </c>
      <c r="B1412" s="16" t="str">
        <f t="shared" si="108"/>
        <v>ANIL KUMAR KHICHER</v>
      </c>
      <c r="C1412" s="16" t="str">
        <f t="shared" si="109"/>
        <v>Kishnasar / Nokha / Bikaner</v>
      </c>
      <c r="D1412" s="4" t="s">
        <v>3033</v>
      </c>
      <c r="E1412" s="4" t="s">
        <v>3119</v>
      </c>
      <c r="F1412" s="5">
        <v>45990.999664351853</v>
      </c>
      <c r="G1412" s="16" t="str">
        <f t="shared" si="110"/>
        <v>Silica Sand</v>
      </c>
      <c r="H1412" s="4" t="s">
        <v>2878</v>
      </c>
      <c r="I1412" s="18" t="str" cm="1">
        <f t="array" ref="I1412">_xlfn.LET(_xlpm.text, D1412,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12" s="18" t="str" cm="1">
        <f t="array" ref="J1412">_xlfn.LET(_xlpm.text, E1412,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2" s="14">
        <f t="shared" si="111"/>
        <v>45991</v>
      </c>
      <c r="L1412" s="14">
        <f t="shared" si="112"/>
        <v>45991.624664351853</v>
      </c>
      <c r="N1412" s="12"/>
    </row>
    <row r="1413" spans="1:14" x14ac:dyDescent="0.25">
      <c r="A1413" s="4" t="s">
        <v>1443</v>
      </c>
      <c r="B1413" s="16" t="str">
        <f t="shared" si="108"/>
        <v>M/s SHREE VISHNU MINERALS</v>
      </c>
      <c r="C1413" s="16" t="str">
        <f t="shared" si="109"/>
        <v>Mokha Charnan / Kolayat / Bikaner</v>
      </c>
      <c r="D1413" s="4" t="s">
        <v>3035</v>
      </c>
      <c r="E1413" s="4" t="s">
        <v>3119</v>
      </c>
      <c r="F1413" s="5">
        <v>45990.999664351853</v>
      </c>
      <c r="G1413" s="16" t="str">
        <f t="shared" si="110"/>
        <v>Silica Sand</v>
      </c>
      <c r="H1413" s="4" t="s">
        <v>2611</v>
      </c>
      <c r="I1413" s="18" t="str" cm="1">
        <f t="array" ref="I1413">_xlfn.LET(_xlpm.text, D1413,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13" s="18" t="str" cm="1">
        <f t="array" ref="J1413">_xlfn.LET(_xlpm.text, E1413,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3" s="14">
        <f t="shared" si="111"/>
        <v>45991</v>
      </c>
      <c r="L1413" s="14">
        <f t="shared" si="112"/>
        <v>45991.624664351853</v>
      </c>
      <c r="N1413" s="12"/>
    </row>
    <row r="1414" spans="1:14" x14ac:dyDescent="0.25">
      <c r="A1414" s="4" t="s">
        <v>1444</v>
      </c>
      <c r="B1414" s="16" t="str">
        <f t="shared" si="108"/>
        <v>M/s SHREE VISHNU MINERALS</v>
      </c>
      <c r="C1414" s="16" t="str">
        <f t="shared" si="109"/>
        <v>Mokha Charnan / Kolayat / Bikaner</v>
      </c>
      <c r="D1414" s="4" t="s">
        <v>3032</v>
      </c>
      <c r="E1414" s="4" t="s">
        <v>3119</v>
      </c>
      <c r="F1414" s="5">
        <v>45991.999664351853</v>
      </c>
      <c r="G1414" s="16" t="str">
        <f t="shared" si="110"/>
        <v>Silica Sand</v>
      </c>
      <c r="H1414" s="4" t="s">
        <v>2617</v>
      </c>
      <c r="I1414" s="18" t="str" cm="1">
        <f t="array" ref="I1414">_xlfn.LET(_xlpm.text, D1414,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414" s="18" t="str" cm="1">
        <f t="array" ref="J1414">_xlfn.LET(_xlpm.text, E1414,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4" s="14">
        <f t="shared" si="111"/>
        <v>45992</v>
      </c>
      <c r="L1414" s="14">
        <f t="shared" si="112"/>
        <v>45992.624664351853</v>
      </c>
      <c r="N1414" s="12"/>
    </row>
    <row r="1415" spans="1:14" x14ac:dyDescent="0.25">
      <c r="A1415" s="4" t="s">
        <v>1445</v>
      </c>
      <c r="B1415" s="16" t="str">
        <f t="shared" si="108"/>
        <v>M/s SHREE VISHNU MINERALS</v>
      </c>
      <c r="C1415" s="16" t="str">
        <f t="shared" si="109"/>
        <v>Mokha Charnan / Kolayat / Bikaner</v>
      </c>
      <c r="D1415" s="4" t="s">
        <v>3032</v>
      </c>
      <c r="E1415" s="4" t="s">
        <v>3119</v>
      </c>
      <c r="F1415" s="5">
        <v>45991.999664351853</v>
      </c>
      <c r="G1415" s="16" t="str">
        <f t="shared" si="110"/>
        <v>Silica Sand</v>
      </c>
      <c r="H1415" s="4" t="s">
        <v>2893</v>
      </c>
      <c r="I1415" s="18" t="str" cm="1">
        <f t="array" ref="I1415">_xlfn.LET(_xlpm.text, D1415,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415" s="18" t="str" cm="1">
        <f t="array" ref="J1415">_xlfn.LET(_xlpm.text, E1415,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5" s="14">
        <f t="shared" si="111"/>
        <v>45992</v>
      </c>
      <c r="L1415" s="14">
        <f t="shared" si="112"/>
        <v>45992.624664351853</v>
      </c>
      <c r="N1415" s="12"/>
    </row>
    <row r="1416" spans="1:14" x14ac:dyDescent="0.25">
      <c r="A1416" s="4" t="s">
        <v>1446</v>
      </c>
      <c r="B1416" s="16" t="str">
        <f t="shared" si="108"/>
        <v>S.R.MINES AND MINERLS</v>
      </c>
      <c r="C1416" s="16" t="str">
        <f t="shared" si="109"/>
        <v>Indo Ka Bala / Kolayat / Bikaner</v>
      </c>
      <c r="D1416" s="4" t="s">
        <v>3033</v>
      </c>
      <c r="E1416" s="4" t="s">
        <v>3119</v>
      </c>
      <c r="F1416" s="5">
        <v>45991.999664351853</v>
      </c>
      <c r="G1416" s="16" t="str">
        <f t="shared" si="110"/>
        <v>Silica Sand</v>
      </c>
      <c r="H1416" s="4" t="s">
        <v>2894</v>
      </c>
      <c r="I1416" s="18" t="str" cm="1">
        <f t="array" ref="I1416">_xlfn.LET(_xlpm.text, D1416,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16" s="18" t="str" cm="1">
        <f t="array" ref="J1416">_xlfn.LET(_xlpm.text, E1416,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6" s="14">
        <f t="shared" si="111"/>
        <v>45992</v>
      </c>
      <c r="L1416" s="14">
        <f t="shared" si="112"/>
        <v>45992.624664351853</v>
      </c>
      <c r="N1416" s="12"/>
    </row>
    <row r="1417" spans="1:14" x14ac:dyDescent="0.25">
      <c r="A1417" s="4" t="s">
        <v>1447</v>
      </c>
      <c r="B1417" s="16" t="str">
        <f t="shared" si="108"/>
        <v>M/s SHREE VISHNU MINERALS</v>
      </c>
      <c r="C1417" s="16" t="str">
        <f t="shared" si="109"/>
        <v>Mokha Charnan / Kolayat / Bikaner</v>
      </c>
      <c r="D1417" s="4" t="s">
        <v>3034</v>
      </c>
      <c r="E1417" s="4" t="s">
        <v>3119</v>
      </c>
      <c r="F1417" s="5">
        <v>45991.999664351853</v>
      </c>
      <c r="G1417" s="16" t="str">
        <f t="shared" si="110"/>
        <v>Silica Sand</v>
      </c>
      <c r="H1417" s="4" t="s">
        <v>2882</v>
      </c>
      <c r="I1417" s="18" t="str" cm="1">
        <f t="array" ref="I1417">_xlfn.LET(_xlpm.text, D1417,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17" s="18" t="str" cm="1">
        <f t="array" ref="J1417">_xlfn.LET(_xlpm.text, E1417,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7" s="14">
        <f t="shared" si="111"/>
        <v>45992</v>
      </c>
      <c r="L1417" s="14">
        <f t="shared" si="112"/>
        <v>45992.624664351853</v>
      </c>
      <c r="N1417" s="12"/>
    </row>
    <row r="1418" spans="1:14" x14ac:dyDescent="0.25">
      <c r="A1418" s="4" t="s">
        <v>1448</v>
      </c>
      <c r="B1418" s="16" t="str">
        <f t="shared" si="108"/>
        <v>S.R.MINES AND MINERLS</v>
      </c>
      <c r="C1418" s="16" t="str">
        <f t="shared" si="109"/>
        <v>Indo Ka Bala / Kolayat / Bikaner</v>
      </c>
      <c r="D1418" s="4" t="s">
        <v>3033</v>
      </c>
      <c r="E1418" s="4" t="s">
        <v>3119</v>
      </c>
      <c r="F1418" s="5">
        <v>45991.999664351853</v>
      </c>
      <c r="G1418" s="16" t="str">
        <f t="shared" si="110"/>
        <v>Silica Sand</v>
      </c>
      <c r="H1418" s="4" t="s">
        <v>2458</v>
      </c>
      <c r="I1418" s="18" t="str" cm="1">
        <f t="array" ref="I1418">_xlfn.LET(_xlpm.text, D1418,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418" s="18" t="str" cm="1">
        <f t="array" ref="J1418">_xlfn.LET(_xlpm.text, E1418,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8" s="14">
        <f t="shared" si="111"/>
        <v>45992</v>
      </c>
      <c r="L1418" s="14">
        <f t="shared" si="112"/>
        <v>45992.624664351853</v>
      </c>
      <c r="N1418" s="12"/>
    </row>
    <row r="1419" spans="1:14" x14ac:dyDescent="0.25">
      <c r="A1419" s="4" t="s">
        <v>1449</v>
      </c>
      <c r="B1419" s="16" t="str">
        <f t="shared" si="108"/>
        <v>M/s SHREE VISHNU MINERALS</v>
      </c>
      <c r="C1419" s="16" t="str">
        <f t="shared" si="109"/>
        <v>Mokha Charnan / Kolayat / Bikaner</v>
      </c>
      <c r="D1419" s="4" t="s">
        <v>3032</v>
      </c>
      <c r="E1419" s="4" t="s">
        <v>3119</v>
      </c>
      <c r="F1419" s="5">
        <v>45992.999664351853</v>
      </c>
      <c r="G1419" s="16" t="str">
        <f t="shared" si="110"/>
        <v>Silica Sand</v>
      </c>
      <c r="H1419" s="4" t="s">
        <v>2895</v>
      </c>
      <c r="I1419" s="18" t="str" cm="1">
        <f t="array" ref="I1419">_xlfn.LET(_xlpm.text, D1419,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419" s="18" t="str" cm="1">
        <f t="array" ref="J1419">_xlfn.LET(_xlpm.text, E1419,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19" s="14">
        <f t="shared" si="111"/>
        <v>45993</v>
      </c>
      <c r="L1419" s="14">
        <f t="shared" si="112"/>
        <v>45993.624664351853</v>
      </c>
      <c r="N1419" s="12"/>
    </row>
    <row r="1420" spans="1:14" x14ac:dyDescent="0.25">
      <c r="A1420" s="4" t="s">
        <v>1450</v>
      </c>
      <c r="B1420" s="16" t="str">
        <f t="shared" si="108"/>
        <v>M/s SHREE VISHNU MINERALS</v>
      </c>
      <c r="C1420" s="16" t="str">
        <f t="shared" si="109"/>
        <v>Mokha Charnan / Kolayat / Bikaner</v>
      </c>
      <c r="D1420" s="4" t="s">
        <v>3032</v>
      </c>
      <c r="E1420" s="4" t="s">
        <v>3119</v>
      </c>
      <c r="F1420" s="5">
        <v>45992.999664351853</v>
      </c>
      <c r="G1420" s="16" t="str">
        <f t="shared" si="110"/>
        <v>Silica Sand</v>
      </c>
      <c r="H1420" s="4" t="s">
        <v>2893</v>
      </c>
      <c r="I1420" s="18" t="str" cm="1">
        <f t="array" ref="I1420">_xlfn.LET(_xlpm.text, D1420,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420" s="18" t="str" cm="1">
        <f t="array" ref="J1420">_xlfn.LET(_xlpm.text, E1420,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0" s="14">
        <f t="shared" si="111"/>
        <v>45993</v>
      </c>
      <c r="L1420" s="14">
        <f t="shared" si="112"/>
        <v>45993.624664351853</v>
      </c>
      <c r="N1420" s="12"/>
    </row>
    <row r="1421" spans="1:14" x14ac:dyDescent="0.25">
      <c r="A1421" s="4" t="s">
        <v>1451</v>
      </c>
      <c r="B1421" s="16" t="str">
        <f t="shared" si="108"/>
        <v>M/s SHREE VISHNU MINERALS</v>
      </c>
      <c r="C1421" s="16" t="str">
        <f t="shared" si="109"/>
        <v>Mokha Charnan / Kolayat / Bikaner</v>
      </c>
      <c r="D1421" s="4" t="s">
        <v>3034</v>
      </c>
      <c r="E1421" s="4" t="s">
        <v>3119</v>
      </c>
      <c r="F1421" s="5">
        <v>45992.999664351853</v>
      </c>
      <c r="G1421" s="16" t="str">
        <f t="shared" si="110"/>
        <v>Silica Sand</v>
      </c>
      <c r="H1421" s="4" t="s">
        <v>2611</v>
      </c>
      <c r="I1421" s="18" t="str" cm="1">
        <f t="array" ref="I1421">_xlfn.LET(_xlpm.text, D1421,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1" s="18" t="str" cm="1">
        <f t="array" ref="J1421">_xlfn.LET(_xlpm.text, E1421,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1" s="14">
        <f t="shared" si="111"/>
        <v>45993</v>
      </c>
      <c r="L1421" s="14">
        <f t="shared" si="112"/>
        <v>45993.624664351853</v>
      </c>
      <c r="N1421" s="12"/>
    </row>
    <row r="1422" spans="1:14" x14ac:dyDescent="0.25">
      <c r="A1422" s="4" t="s">
        <v>1452</v>
      </c>
      <c r="B1422" s="16" t="str">
        <f t="shared" si="108"/>
        <v>M/s SHREE VISHNU MINERALS</v>
      </c>
      <c r="C1422" s="16" t="str">
        <f t="shared" si="109"/>
        <v>Mokha Charnan / Kolayat / Bikaner</v>
      </c>
      <c r="D1422" s="4" t="s">
        <v>3034</v>
      </c>
      <c r="E1422" s="4" t="s">
        <v>3119</v>
      </c>
      <c r="F1422" s="5">
        <v>45992.999664351853</v>
      </c>
      <c r="G1422" s="16" t="str">
        <f t="shared" si="110"/>
        <v>Silica Sand</v>
      </c>
      <c r="H1422" s="4" t="s">
        <v>2611</v>
      </c>
      <c r="I1422" s="18" t="str" cm="1">
        <f t="array" ref="I1422">_xlfn.LET(_xlpm.text, D1422,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2" s="18" t="str" cm="1">
        <f t="array" ref="J1422">_xlfn.LET(_xlpm.text, E1422,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2" s="14">
        <f t="shared" si="111"/>
        <v>45993</v>
      </c>
      <c r="L1422" s="14">
        <f t="shared" si="112"/>
        <v>45993.624664351853</v>
      </c>
      <c r="N1422" s="12"/>
    </row>
    <row r="1423" spans="1:14" x14ac:dyDescent="0.25">
      <c r="A1423" s="4" t="s">
        <v>1453</v>
      </c>
      <c r="B1423" s="16" t="str">
        <f t="shared" si="108"/>
        <v>M/s SHREE VISHNU MINERALS</v>
      </c>
      <c r="C1423" s="16" t="str">
        <f t="shared" si="109"/>
        <v>Mokha Charnan / Kolayat / Bikaner</v>
      </c>
      <c r="D1423" s="4" t="s">
        <v>3034</v>
      </c>
      <c r="E1423" s="4" t="s">
        <v>3119</v>
      </c>
      <c r="F1423" s="5">
        <v>45992.999664351853</v>
      </c>
      <c r="G1423" s="16" t="str">
        <f t="shared" si="110"/>
        <v>Silica Sand</v>
      </c>
      <c r="H1423" s="4" t="s">
        <v>2882</v>
      </c>
      <c r="I1423" s="18" t="str" cm="1">
        <f t="array" ref="I1423">_xlfn.LET(_xlpm.text, D1423,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3" s="18" t="str" cm="1">
        <f t="array" ref="J1423">_xlfn.LET(_xlpm.text, E1423,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3" s="14">
        <f t="shared" si="111"/>
        <v>45993</v>
      </c>
      <c r="L1423" s="14">
        <f t="shared" si="112"/>
        <v>45993.624664351853</v>
      </c>
      <c r="N1423" s="12"/>
    </row>
    <row r="1424" spans="1:14" x14ac:dyDescent="0.25">
      <c r="A1424" s="4" t="s">
        <v>1454</v>
      </c>
      <c r="B1424" s="16" t="str">
        <f t="shared" si="108"/>
        <v>M/s SHREE VISHNU MINERALS</v>
      </c>
      <c r="C1424" s="16" t="str">
        <f t="shared" si="109"/>
        <v>Mokha Charnan / Kolayat / Bikaner</v>
      </c>
      <c r="D1424" s="4" t="s">
        <v>3032</v>
      </c>
      <c r="E1424" s="4" t="s">
        <v>3119</v>
      </c>
      <c r="F1424" s="5">
        <v>45992.999664351853</v>
      </c>
      <c r="G1424" s="16" t="str">
        <f t="shared" si="110"/>
        <v>Silica Sand</v>
      </c>
      <c r="H1424" s="4" t="s">
        <v>2896</v>
      </c>
      <c r="I1424" s="18" t="str" cm="1">
        <f t="array" ref="I1424">_xlfn.LET(_xlpm.text, D1424,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424" s="18" t="str" cm="1">
        <f t="array" ref="J1424">_xlfn.LET(_xlpm.text, E1424,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4" s="14">
        <f t="shared" si="111"/>
        <v>45993</v>
      </c>
      <c r="L1424" s="14">
        <f t="shared" si="112"/>
        <v>45993.624664351853</v>
      </c>
      <c r="N1424" s="12"/>
    </row>
    <row r="1425" spans="1:14" x14ac:dyDescent="0.25">
      <c r="A1425" s="4" t="s">
        <v>1455</v>
      </c>
      <c r="B1425" s="16" t="str">
        <f t="shared" si="108"/>
        <v>M/s SHREE VISHNU MINERALS</v>
      </c>
      <c r="C1425" s="16" t="str">
        <f t="shared" si="109"/>
        <v>Mokha Charnan / Kolayat / Bikaner</v>
      </c>
      <c r="D1425" s="4" t="s">
        <v>3034</v>
      </c>
      <c r="E1425" s="4" t="s">
        <v>3119</v>
      </c>
      <c r="F1425" s="5">
        <v>45993.999664351853</v>
      </c>
      <c r="G1425" s="16" t="str">
        <f t="shared" si="110"/>
        <v>Silica Sand</v>
      </c>
      <c r="H1425" s="4" t="s">
        <v>2555</v>
      </c>
      <c r="I1425" s="18" t="str" cm="1">
        <f t="array" ref="I1425">_xlfn.LET(_xlpm.text, D1425,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5" s="18" t="str" cm="1">
        <f t="array" ref="J1425">_xlfn.LET(_xlpm.text, E1425,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5" s="14">
        <f t="shared" si="111"/>
        <v>45994</v>
      </c>
      <c r="L1425" s="14">
        <f t="shared" si="112"/>
        <v>45994.624664351853</v>
      </c>
      <c r="N1425" s="12"/>
    </row>
    <row r="1426" spans="1:14" x14ac:dyDescent="0.25">
      <c r="A1426" s="4" t="s">
        <v>1456</v>
      </c>
      <c r="B1426" s="16" t="str">
        <f t="shared" si="108"/>
        <v>M/s SHREE VISHNU MINERALS</v>
      </c>
      <c r="C1426" s="16" t="str">
        <f t="shared" si="109"/>
        <v>Mokha Charnan / Kolayat / Bikaner</v>
      </c>
      <c r="D1426" s="4" t="s">
        <v>3034</v>
      </c>
      <c r="E1426" s="4" t="s">
        <v>3119</v>
      </c>
      <c r="F1426" s="5">
        <v>45993.999664351853</v>
      </c>
      <c r="G1426" s="16" t="str">
        <f t="shared" si="110"/>
        <v>Silica Sand</v>
      </c>
      <c r="H1426" s="4" t="s">
        <v>2259</v>
      </c>
      <c r="I1426" s="18" t="str" cm="1">
        <f t="array" ref="I1426">_xlfn.LET(_xlpm.text, D1426,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6" s="18" t="str" cm="1">
        <f t="array" ref="J1426">_xlfn.LET(_xlpm.text, E1426,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6" s="14">
        <f t="shared" si="111"/>
        <v>45994</v>
      </c>
      <c r="L1426" s="14">
        <f t="shared" si="112"/>
        <v>45994.624664351853</v>
      </c>
      <c r="N1426" s="12"/>
    </row>
    <row r="1427" spans="1:14" x14ac:dyDescent="0.25">
      <c r="A1427" s="4" t="s">
        <v>1457</v>
      </c>
      <c r="B1427" s="16" t="str">
        <f t="shared" si="108"/>
        <v>M/s SHREE VISHNU MINERALS</v>
      </c>
      <c r="C1427" s="16" t="str">
        <f t="shared" si="109"/>
        <v>Mokha Charnan / Kolayat / Bikaner</v>
      </c>
      <c r="D1427" s="4" t="s">
        <v>3034</v>
      </c>
      <c r="E1427" s="4" t="s">
        <v>3119</v>
      </c>
      <c r="F1427" s="5">
        <v>45993.999664351853</v>
      </c>
      <c r="G1427" s="16" t="str">
        <f t="shared" si="110"/>
        <v>Silica Sand</v>
      </c>
      <c r="H1427" s="4" t="s">
        <v>2882</v>
      </c>
      <c r="I1427" s="18" t="str" cm="1">
        <f t="array" ref="I1427">_xlfn.LET(_xlpm.text, D1427,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7" s="18" t="str" cm="1">
        <f t="array" ref="J1427">_xlfn.LET(_xlpm.text, E1427,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7" s="14">
        <f t="shared" si="111"/>
        <v>45994</v>
      </c>
      <c r="L1427" s="14">
        <f t="shared" si="112"/>
        <v>45994.624664351853</v>
      </c>
      <c r="N1427" s="12"/>
    </row>
    <row r="1428" spans="1:14" x14ac:dyDescent="0.25">
      <c r="A1428" s="4" t="s">
        <v>1458</v>
      </c>
      <c r="B1428" s="16" t="str">
        <f t="shared" si="108"/>
        <v>M/s SHREE VISHNU MINERALS</v>
      </c>
      <c r="C1428" s="16" t="str">
        <f t="shared" si="109"/>
        <v>Mokha Charnan / Kolayat / Bikaner</v>
      </c>
      <c r="D1428" s="4" t="s">
        <v>3034</v>
      </c>
      <c r="E1428" s="4" t="s">
        <v>3119</v>
      </c>
      <c r="F1428" s="5">
        <v>45993.999664351853</v>
      </c>
      <c r="G1428" s="16" t="str">
        <f t="shared" si="110"/>
        <v>Silica Sand</v>
      </c>
      <c r="H1428" s="4" t="s">
        <v>2882</v>
      </c>
      <c r="I1428" s="18" t="str" cm="1">
        <f t="array" ref="I1428">_xlfn.LET(_xlpm.text, D1428,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8" s="18" t="str" cm="1">
        <f t="array" ref="J1428">_xlfn.LET(_xlpm.text, E1428,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8" s="14">
        <f t="shared" si="111"/>
        <v>45994</v>
      </c>
      <c r="L1428" s="14">
        <f t="shared" si="112"/>
        <v>45994.624664351853</v>
      </c>
      <c r="N1428" s="12"/>
    </row>
    <row r="1429" spans="1:14" x14ac:dyDescent="0.25">
      <c r="A1429" s="4" t="s">
        <v>1459</v>
      </c>
      <c r="B1429" s="16" t="str">
        <f t="shared" si="108"/>
        <v>M/s SHREE VISHNU MINERALS</v>
      </c>
      <c r="C1429" s="16" t="str">
        <f t="shared" si="109"/>
        <v>Mokha Charnan / Kolayat / Bikaner</v>
      </c>
      <c r="D1429" s="4" t="s">
        <v>3034</v>
      </c>
      <c r="E1429" s="4" t="s">
        <v>3119</v>
      </c>
      <c r="F1429" s="5">
        <v>45993.999664351853</v>
      </c>
      <c r="G1429" s="16" t="str">
        <f t="shared" si="110"/>
        <v>Silica Sand</v>
      </c>
      <c r="H1429" s="4" t="s">
        <v>2582</v>
      </c>
      <c r="I1429" s="18" t="str" cm="1">
        <f t="array" ref="I1429">_xlfn.LET(_xlpm.text, D1429,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29" s="18" t="str" cm="1">
        <f t="array" ref="J1429">_xlfn.LET(_xlpm.text, E1429,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29" s="14">
        <f t="shared" si="111"/>
        <v>45994</v>
      </c>
      <c r="L1429" s="14">
        <f t="shared" si="112"/>
        <v>45994.624664351853</v>
      </c>
      <c r="N1429" s="12"/>
    </row>
    <row r="1430" spans="1:14" x14ac:dyDescent="0.25">
      <c r="A1430" s="4" t="s">
        <v>1460</v>
      </c>
      <c r="B1430" s="16" t="str">
        <f t="shared" si="108"/>
        <v>S.R.MINES AND MINERLS</v>
      </c>
      <c r="C1430" s="16" t="str">
        <f t="shared" si="109"/>
        <v>Indo Ka Bala / Kolayat / Bikaner</v>
      </c>
      <c r="D1430" s="4" t="s">
        <v>1382</v>
      </c>
      <c r="E1430" s="4" t="s">
        <v>3119</v>
      </c>
      <c r="F1430" s="5">
        <v>45994.999664351853</v>
      </c>
      <c r="G1430" s="16" t="str">
        <f t="shared" si="110"/>
        <v>Silica Sand</v>
      </c>
      <c r="H1430" s="4" t="s">
        <v>2581</v>
      </c>
      <c r="I1430" s="18" t="str" cm="1">
        <f t="array" ref="I1430">_xlfn.LET(_xlpm.text, D1430,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0" s="18" t="str" cm="1">
        <f t="array" ref="J1430">_xlfn.LET(_xlpm.text, E1430,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0" s="14">
        <f t="shared" si="111"/>
        <v>45995</v>
      </c>
      <c r="L1430" s="14">
        <f t="shared" si="112"/>
        <v>45995.624664351853</v>
      </c>
      <c r="N1430" s="12"/>
    </row>
    <row r="1431" spans="1:14" x14ac:dyDescent="0.25">
      <c r="A1431" s="4" t="s">
        <v>1461</v>
      </c>
      <c r="B1431" s="16" t="str">
        <f t="shared" si="108"/>
        <v>S.R.MINES AND MINERLS</v>
      </c>
      <c r="C1431" s="16" t="str">
        <f t="shared" si="109"/>
        <v>Indo Ka Bala / Kolayat / Bikaner</v>
      </c>
      <c r="D1431" s="4" t="s">
        <v>1382</v>
      </c>
      <c r="E1431" s="4" t="s">
        <v>3119</v>
      </c>
      <c r="F1431" s="5">
        <v>45994.999664351853</v>
      </c>
      <c r="G1431" s="16" t="str">
        <f t="shared" si="110"/>
        <v>Silica Sand</v>
      </c>
      <c r="H1431" s="4" t="s">
        <v>2581</v>
      </c>
      <c r="I1431" s="18" t="str" cm="1">
        <f t="array" ref="I1431">_xlfn.LET(_xlpm.text, D1431,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1" s="18" t="str" cm="1">
        <f t="array" ref="J1431">_xlfn.LET(_xlpm.text, E1431,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1" s="14">
        <f t="shared" si="111"/>
        <v>45995</v>
      </c>
      <c r="L1431" s="14">
        <f t="shared" si="112"/>
        <v>45995.624664351853</v>
      </c>
      <c r="N1431" s="12"/>
    </row>
    <row r="1432" spans="1:14" x14ac:dyDescent="0.25">
      <c r="A1432" s="4" t="s">
        <v>1462</v>
      </c>
      <c r="B1432" s="16" t="str">
        <f t="shared" si="108"/>
        <v>J.V MINES AND MINERALS</v>
      </c>
      <c r="C1432" s="16" t="str">
        <f t="shared" si="109"/>
        <v>Golari / Kolayat / Bikaner</v>
      </c>
      <c r="D1432" s="4" t="s">
        <v>3031</v>
      </c>
      <c r="E1432" s="4" t="s">
        <v>3119</v>
      </c>
      <c r="F1432" s="5">
        <v>45994.999664351853</v>
      </c>
      <c r="G1432" s="16" t="str">
        <f t="shared" si="110"/>
        <v>Silica Sand</v>
      </c>
      <c r="H1432" s="4" t="s">
        <v>2760</v>
      </c>
      <c r="I1432" s="18" t="str" cm="1">
        <f t="array" ref="I1432">_xlfn.LET(_xlpm.text, D1432,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32" s="18" t="str" cm="1">
        <f t="array" ref="J1432">_xlfn.LET(_xlpm.text, E1432,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2" s="14">
        <f t="shared" si="111"/>
        <v>45995</v>
      </c>
      <c r="L1432" s="14">
        <f t="shared" si="112"/>
        <v>45995.624664351853</v>
      </c>
      <c r="N1432" s="12"/>
    </row>
    <row r="1433" spans="1:14" x14ac:dyDescent="0.25">
      <c r="A1433" s="4" t="s">
        <v>1463</v>
      </c>
      <c r="B1433" s="16" t="str">
        <f t="shared" si="108"/>
        <v>S.R.MINES AND MINERLS</v>
      </c>
      <c r="C1433" s="16" t="str">
        <f t="shared" si="109"/>
        <v>Indo Ka Bala / Kolayat / Bikaner</v>
      </c>
      <c r="D1433" s="4" t="s">
        <v>1382</v>
      </c>
      <c r="E1433" s="4" t="s">
        <v>3119</v>
      </c>
      <c r="F1433" s="5">
        <v>45995.999664351853</v>
      </c>
      <c r="G1433" s="16" t="str">
        <f t="shared" si="110"/>
        <v>Silica Sand</v>
      </c>
      <c r="H1433" s="4" t="s">
        <v>2611</v>
      </c>
      <c r="I1433" s="18" t="str" cm="1">
        <f t="array" ref="I1433">_xlfn.LET(_xlpm.text, D1433,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3" s="18" t="str" cm="1">
        <f t="array" ref="J1433">_xlfn.LET(_xlpm.text, E1433,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3" s="14">
        <f t="shared" si="111"/>
        <v>45996</v>
      </c>
      <c r="L1433" s="14">
        <f t="shared" si="112"/>
        <v>45996.624664351853</v>
      </c>
      <c r="N1433" s="12"/>
    </row>
    <row r="1434" spans="1:14" x14ac:dyDescent="0.25">
      <c r="A1434" s="4" t="s">
        <v>1464</v>
      </c>
      <c r="B1434" s="16" t="str">
        <f t="shared" si="108"/>
        <v>S.R.MINES AND MINERLS</v>
      </c>
      <c r="C1434" s="16" t="str">
        <f t="shared" si="109"/>
        <v>Indo Ka Bala / Kolayat / Bikaner</v>
      </c>
      <c r="D1434" s="4" t="s">
        <v>1382</v>
      </c>
      <c r="E1434" s="4" t="s">
        <v>3119</v>
      </c>
      <c r="F1434" s="5">
        <v>45995.999664351853</v>
      </c>
      <c r="G1434" s="16" t="str">
        <f t="shared" si="110"/>
        <v>Silica Sand</v>
      </c>
      <c r="H1434" s="4" t="s">
        <v>2581</v>
      </c>
      <c r="I1434" s="18" t="str" cm="1">
        <f t="array" ref="I1434">_xlfn.LET(_xlpm.text, D1434,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4" s="18" t="str" cm="1">
        <f t="array" ref="J1434">_xlfn.LET(_xlpm.text, E1434,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4" s="14">
        <f t="shared" si="111"/>
        <v>45996</v>
      </c>
      <c r="L1434" s="14">
        <f t="shared" si="112"/>
        <v>45996.624664351853</v>
      </c>
      <c r="N1434" s="12"/>
    </row>
    <row r="1435" spans="1:14" x14ac:dyDescent="0.25">
      <c r="A1435" s="4" t="s">
        <v>1465</v>
      </c>
      <c r="B1435" s="16" t="str">
        <f t="shared" si="108"/>
        <v>S.R.MINES AND MINERLS</v>
      </c>
      <c r="C1435" s="16" t="str">
        <f t="shared" si="109"/>
        <v>Indo Ka Bala / Kolayat / Bikaner</v>
      </c>
      <c r="D1435" s="4" t="s">
        <v>1382</v>
      </c>
      <c r="E1435" s="4" t="s">
        <v>3119</v>
      </c>
      <c r="F1435" s="5">
        <v>45995.999664351853</v>
      </c>
      <c r="G1435" s="16" t="str">
        <f t="shared" si="110"/>
        <v>Silica Sand</v>
      </c>
      <c r="H1435" s="4" t="s">
        <v>2611</v>
      </c>
      <c r="I1435" s="18" t="str" cm="1">
        <f t="array" ref="I1435">_xlfn.LET(_xlpm.text, D1435,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5" s="18" t="str" cm="1">
        <f t="array" ref="J1435">_xlfn.LET(_xlpm.text, E1435,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5" s="14">
        <f t="shared" si="111"/>
        <v>45996</v>
      </c>
      <c r="L1435" s="14">
        <f t="shared" si="112"/>
        <v>45996.624664351853</v>
      </c>
      <c r="N1435" s="12"/>
    </row>
    <row r="1436" spans="1:14" x14ac:dyDescent="0.25">
      <c r="A1436" s="4" t="s">
        <v>1466</v>
      </c>
      <c r="B1436" s="16" t="str">
        <f t="shared" si="108"/>
        <v>S.R.MINES AND MINERLS</v>
      </c>
      <c r="C1436" s="16" t="str">
        <f t="shared" si="109"/>
        <v>Indo Ka Bala / Kolayat / Bikaner</v>
      </c>
      <c r="D1436" s="4" t="s">
        <v>1382</v>
      </c>
      <c r="E1436" s="4" t="s">
        <v>3119</v>
      </c>
      <c r="F1436" s="5">
        <v>45995.999664351853</v>
      </c>
      <c r="G1436" s="16" t="str">
        <f t="shared" si="110"/>
        <v>Silica Sand</v>
      </c>
      <c r="H1436" s="4" t="s">
        <v>2897</v>
      </c>
      <c r="I1436" s="18" t="str" cm="1">
        <f t="array" ref="I1436">_xlfn.LET(_xlpm.text, D1436,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6" s="18" t="str" cm="1">
        <f t="array" ref="J1436">_xlfn.LET(_xlpm.text, E1436,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6" s="14">
        <f t="shared" si="111"/>
        <v>45996</v>
      </c>
      <c r="L1436" s="14">
        <f t="shared" si="112"/>
        <v>45996.624664351853</v>
      </c>
      <c r="N1436" s="12"/>
    </row>
    <row r="1437" spans="1:14" x14ac:dyDescent="0.25">
      <c r="A1437" s="4" t="s">
        <v>1467</v>
      </c>
      <c r="B1437" s="16" t="str">
        <f t="shared" si="108"/>
        <v>S.R.MINES AND MINERLS</v>
      </c>
      <c r="C1437" s="16" t="str">
        <f t="shared" si="109"/>
        <v>Indo Ka Bala / Kolayat / Bikaner</v>
      </c>
      <c r="D1437" s="4" t="s">
        <v>1382</v>
      </c>
      <c r="E1437" s="4" t="s">
        <v>3119</v>
      </c>
      <c r="F1437" s="5">
        <v>45995.999664351853</v>
      </c>
      <c r="G1437" s="16" t="str">
        <f t="shared" si="110"/>
        <v>Silica Sand</v>
      </c>
      <c r="H1437" s="4" t="s">
        <v>2581</v>
      </c>
      <c r="I1437" s="18" t="str" cm="1">
        <f t="array" ref="I1437">_xlfn.LET(_xlpm.text, D1437,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37" s="18" t="str" cm="1">
        <f t="array" ref="J1437">_xlfn.LET(_xlpm.text, E1437,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7" s="14">
        <f t="shared" si="111"/>
        <v>45996</v>
      </c>
      <c r="L1437" s="14">
        <f t="shared" si="112"/>
        <v>45996.624664351853</v>
      </c>
      <c r="N1437" s="12"/>
    </row>
    <row r="1438" spans="1:14" x14ac:dyDescent="0.25">
      <c r="A1438" s="4" t="s">
        <v>1468</v>
      </c>
      <c r="B1438" s="16" t="str">
        <f t="shared" si="108"/>
        <v>S.R.MINES AND MINERLS</v>
      </c>
      <c r="C1438" s="16" t="str">
        <f t="shared" si="109"/>
        <v>Indo Ka Bala / Kolayat / Bikaner</v>
      </c>
      <c r="D1438" s="4" t="s">
        <v>3031</v>
      </c>
      <c r="E1438" s="4" t="s">
        <v>3119</v>
      </c>
      <c r="F1438" s="5">
        <v>45995.999664351853</v>
      </c>
      <c r="G1438" s="16" t="str">
        <f t="shared" si="110"/>
        <v>Silica Sand</v>
      </c>
      <c r="H1438" s="4" t="s">
        <v>2898</v>
      </c>
      <c r="I1438" s="18" t="str" cm="1">
        <f t="array" ref="I1438">_xlfn.LET(_xlpm.text, D1438,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38" s="18" t="str" cm="1">
        <f t="array" ref="J1438">_xlfn.LET(_xlpm.text, E1438,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8" s="14">
        <f t="shared" si="111"/>
        <v>45996</v>
      </c>
      <c r="L1438" s="14">
        <f t="shared" si="112"/>
        <v>45996.624664351853</v>
      </c>
      <c r="N1438" s="12"/>
    </row>
    <row r="1439" spans="1:14" x14ac:dyDescent="0.25">
      <c r="A1439" s="4" t="s">
        <v>1469</v>
      </c>
      <c r="B1439" s="16" t="str">
        <f t="shared" si="108"/>
        <v>S.R.MINES AND MINERLS</v>
      </c>
      <c r="C1439" s="16" t="str">
        <f t="shared" si="109"/>
        <v>Indo Ka Bala / Kolayat / Bikaner</v>
      </c>
      <c r="D1439" s="4" t="s">
        <v>3031</v>
      </c>
      <c r="E1439" s="4" t="s">
        <v>3119</v>
      </c>
      <c r="F1439" s="5">
        <v>45996.999664351853</v>
      </c>
      <c r="G1439" s="16" t="str">
        <f t="shared" si="110"/>
        <v>Silica Sand</v>
      </c>
      <c r="H1439" s="4" t="s">
        <v>2898</v>
      </c>
      <c r="I1439" s="18" t="str" cm="1">
        <f t="array" ref="I1439">_xlfn.LET(_xlpm.text, D1439,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39" s="18" t="str" cm="1">
        <f t="array" ref="J1439">_xlfn.LET(_xlpm.text, E1439,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39" s="14">
        <f t="shared" si="111"/>
        <v>45997</v>
      </c>
      <c r="L1439" s="14">
        <f t="shared" si="112"/>
        <v>45997.624664351853</v>
      </c>
      <c r="N1439" s="12"/>
    </row>
    <row r="1440" spans="1:14" x14ac:dyDescent="0.25">
      <c r="A1440" s="4" t="s">
        <v>1470</v>
      </c>
      <c r="B1440" s="16" t="str">
        <f t="shared" si="108"/>
        <v>M/s SHREE VISHNU MINERALS</v>
      </c>
      <c r="C1440" s="16" t="str">
        <f t="shared" si="109"/>
        <v>Mokha Charnan / Kolayat / Bikaner</v>
      </c>
      <c r="D1440" s="4" t="s">
        <v>3034</v>
      </c>
      <c r="E1440" s="4" t="s">
        <v>3119</v>
      </c>
      <c r="F1440" s="5">
        <v>45996.999664351853</v>
      </c>
      <c r="G1440" s="16" t="str">
        <f t="shared" si="110"/>
        <v>Silica Sand</v>
      </c>
      <c r="H1440" s="4" t="s">
        <v>2617</v>
      </c>
      <c r="I1440" s="18" t="str" cm="1">
        <f t="array" ref="I1440">_xlfn.LET(_xlpm.text, D1440,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0" s="18" t="str" cm="1">
        <f t="array" ref="J1440">_xlfn.LET(_xlpm.text, E1440,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0" s="14">
        <f t="shared" si="111"/>
        <v>45997</v>
      </c>
      <c r="L1440" s="14">
        <f t="shared" si="112"/>
        <v>45997.624664351853</v>
      </c>
      <c r="N1440" s="12"/>
    </row>
    <row r="1441" spans="1:14" x14ac:dyDescent="0.25">
      <c r="A1441" s="4" t="s">
        <v>1471</v>
      </c>
      <c r="B1441" s="16" t="str">
        <f t="shared" si="108"/>
        <v>M/s SHREE VISHNU MINERALS</v>
      </c>
      <c r="C1441" s="16" t="str">
        <f t="shared" si="109"/>
        <v>Mokha Charnan / Kolayat / Bikaner</v>
      </c>
      <c r="D1441" s="4" t="s">
        <v>3034</v>
      </c>
      <c r="E1441" s="4" t="s">
        <v>3119</v>
      </c>
      <c r="F1441" s="5">
        <v>45996.999664351853</v>
      </c>
      <c r="G1441" s="16" t="str">
        <f t="shared" si="110"/>
        <v>Silica Sand</v>
      </c>
      <c r="H1441" s="4" t="s">
        <v>2882</v>
      </c>
      <c r="I1441" s="18" t="str" cm="1">
        <f t="array" ref="I1441">_xlfn.LET(_xlpm.text, D1441,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1" s="18" t="str" cm="1">
        <f t="array" ref="J1441">_xlfn.LET(_xlpm.text, E1441,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1" s="14">
        <f t="shared" si="111"/>
        <v>45997</v>
      </c>
      <c r="L1441" s="14">
        <f t="shared" si="112"/>
        <v>45997.624664351853</v>
      </c>
      <c r="N1441" s="12"/>
    </row>
    <row r="1442" spans="1:14" x14ac:dyDescent="0.25">
      <c r="A1442" s="4" t="s">
        <v>1472</v>
      </c>
      <c r="B1442" s="16" t="str">
        <f t="shared" si="108"/>
        <v>M/s SHREE VISHNU MINERALS</v>
      </c>
      <c r="C1442" s="16" t="str">
        <f t="shared" si="109"/>
        <v>Mokha Charnan / Kolayat / Bikaner</v>
      </c>
      <c r="D1442" s="4" t="s">
        <v>3034</v>
      </c>
      <c r="E1442" s="4" t="s">
        <v>3119</v>
      </c>
      <c r="F1442" s="5">
        <v>45996.999664351853</v>
      </c>
      <c r="G1442" s="16" t="str">
        <f t="shared" si="110"/>
        <v>Silica Sand</v>
      </c>
      <c r="H1442" s="4" t="s">
        <v>2899</v>
      </c>
      <c r="I1442" s="18" t="str" cm="1">
        <f t="array" ref="I1442">_xlfn.LET(_xlpm.text, D1442,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2" s="18" t="str" cm="1">
        <f t="array" ref="J1442">_xlfn.LET(_xlpm.text, E1442,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2" s="14">
        <f t="shared" si="111"/>
        <v>45997</v>
      </c>
      <c r="L1442" s="14">
        <f t="shared" si="112"/>
        <v>45997.624664351853</v>
      </c>
      <c r="N1442" s="12"/>
    </row>
    <row r="1443" spans="1:14" x14ac:dyDescent="0.25">
      <c r="A1443" s="4" t="s">
        <v>1473</v>
      </c>
      <c r="B1443" s="16" t="str">
        <f t="shared" si="108"/>
        <v>J.V MINES AND MINERALS</v>
      </c>
      <c r="C1443" s="16" t="str">
        <f t="shared" si="109"/>
        <v>Golari / Kolayat / Bikaner</v>
      </c>
      <c r="D1443" s="4" t="s">
        <v>3031</v>
      </c>
      <c r="E1443" s="4" t="s">
        <v>3119</v>
      </c>
      <c r="F1443" s="5">
        <v>45996.999664351853</v>
      </c>
      <c r="G1443" s="16" t="str">
        <f t="shared" si="110"/>
        <v>Silica Sand</v>
      </c>
      <c r="H1443" s="4" t="s">
        <v>2900</v>
      </c>
      <c r="I1443" s="18" t="str" cm="1">
        <f t="array" ref="I1443">_xlfn.LET(_xlpm.text, D1443,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43" s="18" t="str" cm="1">
        <f t="array" ref="J1443">_xlfn.LET(_xlpm.text, E1443,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3" s="14">
        <f t="shared" si="111"/>
        <v>45997</v>
      </c>
      <c r="L1443" s="14">
        <f t="shared" si="112"/>
        <v>45997.624664351853</v>
      </c>
      <c r="N1443" s="12"/>
    </row>
    <row r="1444" spans="1:14" x14ac:dyDescent="0.25">
      <c r="A1444" s="4" t="s">
        <v>1474</v>
      </c>
      <c r="B1444" s="16" t="str">
        <f t="shared" si="108"/>
        <v>J.V MINES AND MINERALS</v>
      </c>
      <c r="C1444" s="16" t="str">
        <f t="shared" si="109"/>
        <v>Golari / Kolayat / Bikaner</v>
      </c>
      <c r="D1444" s="4" t="s">
        <v>3031</v>
      </c>
      <c r="E1444" s="4" t="s">
        <v>3119</v>
      </c>
      <c r="F1444" s="5">
        <v>45996.999664351853</v>
      </c>
      <c r="G1444" s="16" t="str">
        <f t="shared" si="110"/>
        <v>Silica Sand</v>
      </c>
      <c r="H1444" s="4" t="s">
        <v>2900</v>
      </c>
      <c r="I1444" s="18" t="str" cm="1">
        <f t="array" ref="I1444">_xlfn.LET(_xlpm.text, D1444,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44" s="18" t="str" cm="1">
        <f t="array" ref="J1444">_xlfn.LET(_xlpm.text, E1444,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4" s="14">
        <f t="shared" si="111"/>
        <v>45997</v>
      </c>
      <c r="L1444" s="14">
        <f t="shared" si="112"/>
        <v>45997.624664351853</v>
      </c>
      <c r="N1444" s="12"/>
    </row>
    <row r="1445" spans="1:14" x14ac:dyDescent="0.25">
      <c r="A1445" s="4" t="s">
        <v>1475</v>
      </c>
      <c r="B1445" s="16" t="str">
        <f t="shared" si="108"/>
        <v>S.R.MINES AND MINERLS</v>
      </c>
      <c r="C1445" s="16" t="str">
        <f t="shared" si="109"/>
        <v>Indo Ka Bala / Kolayat / Bikaner</v>
      </c>
      <c r="D1445" s="4" t="s">
        <v>1382</v>
      </c>
      <c r="E1445" s="4" t="s">
        <v>3119</v>
      </c>
      <c r="F1445" s="5">
        <v>45997.999664351853</v>
      </c>
      <c r="G1445" s="16" t="str">
        <f t="shared" si="110"/>
        <v>Silica Sand</v>
      </c>
      <c r="H1445" s="4" t="s">
        <v>2760</v>
      </c>
      <c r="I1445" s="18" t="str" cm="1">
        <f t="array" ref="I1445">_xlfn.LET(_xlpm.text, D1445,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45" s="18" t="str" cm="1">
        <f t="array" ref="J1445">_xlfn.LET(_xlpm.text, E1445,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5" s="14">
        <f t="shared" si="111"/>
        <v>45998</v>
      </c>
      <c r="L1445" s="14">
        <f t="shared" si="112"/>
        <v>45998.624664351853</v>
      </c>
      <c r="N1445" s="12"/>
    </row>
    <row r="1446" spans="1:14" x14ac:dyDescent="0.25">
      <c r="A1446" s="4" t="s">
        <v>1476</v>
      </c>
      <c r="B1446" s="16" t="str">
        <f t="shared" si="108"/>
        <v>M/s SHREE VISHNU MINERALS</v>
      </c>
      <c r="C1446" s="16" t="str">
        <f t="shared" si="109"/>
        <v>Mokha Charnan / Kolayat / Bikaner</v>
      </c>
      <c r="D1446" s="4" t="s">
        <v>3034</v>
      </c>
      <c r="E1446" s="4" t="s">
        <v>3119</v>
      </c>
      <c r="F1446" s="5">
        <v>45997.999664351853</v>
      </c>
      <c r="G1446" s="16" t="str">
        <f t="shared" si="110"/>
        <v>Silica Sand</v>
      </c>
      <c r="H1446" s="4" t="s">
        <v>2582</v>
      </c>
      <c r="I1446" s="18" t="str" cm="1">
        <f t="array" ref="I1446">_xlfn.LET(_xlpm.text, D1446,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6" s="18" t="str" cm="1">
        <f t="array" ref="J1446">_xlfn.LET(_xlpm.text, E1446,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6" s="14">
        <f t="shared" si="111"/>
        <v>45998</v>
      </c>
      <c r="L1446" s="14">
        <f t="shared" si="112"/>
        <v>45998.624664351853</v>
      </c>
      <c r="N1446" s="12"/>
    </row>
    <row r="1447" spans="1:14" x14ac:dyDescent="0.25">
      <c r="A1447" s="4" t="s">
        <v>1477</v>
      </c>
      <c r="B1447" s="16" t="str">
        <f t="shared" si="108"/>
        <v>M/s SHREE VISHNU MINERALS</v>
      </c>
      <c r="C1447" s="16" t="str">
        <f t="shared" si="109"/>
        <v>Mokha Charnan / Kolayat / Bikaner</v>
      </c>
      <c r="D1447" s="4" t="s">
        <v>3034</v>
      </c>
      <c r="E1447" s="4" t="s">
        <v>3119</v>
      </c>
      <c r="F1447" s="5">
        <v>45997.999664351853</v>
      </c>
      <c r="G1447" s="16" t="str">
        <f t="shared" si="110"/>
        <v>Silica Sand</v>
      </c>
      <c r="H1447" s="4" t="s">
        <v>2901</v>
      </c>
      <c r="I1447" s="18" t="str" cm="1">
        <f t="array" ref="I1447">_xlfn.LET(_xlpm.text, D1447,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7" s="18" t="str" cm="1">
        <f t="array" ref="J1447">_xlfn.LET(_xlpm.text, E1447,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7" s="14">
        <f t="shared" si="111"/>
        <v>45998</v>
      </c>
      <c r="L1447" s="14">
        <f t="shared" si="112"/>
        <v>45998.624664351853</v>
      </c>
      <c r="N1447" s="12"/>
    </row>
    <row r="1448" spans="1:14" x14ac:dyDescent="0.25">
      <c r="A1448" s="4" t="s">
        <v>1478</v>
      </c>
      <c r="B1448" s="16" t="str">
        <f t="shared" si="108"/>
        <v>M/s SHREE VISHNU MINERALS</v>
      </c>
      <c r="C1448" s="16" t="str">
        <f t="shared" si="109"/>
        <v>Mokha Charnan / Kolayat / Bikaner</v>
      </c>
      <c r="D1448" s="4" t="s">
        <v>3034</v>
      </c>
      <c r="E1448" s="4" t="s">
        <v>3119</v>
      </c>
      <c r="F1448" s="5">
        <v>45997.999664351853</v>
      </c>
      <c r="G1448" s="16" t="str">
        <f t="shared" si="110"/>
        <v>Silica Sand</v>
      </c>
      <c r="H1448" s="4" t="s">
        <v>394</v>
      </c>
      <c r="I1448" s="18" t="str" cm="1">
        <f t="array" ref="I1448">_xlfn.LET(_xlpm.text, D1448,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8" s="18" t="str" cm="1">
        <f t="array" ref="J1448">_xlfn.LET(_xlpm.text, E1448,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8" s="14">
        <f t="shared" si="111"/>
        <v>45998</v>
      </c>
      <c r="L1448" s="14">
        <f t="shared" si="112"/>
        <v>45998.624664351853</v>
      </c>
      <c r="N1448" s="12"/>
    </row>
    <row r="1449" spans="1:14" x14ac:dyDescent="0.25">
      <c r="A1449" s="4" t="s">
        <v>1479</v>
      </c>
      <c r="B1449" s="16" t="str">
        <f t="shared" si="108"/>
        <v>M/s SHREE VISHNU MINERALS</v>
      </c>
      <c r="C1449" s="16" t="str">
        <f t="shared" si="109"/>
        <v>Mokha Charnan / Kolayat / Bikaner</v>
      </c>
      <c r="D1449" s="4" t="s">
        <v>3034</v>
      </c>
      <c r="E1449" s="4" t="s">
        <v>3119</v>
      </c>
      <c r="F1449" s="5">
        <v>45997.999664351853</v>
      </c>
      <c r="G1449" s="16" t="str">
        <f t="shared" si="110"/>
        <v>Silica Sand</v>
      </c>
      <c r="H1449" s="4" t="s">
        <v>2882</v>
      </c>
      <c r="I1449" s="18" t="str" cm="1">
        <f t="array" ref="I1449">_xlfn.LET(_xlpm.text, D1449,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49" s="18" t="str" cm="1">
        <f t="array" ref="J1449">_xlfn.LET(_xlpm.text, E1449,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49" s="14">
        <f t="shared" si="111"/>
        <v>45998</v>
      </c>
      <c r="L1449" s="14">
        <f t="shared" si="112"/>
        <v>45998.624664351853</v>
      </c>
      <c r="N1449" s="12"/>
    </row>
    <row r="1450" spans="1:14" x14ac:dyDescent="0.25">
      <c r="A1450" s="4" t="s">
        <v>1480</v>
      </c>
      <c r="B1450" s="16" t="str">
        <f t="shared" si="108"/>
        <v>M/s SHREE VISHNU MINERALS</v>
      </c>
      <c r="C1450" s="16" t="str">
        <f t="shared" si="109"/>
        <v>Mokha Charnan / Kolayat / Bikaner</v>
      </c>
      <c r="D1450" s="4" t="s">
        <v>3034</v>
      </c>
      <c r="E1450" s="4" t="s">
        <v>3119</v>
      </c>
      <c r="F1450" s="5">
        <v>45997.999664351853</v>
      </c>
      <c r="G1450" s="16" t="str">
        <f t="shared" si="110"/>
        <v>Silica Sand</v>
      </c>
      <c r="H1450" s="4" t="s">
        <v>2882</v>
      </c>
      <c r="I1450" s="18" t="str" cm="1">
        <f t="array" ref="I1450">_xlfn.LET(_xlpm.text, D1450,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50" s="18" t="str" cm="1">
        <f t="array" ref="J1450">_xlfn.LET(_xlpm.text, E1450,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0" s="14">
        <f t="shared" si="111"/>
        <v>45998</v>
      </c>
      <c r="L1450" s="14">
        <f t="shared" si="112"/>
        <v>45998.624664351853</v>
      </c>
      <c r="N1450" s="12"/>
    </row>
    <row r="1451" spans="1:14" x14ac:dyDescent="0.25">
      <c r="A1451" s="4" t="s">
        <v>1481</v>
      </c>
      <c r="B1451" s="16" t="str">
        <f t="shared" si="108"/>
        <v>M/s SHREE VISHNU MINERALS</v>
      </c>
      <c r="C1451" s="16" t="str">
        <f t="shared" si="109"/>
        <v>Mokha Charnan / Kolayat / Bikaner</v>
      </c>
      <c r="D1451" s="4" t="s">
        <v>3034</v>
      </c>
      <c r="E1451" s="4" t="s">
        <v>3119</v>
      </c>
      <c r="F1451" s="5">
        <v>45997.999664351853</v>
      </c>
      <c r="G1451" s="16" t="str">
        <f t="shared" si="110"/>
        <v>Silica Sand</v>
      </c>
      <c r="H1451" s="4" t="s">
        <v>2611</v>
      </c>
      <c r="I1451" s="18" t="str" cm="1">
        <f t="array" ref="I1451">_xlfn.LET(_xlpm.text, D1451,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51" s="18" t="str" cm="1">
        <f t="array" ref="J1451">_xlfn.LET(_xlpm.text, E1451,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1" s="14">
        <f t="shared" si="111"/>
        <v>45998</v>
      </c>
      <c r="L1451" s="14">
        <f t="shared" si="112"/>
        <v>45998.624664351853</v>
      </c>
      <c r="N1451" s="12"/>
    </row>
    <row r="1452" spans="1:14" x14ac:dyDescent="0.25">
      <c r="A1452" s="4" t="s">
        <v>1482</v>
      </c>
      <c r="B1452" s="16" t="str">
        <f t="shared" si="108"/>
        <v>S.R.MINES AND MINERLS</v>
      </c>
      <c r="C1452" s="16" t="str">
        <f t="shared" si="109"/>
        <v>Indo Ka Bala / Kolayat / Bikaner</v>
      </c>
      <c r="D1452" s="4" t="s">
        <v>1382</v>
      </c>
      <c r="E1452" s="4" t="s">
        <v>3119</v>
      </c>
      <c r="F1452" s="5">
        <v>45997.999664351853</v>
      </c>
      <c r="G1452" s="16" t="str">
        <f t="shared" si="110"/>
        <v>Silica Sand</v>
      </c>
      <c r="H1452" s="4" t="s">
        <v>2760</v>
      </c>
      <c r="I1452" s="18" t="str" cm="1">
        <f t="array" ref="I1452">_xlfn.LET(_xlpm.text, D1452,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52" s="18" t="str" cm="1">
        <f t="array" ref="J1452">_xlfn.LET(_xlpm.text, E1452,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2" s="14">
        <f t="shared" si="111"/>
        <v>45998</v>
      </c>
      <c r="L1452" s="14">
        <f t="shared" si="112"/>
        <v>45998.624664351853</v>
      </c>
      <c r="N1452" s="12"/>
    </row>
    <row r="1453" spans="1:14" x14ac:dyDescent="0.25">
      <c r="A1453" s="4" t="s">
        <v>1483</v>
      </c>
      <c r="B1453" s="16" t="str">
        <f t="shared" si="108"/>
        <v>M/s SHREE VISHNU MINERALS</v>
      </c>
      <c r="C1453" s="16" t="str">
        <f t="shared" si="109"/>
        <v>Mokha Charnan / Kolayat / Bikaner</v>
      </c>
      <c r="D1453" s="4" t="s">
        <v>3035</v>
      </c>
      <c r="E1453" s="4" t="s">
        <v>3119</v>
      </c>
      <c r="F1453" s="5">
        <v>45997.999664351853</v>
      </c>
      <c r="G1453" s="16" t="str">
        <f t="shared" si="110"/>
        <v>Silica Sand</v>
      </c>
      <c r="H1453" s="4" t="s">
        <v>2611</v>
      </c>
      <c r="I1453" s="18" t="str" cm="1">
        <f t="array" ref="I1453">_xlfn.LET(_xlpm.text, D1453,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53" s="18" t="str" cm="1">
        <f t="array" ref="J1453">_xlfn.LET(_xlpm.text, E1453,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3" s="14">
        <f t="shared" si="111"/>
        <v>45998</v>
      </c>
      <c r="L1453" s="14">
        <f t="shared" si="112"/>
        <v>45998.624664351853</v>
      </c>
      <c r="N1453" s="12"/>
    </row>
    <row r="1454" spans="1:14" x14ac:dyDescent="0.25">
      <c r="A1454" s="4" t="s">
        <v>1484</v>
      </c>
      <c r="B1454" s="16" t="str">
        <f t="shared" si="108"/>
        <v>M/s SHREE VISHNU MINERALS</v>
      </c>
      <c r="C1454" s="16" t="str">
        <f t="shared" si="109"/>
        <v>Mokha Charnan / Kolayat / Bikaner</v>
      </c>
      <c r="D1454" s="4" t="s">
        <v>3034</v>
      </c>
      <c r="E1454" s="4" t="s">
        <v>3119</v>
      </c>
      <c r="F1454" s="5">
        <v>45999.999664351853</v>
      </c>
      <c r="G1454" s="16" t="str">
        <f t="shared" si="110"/>
        <v>Silica Sand</v>
      </c>
      <c r="H1454" s="4" t="s">
        <v>2882</v>
      </c>
      <c r="I1454" s="18" t="str" cm="1">
        <f t="array" ref="I1454">_xlfn.LET(_xlpm.text, D1454,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54" s="18" t="str" cm="1">
        <f t="array" ref="J1454">_xlfn.LET(_xlpm.text, E1454,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4" s="14">
        <f t="shared" si="111"/>
        <v>46000</v>
      </c>
      <c r="L1454" s="14">
        <f t="shared" si="112"/>
        <v>46000.624664351853</v>
      </c>
      <c r="N1454" s="12"/>
    </row>
    <row r="1455" spans="1:14" x14ac:dyDescent="0.25">
      <c r="A1455" s="4" t="s">
        <v>1485</v>
      </c>
      <c r="B1455" s="16" t="str">
        <f t="shared" si="108"/>
        <v>M/s SHREE VISHNU MINERALS</v>
      </c>
      <c r="C1455" s="16" t="str">
        <f t="shared" si="109"/>
        <v>Mokha Charnan / Kolayat / Bikaner</v>
      </c>
      <c r="D1455" s="4" t="s">
        <v>3034</v>
      </c>
      <c r="E1455" s="4" t="s">
        <v>3119</v>
      </c>
      <c r="F1455" s="5">
        <v>45998.999664351853</v>
      </c>
      <c r="G1455" s="16" t="str">
        <f t="shared" si="110"/>
        <v>Silica Sand</v>
      </c>
      <c r="H1455" s="4" t="s">
        <v>2882</v>
      </c>
      <c r="I1455" s="18" t="str" cm="1">
        <f t="array" ref="I1455">_xlfn.LET(_xlpm.text, D1455,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55" s="18" t="str" cm="1">
        <f t="array" ref="J1455">_xlfn.LET(_xlpm.text, E1455,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5" s="14">
        <f t="shared" si="111"/>
        <v>45999</v>
      </c>
      <c r="L1455" s="14">
        <f t="shared" si="112"/>
        <v>45999.624664351853</v>
      </c>
      <c r="N1455" s="12"/>
    </row>
    <row r="1456" spans="1:14" x14ac:dyDescent="0.25">
      <c r="A1456" s="4" t="s">
        <v>1486</v>
      </c>
      <c r="B1456" s="16" t="str">
        <f t="shared" si="108"/>
        <v>M/s SHREE VISHNU MINERALS</v>
      </c>
      <c r="C1456" s="16" t="str">
        <f t="shared" si="109"/>
        <v>Mokha Charnan / Kolayat / Bikaner</v>
      </c>
      <c r="D1456" s="4" t="s">
        <v>3034</v>
      </c>
      <c r="E1456" s="4" t="s">
        <v>3119</v>
      </c>
      <c r="F1456" s="5">
        <v>45998.999664351853</v>
      </c>
      <c r="G1456" s="16" t="str">
        <f t="shared" si="110"/>
        <v>Silica Sand</v>
      </c>
      <c r="H1456" s="4" t="s">
        <v>2895</v>
      </c>
      <c r="I1456" s="18" t="str" cm="1">
        <f t="array" ref="I1456">_xlfn.LET(_xlpm.text, D1456,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56" s="18" t="str" cm="1">
        <f t="array" ref="J1456">_xlfn.LET(_xlpm.text, E1456,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6" s="14">
        <f t="shared" si="111"/>
        <v>45999</v>
      </c>
      <c r="L1456" s="14">
        <f t="shared" si="112"/>
        <v>45999.624664351853</v>
      </c>
      <c r="N1456" s="12"/>
    </row>
    <row r="1457" spans="1:14" x14ac:dyDescent="0.25">
      <c r="A1457" s="4" t="s">
        <v>1487</v>
      </c>
      <c r="B1457" s="16" t="str">
        <f t="shared" si="108"/>
        <v>S.R.MINES AND MINERLS</v>
      </c>
      <c r="C1457" s="16" t="str">
        <f t="shared" si="109"/>
        <v>Indo Ka Bala / Kolayat / Bikaner</v>
      </c>
      <c r="D1457" s="4" t="s">
        <v>1382</v>
      </c>
      <c r="E1457" s="4" t="s">
        <v>3119</v>
      </c>
      <c r="F1457" s="5">
        <v>45998.999664351853</v>
      </c>
      <c r="G1457" s="16" t="str">
        <f t="shared" si="110"/>
        <v>Silica Sand</v>
      </c>
      <c r="H1457" s="4" t="s">
        <v>2582</v>
      </c>
      <c r="I1457" s="18" t="str" cm="1">
        <f t="array" ref="I1457">_xlfn.LET(_xlpm.text, D1457,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57" s="18" t="str" cm="1">
        <f t="array" ref="J1457">_xlfn.LET(_xlpm.text, E1457,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7" s="14">
        <f t="shared" si="111"/>
        <v>45999</v>
      </c>
      <c r="L1457" s="14">
        <f t="shared" si="112"/>
        <v>45999.624664351853</v>
      </c>
      <c r="N1457" s="12"/>
    </row>
    <row r="1458" spans="1:14" x14ac:dyDescent="0.25">
      <c r="A1458" s="4" t="s">
        <v>1488</v>
      </c>
      <c r="B1458" s="16" t="str">
        <f t="shared" si="108"/>
        <v>S.R.MINES AND MINERLS</v>
      </c>
      <c r="C1458" s="16" t="str">
        <f t="shared" si="109"/>
        <v>Indo Ka Bala / Kolayat / Bikaner</v>
      </c>
      <c r="D1458" s="4" t="s">
        <v>1382</v>
      </c>
      <c r="E1458" s="4" t="s">
        <v>3119</v>
      </c>
      <c r="F1458" s="5">
        <v>45998.999664351853</v>
      </c>
      <c r="G1458" s="16" t="str">
        <f t="shared" si="110"/>
        <v>Silica Sand</v>
      </c>
      <c r="H1458" s="4" t="s">
        <v>427</v>
      </c>
      <c r="I1458" s="18" t="str" cm="1">
        <f t="array" ref="I1458">_xlfn.LET(_xlpm.text, D1458,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58" s="18" t="str" cm="1">
        <f t="array" ref="J1458">_xlfn.LET(_xlpm.text, E1458,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8" s="14">
        <f t="shared" si="111"/>
        <v>45999</v>
      </c>
      <c r="L1458" s="14">
        <f t="shared" si="112"/>
        <v>45999.624664351853</v>
      </c>
      <c r="N1458" s="12"/>
    </row>
    <row r="1459" spans="1:14" x14ac:dyDescent="0.25">
      <c r="A1459" s="4" t="s">
        <v>1489</v>
      </c>
      <c r="B1459" s="16" t="str">
        <f t="shared" si="108"/>
        <v>GUDHA ASSOCIATES</v>
      </c>
      <c r="C1459" s="16" t="str">
        <f t="shared" si="109"/>
        <v>Samorakhi / Kolayat / Bikaner</v>
      </c>
      <c r="D1459" s="4" t="s">
        <v>3031</v>
      </c>
      <c r="E1459" s="4" t="s">
        <v>3119</v>
      </c>
      <c r="F1459" s="5">
        <v>45998.999664351853</v>
      </c>
      <c r="G1459" s="16" t="str">
        <f t="shared" si="110"/>
        <v>Silica Sand</v>
      </c>
      <c r="H1459" s="4" t="s">
        <v>2902</v>
      </c>
      <c r="I1459" s="18" t="str" cm="1">
        <f t="array" ref="I1459">_xlfn.LET(_xlpm.text, D1459,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59" s="18" t="str" cm="1">
        <f t="array" ref="J1459">_xlfn.LET(_xlpm.text, E1459,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59" s="14">
        <f t="shared" si="111"/>
        <v>45999</v>
      </c>
      <c r="L1459" s="14">
        <f t="shared" si="112"/>
        <v>45999.624664351853</v>
      </c>
      <c r="N1459" s="12"/>
    </row>
    <row r="1460" spans="1:14" x14ac:dyDescent="0.25">
      <c r="A1460" s="4" t="s">
        <v>1490</v>
      </c>
      <c r="B1460" s="16" t="str">
        <f t="shared" si="108"/>
        <v>J.V MINES AND MINERALS</v>
      </c>
      <c r="C1460" s="16" t="str">
        <f t="shared" si="109"/>
        <v>Golari / Kolayat / Bikaner</v>
      </c>
      <c r="D1460" s="4" t="s">
        <v>3031</v>
      </c>
      <c r="E1460" s="4" t="s">
        <v>3119</v>
      </c>
      <c r="F1460" s="5">
        <v>45998.999664351853</v>
      </c>
      <c r="G1460" s="16" t="str">
        <f t="shared" si="110"/>
        <v>Silica Sand</v>
      </c>
      <c r="H1460" s="4" t="s">
        <v>2900</v>
      </c>
      <c r="I1460" s="18" t="str" cm="1">
        <f t="array" ref="I1460">_xlfn.LET(_xlpm.text, D1460,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60" s="18" t="str" cm="1">
        <f t="array" ref="J1460">_xlfn.LET(_xlpm.text, E1460,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0" s="14">
        <f t="shared" si="111"/>
        <v>45999</v>
      </c>
      <c r="L1460" s="14">
        <f t="shared" si="112"/>
        <v>45999.624664351853</v>
      </c>
      <c r="N1460" s="12"/>
    </row>
    <row r="1461" spans="1:14" x14ac:dyDescent="0.25">
      <c r="A1461" s="4" t="s">
        <v>1491</v>
      </c>
      <c r="B1461" s="16" t="str">
        <f t="shared" si="108"/>
        <v>GUDHA ASSOCIATES</v>
      </c>
      <c r="C1461" s="16" t="str">
        <f t="shared" si="109"/>
        <v>Samorakhi / Kolayat / Bikaner</v>
      </c>
      <c r="D1461" s="4" t="s">
        <v>3031</v>
      </c>
      <c r="E1461" s="4" t="s">
        <v>3119</v>
      </c>
      <c r="F1461" s="5">
        <v>45998.999664351853</v>
      </c>
      <c r="G1461" s="16" t="str">
        <f t="shared" si="110"/>
        <v>Silica Sand</v>
      </c>
      <c r="H1461" s="4" t="s">
        <v>2902</v>
      </c>
      <c r="I1461" s="18" t="str" cm="1">
        <f t="array" ref="I1461">_xlfn.LET(_xlpm.text, D1461,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61" s="18" t="str" cm="1">
        <f t="array" ref="J1461">_xlfn.LET(_xlpm.text, E1461,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1" s="14">
        <f t="shared" si="111"/>
        <v>45999</v>
      </c>
      <c r="L1461" s="14">
        <f t="shared" si="112"/>
        <v>45999.624664351853</v>
      </c>
      <c r="N1461" s="12"/>
    </row>
    <row r="1462" spans="1:14" x14ac:dyDescent="0.25">
      <c r="A1462" s="4" t="s">
        <v>1492</v>
      </c>
      <c r="B1462" s="16" t="str">
        <f t="shared" si="108"/>
        <v>S.R.MINES AND MINERLS</v>
      </c>
      <c r="C1462" s="16" t="str">
        <f t="shared" si="109"/>
        <v>Indo Ka Bala / Kolayat / Bikaner</v>
      </c>
      <c r="D1462" s="4" t="s">
        <v>1382</v>
      </c>
      <c r="E1462" s="4" t="s">
        <v>3119</v>
      </c>
      <c r="F1462" s="5">
        <v>45999.999664351853</v>
      </c>
      <c r="G1462" s="16" t="str">
        <f t="shared" si="110"/>
        <v>Silica Sand</v>
      </c>
      <c r="H1462" s="4" t="s">
        <v>2581</v>
      </c>
      <c r="I1462" s="18" t="str" cm="1">
        <f t="array" ref="I1462">_xlfn.LET(_xlpm.text, D1462,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62" s="18" t="str" cm="1">
        <f t="array" ref="J1462">_xlfn.LET(_xlpm.text, E1462,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2" s="14">
        <f t="shared" si="111"/>
        <v>46000</v>
      </c>
      <c r="L1462" s="14">
        <f t="shared" si="112"/>
        <v>46000.624664351853</v>
      </c>
      <c r="N1462" s="12"/>
    </row>
    <row r="1463" spans="1:14" x14ac:dyDescent="0.25">
      <c r="A1463" s="4" t="s">
        <v>1493</v>
      </c>
      <c r="B1463" s="16" t="str">
        <f t="shared" si="108"/>
        <v>M/s SHREE VISHNU MINERALS</v>
      </c>
      <c r="C1463" s="16" t="str">
        <f t="shared" si="109"/>
        <v>Mokha Charnan / Kolayat / Bikaner</v>
      </c>
      <c r="D1463" s="4" t="s">
        <v>3034</v>
      </c>
      <c r="E1463" s="4" t="s">
        <v>3119</v>
      </c>
      <c r="F1463" s="5">
        <v>45999.999664351853</v>
      </c>
      <c r="G1463" s="16" t="str">
        <f t="shared" si="110"/>
        <v>Silica Sand</v>
      </c>
      <c r="H1463" s="4" t="s">
        <v>2611</v>
      </c>
      <c r="I1463" s="18" t="str" cm="1">
        <f t="array" ref="I1463">_xlfn.LET(_xlpm.text, D1463,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63" s="18" t="str" cm="1">
        <f t="array" ref="J1463">_xlfn.LET(_xlpm.text, E1463,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3" s="14">
        <f t="shared" si="111"/>
        <v>46000</v>
      </c>
      <c r="L1463" s="14">
        <f t="shared" si="112"/>
        <v>46000.624664351853</v>
      </c>
      <c r="N1463" s="12"/>
    </row>
    <row r="1464" spans="1:14" x14ac:dyDescent="0.25">
      <c r="A1464" s="4" t="s">
        <v>1494</v>
      </c>
      <c r="B1464" s="16" t="str">
        <f t="shared" si="108"/>
        <v>M/s SHREE VISHNU MINERALS</v>
      </c>
      <c r="C1464" s="16" t="str">
        <f t="shared" si="109"/>
        <v>Mokha Charnan / Kolayat / Bikaner</v>
      </c>
      <c r="D1464" s="4" t="s">
        <v>3034</v>
      </c>
      <c r="E1464" s="4" t="s">
        <v>3119</v>
      </c>
      <c r="F1464" s="5">
        <v>45999.999664351853</v>
      </c>
      <c r="G1464" s="16" t="str">
        <f t="shared" si="110"/>
        <v>Silica Sand</v>
      </c>
      <c r="H1464" s="4" t="s">
        <v>2882</v>
      </c>
      <c r="I1464" s="18" t="str" cm="1">
        <f t="array" ref="I1464">_xlfn.LET(_xlpm.text, D1464,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64" s="18" t="str" cm="1">
        <f t="array" ref="J1464">_xlfn.LET(_xlpm.text, E1464,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4" s="14">
        <f t="shared" si="111"/>
        <v>46000</v>
      </c>
      <c r="L1464" s="14">
        <f t="shared" si="112"/>
        <v>46000.624664351853</v>
      </c>
      <c r="N1464" s="12"/>
    </row>
    <row r="1465" spans="1:14" x14ac:dyDescent="0.25">
      <c r="A1465" s="4" t="s">
        <v>1495</v>
      </c>
      <c r="B1465" s="16" t="str">
        <f t="shared" si="108"/>
        <v>M/s SHREE VISHNU MINERALS</v>
      </c>
      <c r="C1465" s="16" t="str">
        <f t="shared" si="109"/>
        <v>Mokha Charnan / Kolayat / Bikaner</v>
      </c>
      <c r="D1465" s="4" t="s">
        <v>3034</v>
      </c>
      <c r="E1465" s="4" t="s">
        <v>3119</v>
      </c>
      <c r="F1465" s="5">
        <v>45999.999664351853</v>
      </c>
      <c r="G1465" s="16" t="str">
        <f t="shared" si="110"/>
        <v>Silica Sand</v>
      </c>
      <c r="H1465" s="4" t="s">
        <v>2617</v>
      </c>
      <c r="I1465" s="18" t="str" cm="1">
        <f t="array" ref="I1465">_xlfn.LET(_xlpm.text, D1465,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65" s="18" t="str" cm="1">
        <f t="array" ref="J1465">_xlfn.LET(_xlpm.text, E1465,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5" s="14">
        <f t="shared" si="111"/>
        <v>46000</v>
      </c>
      <c r="L1465" s="14">
        <f t="shared" si="112"/>
        <v>46000.624664351853</v>
      </c>
      <c r="N1465" s="12"/>
    </row>
    <row r="1466" spans="1:14" x14ac:dyDescent="0.25">
      <c r="A1466" s="4" t="s">
        <v>1496</v>
      </c>
      <c r="B1466" s="16" t="str">
        <f t="shared" si="108"/>
        <v>S.R.MINES AND MINERLS</v>
      </c>
      <c r="C1466" s="16" t="str">
        <f t="shared" si="109"/>
        <v>Indo Ka Bala / Kolayat / Bikaner</v>
      </c>
      <c r="D1466" s="4" t="s">
        <v>1382</v>
      </c>
      <c r="E1466" s="4" t="s">
        <v>3119</v>
      </c>
      <c r="F1466" s="5">
        <v>46000.999664351853</v>
      </c>
      <c r="G1466" s="16" t="str">
        <f t="shared" si="110"/>
        <v>Silica Sand</v>
      </c>
      <c r="H1466" s="4" t="s">
        <v>427</v>
      </c>
      <c r="I1466" s="18" t="str" cm="1">
        <f t="array" ref="I1466">_xlfn.LET(_xlpm.text, D1466,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66" s="18" t="str" cm="1">
        <f t="array" ref="J1466">_xlfn.LET(_xlpm.text, E1466,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6" s="14">
        <f t="shared" si="111"/>
        <v>46001</v>
      </c>
      <c r="L1466" s="14">
        <f t="shared" si="112"/>
        <v>46001.624664351853</v>
      </c>
      <c r="N1466" s="12"/>
    </row>
    <row r="1467" spans="1:14" x14ac:dyDescent="0.25">
      <c r="A1467" s="4" t="s">
        <v>1497</v>
      </c>
      <c r="B1467" s="16" t="str">
        <f t="shared" si="108"/>
        <v>M/s SHREE VISHNU MINERALS</v>
      </c>
      <c r="C1467" s="16" t="str">
        <f t="shared" si="109"/>
        <v>Mokha Charnan / Kolayat / Bikaner</v>
      </c>
      <c r="D1467" s="4" t="s">
        <v>3034</v>
      </c>
      <c r="E1467" s="4" t="s">
        <v>3119</v>
      </c>
      <c r="F1467" s="5">
        <v>46000.999664351853</v>
      </c>
      <c r="G1467" s="16" t="str">
        <f t="shared" si="110"/>
        <v>Silica Sand</v>
      </c>
      <c r="H1467" s="4" t="s">
        <v>2878</v>
      </c>
      <c r="I1467" s="18" t="str" cm="1">
        <f t="array" ref="I1467">_xlfn.LET(_xlpm.text, D1467,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67" s="18" t="str" cm="1">
        <f t="array" ref="J1467">_xlfn.LET(_xlpm.text, E1467,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7" s="14">
        <f t="shared" si="111"/>
        <v>46001</v>
      </c>
      <c r="L1467" s="14">
        <f t="shared" si="112"/>
        <v>46001.624664351853</v>
      </c>
      <c r="N1467" s="12"/>
    </row>
    <row r="1468" spans="1:14" x14ac:dyDescent="0.25">
      <c r="A1468" s="4" t="s">
        <v>1498</v>
      </c>
      <c r="B1468" s="16" t="str">
        <f t="shared" si="108"/>
        <v>M/s SHREE VISHNU MINERALS</v>
      </c>
      <c r="C1468" s="16" t="str">
        <f t="shared" si="109"/>
        <v>Mokha Charnan / Kolayat / Bikaner</v>
      </c>
      <c r="D1468" s="4" t="s">
        <v>3034</v>
      </c>
      <c r="E1468" s="4" t="s">
        <v>3119</v>
      </c>
      <c r="F1468" s="5">
        <v>46000.999664351853</v>
      </c>
      <c r="G1468" s="16" t="str">
        <f t="shared" si="110"/>
        <v>Silica Sand</v>
      </c>
      <c r="H1468" s="4" t="s">
        <v>2617</v>
      </c>
      <c r="I1468" s="18" t="str" cm="1">
        <f t="array" ref="I1468">_xlfn.LET(_xlpm.text, D1468,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68" s="18" t="str" cm="1">
        <f t="array" ref="J1468">_xlfn.LET(_xlpm.text, E1468,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8" s="14">
        <f t="shared" si="111"/>
        <v>46001</v>
      </c>
      <c r="L1468" s="14">
        <f t="shared" si="112"/>
        <v>46001.624664351853</v>
      </c>
      <c r="N1468" s="12"/>
    </row>
    <row r="1469" spans="1:14" x14ac:dyDescent="0.25">
      <c r="A1469" s="4" t="s">
        <v>1499</v>
      </c>
      <c r="B1469" s="16" t="str">
        <f t="shared" si="108"/>
        <v>S.R.MINES AND MINERLS</v>
      </c>
      <c r="C1469" s="16" t="str">
        <f t="shared" si="109"/>
        <v>Indo Ka Bala / Kolayat / Bikaner</v>
      </c>
      <c r="D1469" s="4" t="s">
        <v>1382</v>
      </c>
      <c r="E1469" s="4" t="s">
        <v>3119</v>
      </c>
      <c r="F1469" s="5">
        <v>46001.999664351853</v>
      </c>
      <c r="G1469" s="16" t="str">
        <f t="shared" si="110"/>
        <v>Silica Sand</v>
      </c>
      <c r="H1469" s="4" t="s">
        <v>2503</v>
      </c>
      <c r="I1469" s="18" t="str" cm="1">
        <f t="array" ref="I1469">_xlfn.LET(_xlpm.text, D1469,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69" s="18" t="str" cm="1">
        <f t="array" ref="J1469">_xlfn.LET(_xlpm.text, E1469,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69" s="14">
        <f t="shared" si="111"/>
        <v>46002</v>
      </c>
      <c r="L1469" s="14">
        <f t="shared" si="112"/>
        <v>46002.624664351853</v>
      </c>
      <c r="N1469" s="12"/>
    </row>
    <row r="1470" spans="1:14" x14ac:dyDescent="0.25">
      <c r="A1470" s="4" t="s">
        <v>1500</v>
      </c>
      <c r="B1470" s="16" t="str">
        <f t="shared" si="108"/>
        <v>M/s SHREE VISHNU MINERALS</v>
      </c>
      <c r="C1470" s="16" t="str">
        <f t="shared" si="109"/>
        <v>Mokha Charnan / Kolayat / Bikaner</v>
      </c>
      <c r="D1470" s="4" t="s">
        <v>3034</v>
      </c>
      <c r="E1470" s="4" t="s">
        <v>3119</v>
      </c>
      <c r="F1470" s="5">
        <v>46001.999664351853</v>
      </c>
      <c r="G1470" s="16" t="str">
        <f t="shared" si="110"/>
        <v>Silica Sand</v>
      </c>
      <c r="H1470" s="4" t="s">
        <v>2903</v>
      </c>
      <c r="I1470" s="18" t="str" cm="1">
        <f t="array" ref="I1470">_xlfn.LET(_xlpm.text, D1470,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70" s="18" t="str" cm="1">
        <f t="array" ref="J1470">_xlfn.LET(_xlpm.text, E1470,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0" s="14">
        <f t="shared" si="111"/>
        <v>46002</v>
      </c>
      <c r="L1470" s="14">
        <f t="shared" si="112"/>
        <v>46002.624664351853</v>
      </c>
      <c r="N1470" s="12"/>
    </row>
    <row r="1471" spans="1:14" x14ac:dyDescent="0.25">
      <c r="A1471" s="4" t="s">
        <v>1501</v>
      </c>
      <c r="B1471" s="16" t="str">
        <f t="shared" si="108"/>
        <v>S.R.MINES AND MINERLS</v>
      </c>
      <c r="C1471" s="16" t="str">
        <f t="shared" si="109"/>
        <v>Indo Ka Bala / Kolayat / Bikaner</v>
      </c>
      <c r="D1471" s="4" t="s">
        <v>1382</v>
      </c>
      <c r="E1471" s="4" t="s">
        <v>3119</v>
      </c>
      <c r="F1471" s="5">
        <v>46002.999664351853</v>
      </c>
      <c r="G1471" s="16" t="str">
        <f t="shared" si="110"/>
        <v>Silica Sand</v>
      </c>
      <c r="H1471" s="4" t="s">
        <v>2605</v>
      </c>
      <c r="I1471" s="18" t="str" cm="1">
        <f t="array" ref="I1471">_xlfn.LET(_xlpm.text, D1471,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71" s="18" t="str" cm="1">
        <f t="array" ref="J1471">_xlfn.LET(_xlpm.text, E1471,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1" s="14">
        <f t="shared" si="111"/>
        <v>46003</v>
      </c>
      <c r="L1471" s="14">
        <f t="shared" si="112"/>
        <v>46003.624664351853</v>
      </c>
      <c r="N1471" s="12"/>
    </row>
    <row r="1472" spans="1:14" x14ac:dyDescent="0.25">
      <c r="A1472" s="4" t="s">
        <v>1502</v>
      </c>
      <c r="B1472" s="16" t="str">
        <f t="shared" si="108"/>
        <v>M/s SHREE VISHNU MINERALS</v>
      </c>
      <c r="C1472" s="16" t="str">
        <f t="shared" si="109"/>
        <v>Mokha Charnan / Kolayat / Bikaner</v>
      </c>
      <c r="D1472" s="4" t="s">
        <v>3034</v>
      </c>
      <c r="E1472" s="4" t="s">
        <v>3119</v>
      </c>
      <c r="F1472" s="5">
        <v>46002.999664351853</v>
      </c>
      <c r="G1472" s="16" t="str">
        <f t="shared" si="110"/>
        <v>Silica Sand</v>
      </c>
      <c r="H1472" s="4" t="s">
        <v>2617</v>
      </c>
      <c r="I1472" s="18" t="str" cm="1">
        <f t="array" ref="I1472">_xlfn.LET(_xlpm.text, D1472,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72" s="18" t="str" cm="1">
        <f t="array" ref="J1472">_xlfn.LET(_xlpm.text, E1472,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2" s="14">
        <f t="shared" si="111"/>
        <v>46003</v>
      </c>
      <c r="L1472" s="14">
        <f t="shared" si="112"/>
        <v>46003.624664351853</v>
      </c>
      <c r="N1472" s="12"/>
    </row>
    <row r="1473" spans="1:14" x14ac:dyDescent="0.25">
      <c r="A1473" s="4" t="s">
        <v>1503</v>
      </c>
      <c r="B1473" s="16" t="str">
        <f t="shared" si="108"/>
        <v>M/s SHREE VISHNU MINERALS</v>
      </c>
      <c r="C1473" s="16" t="str">
        <f t="shared" si="109"/>
        <v>Mokha Charnan / Kolayat / Bikaner</v>
      </c>
      <c r="D1473" s="4" t="s">
        <v>3034</v>
      </c>
      <c r="E1473" s="4" t="s">
        <v>3119</v>
      </c>
      <c r="F1473" s="5">
        <v>46002.999664351853</v>
      </c>
      <c r="G1473" s="16" t="str">
        <f t="shared" si="110"/>
        <v>Silica Sand</v>
      </c>
      <c r="H1473" s="4" t="s">
        <v>2903</v>
      </c>
      <c r="I1473" s="18" t="str" cm="1">
        <f t="array" ref="I1473">_xlfn.LET(_xlpm.text, D1473,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73" s="18" t="str" cm="1">
        <f t="array" ref="J1473">_xlfn.LET(_xlpm.text, E1473,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3" s="14">
        <f t="shared" si="111"/>
        <v>46003</v>
      </c>
      <c r="L1473" s="14">
        <f t="shared" si="112"/>
        <v>46003.624664351853</v>
      </c>
      <c r="N1473" s="12"/>
    </row>
    <row r="1474" spans="1:14" x14ac:dyDescent="0.25">
      <c r="A1474" s="4" t="s">
        <v>1504</v>
      </c>
      <c r="B1474" s="16" t="str">
        <f t="shared" ref="B1474:B1537" si="113">VLOOKUP(LEFT($A1474,4)&amp;"*",$O$3:$R$17, 2, FALSE)</f>
        <v>M/s SHREE VISHNU MINERALS</v>
      </c>
      <c r="C1474" s="16" t="str">
        <f t="shared" ref="C1474:C1537" si="114">VLOOKUP(LEFT($A1474,4)&amp;"*",$O$3:$R$17, 3, FALSE)</f>
        <v>Mokha Charnan / Kolayat / Bikaner</v>
      </c>
      <c r="D1474" s="4" t="s">
        <v>3034</v>
      </c>
      <c r="E1474" s="4" t="s">
        <v>3119</v>
      </c>
      <c r="F1474" s="5">
        <v>46002.999664351853</v>
      </c>
      <c r="G1474" s="16" t="str">
        <f t="shared" ref="G1474:G1537" si="115">VLOOKUP(LEFT($A1474,4)&amp;"*",$O$3:$R$17, 4, FALSE)</f>
        <v>Silica Sand</v>
      </c>
      <c r="H1474" s="4" t="s">
        <v>2904</v>
      </c>
      <c r="I1474" s="18" t="str" cm="1">
        <f t="array" ref="I1474">_xlfn.LET(_xlpm.text, D1474,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74" s="18" t="str" cm="1">
        <f t="array" ref="J1474">_xlfn.LET(_xlpm.text, E1474,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4" s="14">
        <f t="shared" si="111"/>
        <v>46003</v>
      </c>
      <c r="L1474" s="14">
        <f t="shared" si="112"/>
        <v>46003.624664351853</v>
      </c>
      <c r="N1474" s="12"/>
    </row>
    <row r="1475" spans="1:14" x14ac:dyDescent="0.25">
      <c r="A1475" s="4" t="s">
        <v>1505</v>
      </c>
      <c r="B1475" s="16" t="str">
        <f t="shared" si="113"/>
        <v>M/s SHREE VISHNU MINERALS</v>
      </c>
      <c r="C1475" s="16" t="str">
        <f t="shared" si="114"/>
        <v>Mokha Charnan / Kolayat / Bikaner</v>
      </c>
      <c r="D1475" s="4" t="s">
        <v>3034</v>
      </c>
      <c r="E1475" s="4" t="s">
        <v>3119</v>
      </c>
      <c r="F1475" s="5">
        <v>46002.999664351853</v>
      </c>
      <c r="G1475" s="16" t="str">
        <f t="shared" si="115"/>
        <v>Silica Sand</v>
      </c>
      <c r="H1475" s="4" t="s">
        <v>2582</v>
      </c>
      <c r="I1475" s="18" t="str" cm="1">
        <f t="array" ref="I1475">_xlfn.LET(_xlpm.text, D1475,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75" s="18" t="str" cm="1">
        <f t="array" ref="J1475">_xlfn.LET(_xlpm.text, E1475,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5" s="14">
        <f t="shared" ref="K1475:K1538" si="116">F1475+(29/86400)</f>
        <v>46003</v>
      </c>
      <c r="L1475" s="14">
        <f t="shared" ref="L1475:L1538" si="117">F1475+(15/24)</f>
        <v>46003.624664351853</v>
      </c>
      <c r="N1475" s="12"/>
    </row>
    <row r="1476" spans="1:14" x14ac:dyDescent="0.25">
      <c r="A1476" s="4" t="s">
        <v>1506</v>
      </c>
      <c r="B1476" s="16" t="str">
        <f t="shared" si="113"/>
        <v>GUDHA ASSOCIATES</v>
      </c>
      <c r="C1476" s="16" t="str">
        <f t="shared" si="114"/>
        <v>Samorakhi / Kolayat / Bikaner</v>
      </c>
      <c r="D1476" s="4" t="s">
        <v>3031</v>
      </c>
      <c r="E1476" s="4" t="s">
        <v>3119</v>
      </c>
      <c r="F1476" s="5">
        <v>46002.999664351853</v>
      </c>
      <c r="G1476" s="16" t="str">
        <f t="shared" si="115"/>
        <v>Silica Sand</v>
      </c>
      <c r="H1476" s="4" t="s">
        <v>2905</v>
      </c>
      <c r="I1476" s="18" t="str" cm="1">
        <f t="array" ref="I1476">_xlfn.LET(_xlpm.text, D1476,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76" s="18" t="str" cm="1">
        <f t="array" ref="J1476">_xlfn.LET(_xlpm.text, E1476,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6" s="14">
        <f t="shared" si="116"/>
        <v>46003</v>
      </c>
      <c r="L1476" s="14">
        <f t="shared" si="117"/>
        <v>46003.624664351853</v>
      </c>
      <c r="N1476" s="12"/>
    </row>
    <row r="1477" spans="1:14" x14ac:dyDescent="0.25">
      <c r="A1477" s="4" t="s">
        <v>1507</v>
      </c>
      <c r="B1477" s="16" t="str">
        <f t="shared" si="113"/>
        <v>ANIL KUMAR KHICHER</v>
      </c>
      <c r="C1477" s="16" t="str">
        <f t="shared" si="114"/>
        <v>Kishnasar / Nokha / Bikaner</v>
      </c>
      <c r="D1477" s="4" t="s">
        <v>3034</v>
      </c>
      <c r="E1477" s="4" t="s">
        <v>3119</v>
      </c>
      <c r="F1477" s="5">
        <v>45972.999664351853</v>
      </c>
      <c r="G1477" s="16" t="str">
        <f t="shared" si="115"/>
        <v>Silica Sand</v>
      </c>
      <c r="H1477" s="4" t="s">
        <v>2882</v>
      </c>
      <c r="I1477" s="18" t="str" cm="1">
        <f t="array" ref="I1477">_xlfn.LET(_xlpm.text, D1477,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77" s="18" t="str" cm="1">
        <f t="array" ref="J1477">_xlfn.LET(_xlpm.text, E1477,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7" s="14">
        <f t="shared" si="116"/>
        <v>45973</v>
      </c>
      <c r="L1477" s="14">
        <f t="shared" si="117"/>
        <v>45973.624664351853</v>
      </c>
      <c r="N1477" s="12"/>
    </row>
    <row r="1478" spans="1:14" x14ac:dyDescent="0.25">
      <c r="A1478" s="4" t="s">
        <v>1508</v>
      </c>
      <c r="B1478" s="16" t="str">
        <f t="shared" si="113"/>
        <v>GUDHA ASSOCIATES</v>
      </c>
      <c r="C1478" s="16" t="str">
        <f t="shared" si="114"/>
        <v>Samorakhi / Kolayat / Bikaner</v>
      </c>
      <c r="D1478" s="4" t="s">
        <v>3031</v>
      </c>
      <c r="E1478" s="4" t="s">
        <v>3119</v>
      </c>
      <c r="F1478" s="5">
        <v>46002.999664351853</v>
      </c>
      <c r="G1478" s="16" t="str">
        <f t="shared" si="115"/>
        <v>Silica Sand</v>
      </c>
      <c r="H1478" s="4" t="s">
        <v>2580</v>
      </c>
      <c r="I1478" s="18" t="str" cm="1">
        <f t="array" ref="I1478">_xlfn.LET(_xlpm.text, D1478,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478" s="18" t="str" cm="1">
        <f t="array" ref="J1478">_xlfn.LET(_xlpm.text, E1478,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8" s="14">
        <f t="shared" si="116"/>
        <v>46003</v>
      </c>
      <c r="L1478" s="14">
        <f t="shared" si="117"/>
        <v>46003.624664351853</v>
      </c>
      <c r="N1478" s="12"/>
    </row>
    <row r="1479" spans="1:14" x14ac:dyDescent="0.25">
      <c r="A1479" s="4" t="s">
        <v>1509</v>
      </c>
      <c r="B1479" s="16" t="str">
        <f t="shared" si="113"/>
        <v>M/s SHREE VISHNU MINERALS</v>
      </c>
      <c r="C1479" s="16" t="str">
        <f t="shared" si="114"/>
        <v>Mokha Charnan / Kolayat / Bikaner</v>
      </c>
      <c r="D1479" s="4" t="s">
        <v>3035</v>
      </c>
      <c r="E1479" s="4" t="s">
        <v>3119</v>
      </c>
      <c r="F1479" s="5">
        <v>46002.999664351853</v>
      </c>
      <c r="G1479" s="16" t="str">
        <f t="shared" si="115"/>
        <v>Silica Sand</v>
      </c>
      <c r="H1479" s="4" t="s">
        <v>2617</v>
      </c>
      <c r="I1479" s="18" t="str" cm="1">
        <f t="array" ref="I1479">_xlfn.LET(_xlpm.text, D1479,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79" s="18" t="str" cm="1">
        <f t="array" ref="J1479">_xlfn.LET(_xlpm.text, E1479,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79" s="14">
        <f t="shared" si="116"/>
        <v>46003</v>
      </c>
      <c r="L1479" s="14">
        <f t="shared" si="117"/>
        <v>46003.624664351853</v>
      </c>
      <c r="N1479" s="12"/>
    </row>
    <row r="1480" spans="1:14" x14ac:dyDescent="0.25">
      <c r="A1480" s="4" t="s">
        <v>1510</v>
      </c>
      <c r="B1480" s="16" t="str">
        <f t="shared" si="113"/>
        <v>M/s SHREE VISHNU MINERALS</v>
      </c>
      <c r="C1480" s="16" t="str">
        <f t="shared" si="114"/>
        <v>Mokha Charnan / Kolayat / Bikaner</v>
      </c>
      <c r="D1480" s="4" t="s">
        <v>3034</v>
      </c>
      <c r="E1480" s="4" t="s">
        <v>3119</v>
      </c>
      <c r="F1480" s="5">
        <v>46003.999664351853</v>
      </c>
      <c r="G1480" s="16" t="str">
        <f t="shared" si="115"/>
        <v>Silica Sand</v>
      </c>
      <c r="H1480" s="4" t="s">
        <v>2571</v>
      </c>
      <c r="I1480" s="18" t="str" cm="1">
        <f t="array" ref="I1480">_xlfn.LET(_xlpm.text, D1480,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80" s="18" t="str" cm="1">
        <f t="array" ref="J1480">_xlfn.LET(_xlpm.text, E1480,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0" s="14">
        <f t="shared" si="116"/>
        <v>46004</v>
      </c>
      <c r="L1480" s="14">
        <f t="shared" si="117"/>
        <v>46004.624664351853</v>
      </c>
      <c r="N1480" s="12"/>
    </row>
    <row r="1481" spans="1:14" x14ac:dyDescent="0.25">
      <c r="A1481" s="4" t="s">
        <v>1511</v>
      </c>
      <c r="B1481" s="16" t="str">
        <f t="shared" si="113"/>
        <v>S.R.MINES AND MINERLS</v>
      </c>
      <c r="C1481" s="16" t="str">
        <f t="shared" si="114"/>
        <v>Indo Ka Bala / Kolayat / Bikaner</v>
      </c>
      <c r="D1481" s="4" t="s">
        <v>1382</v>
      </c>
      <c r="E1481" s="4" t="s">
        <v>3119</v>
      </c>
      <c r="F1481" s="5">
        <v>46003.999664351853</v>
      </c>
      <c r="G1481" s="16" t="str">
        <f t="shared" si="115"/>
        <v>Silica Sand</v>
      </c>
      <c r="H1481" s="4" t="s">
        <v>2611</v>
      </c>
      <c r="I1481" s="18" t="str" cm="1">
        <f t="array" ref="I1481">_xlfn.LET(_xlpm.text, D1481,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81" s="18" t="str" cm="1">
        <f t="array" ref="J1481">_xlfn.LET(_xlpm.text, E1481,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1" s="14">
        <f t="shared" si="116"/>
        <v>46004</v>
      </c>
      <c r="L1481" s="14">
        <f t="shared" si="117"/>
        <v>46004.624664351853</v>
      </c>
      <c r="N1481" s="12"/>
    </row>
    <row r="1482" spans="1:14" x14ac:dyDescent="0.25">
      <c r="A1482" s="4" t="s">
        <v>1512</v>
      </c>
      <c r="B1482" s="16" t="str">
        <f t="shared" si="113"/>
        <v>M/s SHREE VISHNU MINERALS</v>
      </c>
      <c r="C1482" s="16" t="str">
        <f t="shared" si="114"/>
        <v>Mokha Charnan / Kolayat / Bikaner</v>
      </c>
      <c r="D1482" s="4" t="s">
        <v>3034</v>
      </c>
      <c r="E1482" s="4" t="s">
        <v>3119</v>
      </c>
      <c r="F1482" s="5">
        <v>46003.999664351853</v>
      </c>
      <c r="G1482" s="16" t="str">
        <f t="shared" si="115"/>
        <v>Silica Sand</v>
      </c>
      <c r="H1482" s="4" t="s">
        <v>2899</v>
      </c>
      <c r="I1482" s="18" t="str" cm="1">
        <f t="array" ref="I1482">_xlfn.LET(_xlpm.text, D1482,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82" s="18" t="str" cm="1">
        <f t="array" ref="J1482">_xlfn.LET(_xlpm.text, E1482,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2" s="14">
        <f t="shared" si="116"/>
        <v>46004</v>
      </c>
      <c r="L1482" s="14">
        <f t="shared" si="117"/>
        <v>46004.624664351853</v>
      </c>
      <c r="N1482" s="12"/>
    </row>
    <row r="1483" spans="1:14" x14ac:dyDescent="0.25">
      <c r="A1483" s="4" t="s">
        <v>1513</v>
      </c>
      <c r="B1483" s="16" t="str">
        <f t="shared" si="113"/>
        <v>S.R.MINES AND MINERLS</v>
      </c>
      <c r="C1483" s="16" t="str">
        <f t="shared" si="114"/>
        <v>Indo Ka Bala / Kolayat / Bikaner</v>
      </c>
      <c r="D1483" s="4" t="s">
        <v>1382</v>
      </c>
      <c r="E1483" s="4" t="s">
        <v>3119</v>
      </c>
      <c r="F1483" s="5">
        <v>46003.999664351853</v>
      </c>
      <c r="G1483" s="16" t="str">
        <f t="shared" si="115"/>
        <v>Silica Sand</v>
      </c>
      <c r="H1483" s="4" t="s">
        <v>2906</v>
      </c>
      <c r="I1483" s="18" t="str" cm="1">
        <f t="array" ref="I1483">_xlfn.LET(_xlpm.text, D1483,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83" s="18" t="str" cm="1">
        <f t="array" ref="J1483">_xlfn.LET(_xlpm.text, E1483,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3" s="14">
        <f t="shared" si="116"/>
        <v>46004</v>
      </c>
      <c r="L1483" s="14">
        <f t="shared" si="117"/>
        <v>46004.624664351853</v>
      </c>
      <c r="N1483" s="12"/>
    </row>
    <row r="1484" spans="1:14" x14ac:dyDescent="0.25">
      <c r="A1484" s="4" t="s">
        <v>1514</v>
      </c>
      <c r="B1484" s="16" t="str">
        <f t="shared" si="113"/>
        <v>M/s SHREE VISHNU MINERALS</v>
      </c>
      <c r="C1484" s="16" t="str">
        <f t="shared" si="114"/>
        <v>Mokha Charnan / Kolayat / Bikaner</v>
      </c>
      <c r="D1484" s="4" t="s">
        <v>3034</v>
      </c>
      <c r="E1484" s="4" t="s">
        <v>3119</v>
      </c>
      <c r="F1484" s="5">
        <v>46004.999664351853</v>
      </c>
      <c r="G1484" s="16" t="str">
        <f t="shared" si="115"/>
        <v>Silica Sand</v>
      </c>
      <c r="H1484" s="4" t="s">
        <v>2882</v>
      </c>
      <c r="I1484" s="18" t="str" cm="1">
        <f t="array" ref="I1484">_xlfn.LET(_xlpm.text, D1484,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84" s="18" t="str" cm="1">
        <f t="array" ref="J1484">_xlfn.LET(_xlpm.text, E1484,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4" s="14">
        <f t="shared" si="116"/>
        <v>46005</v>
      </c>
      <c r="L1484" s="14">
        <f t="shared" si="117"/>
        <v>46005.624664351853</v>
      </c>
      <c r="N1484" s="12"/>
    </row>
    <row r="1485" spans="1:14" x14ac:dyDescent="0.25">
      <c r="A1485" s="4" t="s">
        <v>1515</v>
      </c>
      <c r="B1485" s="16" t="str">
        <f t="shared" si="113"/>
        <v>S.R.MINES AND MINERLS</v>
      </c>
      <c r="C1485" s="16" t="str">
        <f t="shared" si="114"/>
        <v>Indo Ka Bala / Kolayat / Bikaner</v>
      </c>
      <c r="D1485" s="4" t="s">
        <v>1382</v>
      </c>
      <c r="E1485" s="4" t="s">
        <v>3119</v>
      </c>
      <c r="F1485" s="5">
        <v>46005.999664351853</v>
      </c>
      <c r="G1485" s="16" t="str">
        <f t="shared" si="115"/>
        <v>Silica Sand</v>
      </c>
      <c r="H1485" s="4" t="s">
        <v>2661</v>
      </c>
      <c r="I1485" s="18" t="str" cm="1">
        <f t="array" ref="I1485">_xlfn.LET(_xlpm.text, D1485,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85" s="18" t="str" cm="1">
        <f t="array" ref="J1485">_xlfn.LET(_xlpm.text, E1485,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5" s="14">
        <f t="shared" si="116"/>
        <v>46006</v>
      </c>
      <c r="L1485" s="14">
        <f t="shared" si="117"/>
        <v>46006.624664351853</v>
      </c>
      <c r="N1485" s="12"/>
    </row>
    <row r="1486" spans="1:14" x14ac:dyDescent="0.25">
      <c r="A1486" s="4" t="s">
        <v>1516</v>
      </c>
      <c r="B1486" s="16" t="str">
        <f t="shared" si="113"/>
        <v>M/s SHREE VISHNU MINERALS</v>
      </c>
      <c r="C1486" s="16" t="str">
        <f t="shared" si="114"/>
        <v>Mokha Charnan / Kolayat / Bikaner</v>
      </c>
      <c r="D1486" s="4" t="s">
        <v>3034</v>
      </c>
      <c r="E1486" s="4" t="s">
        <v>3119</v>
      </c>
      <c r="F1486" s="5">
        <v>46006.999664351853</v>
      </c>
      <c r="G1486" s="16" t="str">
        <f t="shared" si="115"/>
        <v>Silica Sand</v>
      </c>
      <c r="H1486" s="4" t="s">
        <v>2907</v>
      </c>
      <c r="I1486" s="18" t="str" cm="1">
        <f t="array" ref="I1486">_xlfn.LET(_xlpm.text, D1486,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86" s="18" t="str" cm="1">
        <f t="array" ref="J1486">_xlfn.LET(_xlpm.text, E1486,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6" s="14">
        <f t="shared" si="116"/>
        <v>46007</v>
      </c>
      <c r="L1486" s="14">
        <f t="shared" si="117"/>
        <v>46007.624664351853</v>
      </c>
      <c r="N1486" s="12"/>
    </row>
    <row r="1487" spans="1:14" x14ac:dyDescent="0.25">
      <c r="A1487" s="4" t="s">
        <v>1517</v>
      </c>
      <c r="B1487" s="16" t="str">
        <f t="shared" si="113"/>
        <v>M/s SHREE VISHNU MINERALS</v>
      </c>
      <c r="C1487" s="16" t="str">
        <f t="shared" si="114"/>
        <v>Mokha Charnan / Kolayat / Bikaner</v>
      </c>
      <c r="D1487" s="4" t="s">
        <v>3034</v>
      </c>
      <c r="E1487" s="4" t="s">
        <v>3119</v>
      </c>
      <c r="F1487" s="5">
        <v>46006.999664351853</v>
      </c>
      <c r="G1487" s="16" t="str">
        <f t="shared" si="115"/>
        <v>Silica Sand</v>
      </c>
      <c r="H1487" s="4" t="s">
        <v>2903</v>
      </c>
      <c r="I1487" s="18" t="str" cm="1">
        <f t="array" ref="I1487">_xlfn.LET(_xlpm.text, D1487,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87" s="18" t="str" cm="1">
        <f t="array" ref="J1487">_xlfn.LET(_xlpm.text, E1487,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7" s="14">
        <f t="shared" si="116"/>
        <v>46007</v>
      </c>
      <c r="L1487" s="14">
        <f t="shared" si="117"/>
        <v>46007.624664351853</v>
      </c>
      <c r="N1487" s="12"/>
    </row>
    <row r="1488" spans="1:14" x14ac:dyDescent="0.25">
      <c r="A1488" s="4" t="s">
        <v>1518</v>
      </c>
      <c r="B1488" s="16" t="str">
        <f t="shared" si="113"/>
        <v>M/s SHREE VISHNU MINERALS</v>
      </c>
      <c r="C1488" s="16" t="str">
        <f t="shared" si="114"/>
        <v>Mokha Charnan / Kolayat / Bikaner</v>
      </c>
      <c r="D1488" s="4" t="s">
        <v>3035</v>
      </c>
      <c r="E1488" s="4" t="s">
        <v>3119</v>
      </c>
      <c r="F1488" s="5">
        <v>46006.999664351853</v>
      </c>
      <c r="G1488" s="16" t="str">
        <f t="shared" si="115"/>
        <v>Silica Sand</v>
      </c>
      <c r="H1488" s="4" t="s">
        <v>2617</v>
      </c>
      <c r="I1488" s="18" t="str" cm="1">
        <f t="array" ref="I1488">_xlfn.LET(_xlpm.text, D1488,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88" s="18" t="str" cm="1">
        <f t="array" ref="J1488">_xlfn.LET(_xlpm.text, E1488,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8" s="14">
        <f t="shared" si="116"/>
        <v>46007</v>
      </c>
      <c r="L1488" s="14">
        <f t="shared" si="117"/>
        <v>46007.624664351853</v>
      </c>
      <c r="N1488" s="12"/>
    </row>
    <row r="1489" spans="1:14" x14ac:dyDescent="0.25">
      <c r="A1489" s="4" t="s">
        <v>1519</v>
      </c>
      <c r="B1489" s="16" t="str">
        <f t="shared" si="113"/>
        <v>S.R.MINES AND MINERLS</v>
      </c>
      <c r="C1489" s="16" t="str">
        <f t="shared" si="114"/>
        <v>Indo Ka Bala / Kolayat / Bikaner</v>
      </c>
      <c r="D1489" s="4" t="s">
        <v>1382</v>
      </c>
      <c r="E1489" s="4" t="s">
        <v>3119</v>
      </c>
      <c r="F1489" s="5">
        <v>46007.999664351853</v>
      </c>
      <c r="G1489" s="16" t="str">
        <f t="shared" si="115"/>
        <v>Silica Sand</v>
      </c>
      <c r="H1489" s="4" t="s">
        <v>2661</v>
      </c>
      <c r="I1489" s="18" t="str" cm="1">
        <f t="array" ref="I1489">_xlfn.LET(_xlpm.text, D1489,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89" s="18" t="str" cm="1">
        <f t="array" ref="J1489">_xlfn.LET(_xlpm.text, E1489,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89" s="14">
        <f t="shared" si="116"/>
        <v>46008</v>
      </c>
      <c r="L1489" s="14">
        <f t="shared" si="117"/>
        <v>46008.624664351853</v>
      </c>
      <c r="N1489" s="12"/>
    </row>
    <row r="1490" spans="1:14" x14ac:dyDescent="0.25">
      <c r="A1490" s="4" t="s">
        <v>1520</v>
      </c>
      <c r="B1490" s="16" t="str">
        <f t="shared" si="113"/>
        <v>S.R.MINES AND MINERLS</v>
      </c>
      <c r="C1490" s="16" t="str">
        <f t="shared" si="114"/>
        <v>Indo Ka Bala / Kolayat / Bikaner</v>
      </c>
      <c r="D1490" s="4" t="s">
        <v>1382</v>
      </c>
      <c r="E1490" s="4" t="s">
        <v>3119</v>
      </c>
      <c r="F1490" s="5">
        <v>46007.999664351853</v>
      </c>
      <c r="G1490" s="16" t="str">
        <f t="shared" si="115"/>
        <v>Silica Sand</v>
      </c>
      <c r="H1490" s="4" t="s">
        <v>2611</v>
      </c>
      <c r="I1490" s="18" t="str" cm="1">
        <f t="array" ref="I1490">_xlfn.LET(_xlpm.text, D1490,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90" s="18" t="str" cm="1">
        <f t="array" ref="J1490">_xlfn.LET(_xlpm.text, E1490,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0" s="14">
        <f t="shared" si="116"/>
        <v>46008</v>
      </c>
      <c r="L1490" s="14">
        <f t="shared" si="117"/>
        <v>46008.624664351853</v>
      </c>
      <c r="N1490" s="12"/>
    </row>
    <row r="1491" spans="1:14" x14ac:dyDescent="0.25">
      <c r="A1491" s="4" t="s">
        <v>1521</v>
      </c>
      <c r="B1491" s="16" t="str">
        <f t="shared" si="113"/>
        <v>M/s SHREE VISHNU MINERALS</v>
      </c>
      <c r="C1491" s="16" t="str">
        <f t="shared" si="114"/>
        <v>Mokha Charnan / Kolayat / Bikaner</v>
      </c>
      <c r="D1491" s="4" t="s">
        <v>3035</v>
      </c>
      <c r="E1491" s="4" t="s">
        <v>3119</v>
      </c>
      <c r="F1491" s="5">
        <v>46007.999664351853</v>
      </c>
      <c r="G1491" s="16" t="str">
        <f t="shared" si="115"/>
        <v>Silica Sand</v>
      </c>
      <c r="H1491" s="4" t="s">
        <v>2617</v>
      </c>
      <c r="I1491" s="18" t="str" cm="1">
        <f t="array" ref="I1491">_xlfn.LET(_xlpm.text, D1491,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491" s="18" t="str" cm="1">
        <f t="array" ref="J1491">_xlfn.LET(_xlpm.text, E1491,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1" s="14">
        <f t="shared" si="116"/>
        <v>46008</v>
      </c>
      <c r="L1491" s="14">
        <f t="shared" si="117"/>
        <v>46008.624664351853</v>
      </c>
      <c r="N1491" s="12"/>
    </row>
    <row r="1492" spans="1:14" x14ac:dyDescent="0.25">
      <c r="A1492" s="4" t="s">
        <v>1522</v>
      </c>
      <c r="B1492" s="16" t="str">
        <f t="shared" si="113"/>
        <v>M/s SHREE VISHNU MINERALS</v>
      </c>
      <c r="C1492" s="16" t="str">
        <f t="shared" si="114"/>
        <v>Mokha Charnan / Kolayat / Bikaner</v>
      </c>
      <c r="D1492" s="4" t="s">
        <v>3034</v>
      </c>
      <c r="E1492" s="4" t="s">
        <v>3119</v>
      </c>
      <c r="F1492" s="5">
        <v>46008.999664351853</v>
      </c>
      <c r="G1492" s="16" t="str">
        <f t="shared" si="115"/>
        <v>Silica Sand</v>
      </c>
      <c r="H1492" s="4" t="s">
        <v>2882</v>
      </c>
      <c r="I1492" s="18" t="str" cm="1">
        <f t="array" ref="I1492">_xlfn.LET(_xlpm.text, D1492,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2" s="18" t="str" cm="1">
        <f t="array" ref="J1492">_xlfn.LET(_xlpm.text, E1492,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2" s="14">
        <f t="shared" si="116"/>
        <v>46009</v>
      </c>
      <c r="L1492" s="14">
        <f t="shared" si="117"/>
        <v>46009.624664351853</v>
      </c>
      <c r="N1492" s="12"/>
    </row>
    <row r="1493" spans="1:14" x14ac:dyDescent="0.25">
      <c r="A1493" s="4" t="s">
        <v>1523</v>
      </c>
      <c r="B1493" s="16" t="str">
        <f t="shared" si="113"/>
        <v>M/s SHREE VISHNU MINERALS</v>
      </c>
      <c r="C1493" s="16" t="str">
        <f t="shared" si="114"/>
        <v>Mokha Charnan / Kolayat / Bikaner</v>
      </c>
      <c r="D1493" s="4" t="s">
        <v>3034</v>
      </c>
      <c r="E1493" s="4" t="s">
        <v>3119</v>
      </c>
      <c r="F1493" s="5">
        <v>46008.999664351853</v>
      </c>
      <c r="G1493" s="16" t="str">
        <f t="shared" si="115"/>
        <v>Silica Sand</v>
      </c>
      <c r="H1493" s="4" t="s">
        <v>2611</v>
      </c>
      <c r="I1493" s="18" t="str" cm="1">
        <f t="array" ref="I1493">_xlfn.LET(_xlpm.text, D1493,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3" s="18" t="str" cm="1">
        <f t="array" ref="J1493">_xlfn.LET(_xlpm.text, E1493,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3" s="14">
        <f t="shared" si="116"/>
        <v>46009</v>
      </c>
      <c r="L1493" s="14">
        <f t="shared" si="117"/>
        <v>46009.624664351853</v>
      </c>
      <c r="N1493" s="12"/>
    </row>
    <row r="1494" spans="1:14" x14ac:dyDescent="0.25">
      <c r="A1494" s="4" t="s">
        <v>1524</v>
      </c>
      <c r="B1494" s="16" t="str">
        <f t="shared" si="113"/>
        <v>M/s SHREE VISHNU MINERALS</v>
      </c>
      <c r="C1494" s="16" t="str">
        <f t="shared" si="114"/>
        <v>Mokha Charnan / Kolayat / Bikaner</v>
      </c>
      <c r="D1494" s="4" t="s">
        <v>3034</v>
      </c>
      <c r="E1494" s="4" t="s">
        <v>3119</v>
      </c>
      <c r="F1494" s="5">
        <v>46008.999664351853</v>
      </c>
      <c r="G1494" s="16" t="str">
        <f t="shared" si="115"/>
        <v>Silica Sand</v>
      </c>
      <c r="H1494" s="4" t="s">
        <v>2895</v>
      </c>
      <c r="I1494" s="18" t="str" cm="1">
        <f t="array" ref="I1494">_xlfn.LET(_xlpm.text, D1494,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4" s="18" t="str" cm="1">
        <f t="array" ref="J1494">_xlfn.LET(_xlpm.text, E1494,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4" s="14">
        <f t="shared" si="116"/>
        <v>46009</v>
      </c>
      <c r="L1494" s="14">
        <f t="shared" si="117"/>
        <v>46009.624664351853</v>
      </c>
      <c r="N1494" s="12"/>
    </row>
    <row r="1495" spans="1:14" x14ac:dyDescent="0.25">
      <c r="A1495" s="4" t="s">
        <v>1525</v>
      </c>
      <c r="B1495" s="16" t="str">
        <f t="shared" si="113"/>
        <v>M/s SHREE VISHNU MINERALS</v>
      </c>
      <c r="C1495" s="16" t="str">
        <f t="shared" si="114"/>
        <v>Mokha Charnan / Kolayat / Bikaner</v>
      </c>
      <c r="D1495" s="4" t="s">
        <v>3034</v>
      </c>
      <c r="E1495" s="4" t="s">
        <v>3119</v>
      </c>
      <c r="F1495" s="5">
        <v>46008.999664351853</v>
      </c>
      <c r="G1495" s="16" t="str">
        <f t="shared" si="115"/>
        <v>Silica Sand</v>
      </c>
      <c r="H1495" s="4" t="s">
        <v>2895</v>
      </c>
      <c r="I1495" s="18" t="str" cm="1">
        <f t="array" ref="I1495">_xlfn.LET(_xlpm.text, D1495,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5" s="18" t="str" cm="1">
        <f t="array" ref="J1495">_xlfn.LET(_xlpm.text, E1495,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5" s="14">
        <f t="shared" si="116"/>
        <v>46009</v>
      </c>
      <c r="L1495" s="14">
        <f t="shared" si="117"/>
        <v>46009.624664351853</v>
      </c>
      <c r="N1495" s="12"/>
    </row>
    <row r="1496" spans="1:14" x14ac:dyDescent="0.25">
      <c r="A1496" s="4" t="s">
        <v>1526</v>
      </c>
      <c r="B1496" s="16" t="str">
        <f t="shared" si="113"/>
        <v>M/s SHREE VISHNU MINERALS</v>
      </c>
      <c r="C1496" s="16" t="str">
        <f t="shared" si="114"/>
        <v>Mokha Charnan / Kolayat / Bikaner</v>
      </c>
      <c r="D1496" s="4" t="s">
        <v>3034</v>
      </c>
      <c r="E1496" s="4" t="s">
        <v>3119</v>
      </c>
      <c r="F1496" s="5">
        <v>46008.999664351853</v>
      </c>
      <c r="G1496" s="16" t="str">
        <f t="shared" si="115"/>
        <v>Silica Sand</v>
      </c>
      <c r="H1496" s="4" t="s">
        <v>2908</v>
      </c>
      <c r="I1496" s="18" t="str" cm="1">
        <f t="array" ref="I1496">_xlfn.LET(_xlpm.text, D1496,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6" s="18" t="str" cm="1">
        <f t="array" ref="J1496">_xlfn.LET(_xlpm.text, E1496,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6" s="14">
        <f t="shared" si="116"/>
        <v>46009</v>
      </c>
      <c r="L1496" s="14">
        <f t="shared" si="117"/>
        <v>46009.624664351853</v>
      </c>
      <c r="N1496" s="12"/>
    </row>
    <row r="1497" spans="1:14" x14ac:dyDescent="0.25">
      <c r="A1497" s="4" t="s">
        <v>1527</v>
      </c>
      <c r="B1497" s="16" t="str">
        <f t="shared" si="113"/>
        <v>M/s SHREE VISHNU MINERALS</v>
      </c>
      <c r="C1497" s="16" t="str">
        <f t="shared" si="114"/>
        <v>Mokha Charnan / Kolayat / Bikaner</v>
      </c>
      <c r="D1497" s="4" t="s">
        <v>3034</v>
      </c>
      <c r="E1497" s="4" t="s">
        <v>3119</v>
      </c>
      <c r="F1497" s="5">
        <v>46008.999664351853</v>
      </c>
      <c r="G1497" s="16" t="str">
        <f t="shared" si="115"/>
        <v>Silica Sand</v>
      </c>
      <c r="H1497" s="4" t="s">
        <v>2582</v>
      </c>
      <c r="I1497" s="18" t="str" cm="1">
        <f t="array" ref="I1497">_xlfn.LET(_xlpm.text, D1497,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7" s="18" t="str" cm="1">
        <f t="array" ref="J1497">_xlfn.LET(_xlpm.text, E1497,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7" s="14">
        <f t="shared" si="116"/>
        <v>46009</v>
      </c>
      <c r="L1497" s="14">
        <f t="shared" si="117"/>
        <v>46009.624664351853</v>
      </c>
      <c r="N1497" s="12"/>
    </row>
    <row r="1498" spans="1:14" x14ac:dyDescent="0.25">
      <c r="A1498" s="4" t="s">
        <v>1528</v>
      </c>
      <c r="B1498" s="16" t="str">
        <f t="shared" si="113"/>
        <v>M/s SHREE VISHNU MINERALS</v>
      </c>
      <c r="C1498" s="16" t="str">
        <f t="shared" si="114"/>
        <v>Mokha Charnan / Kolayat / Bikaner</v>
      </c>
      <c r="D1498" s="4" t="s">
        <v>3034</v>
      </c>
      <c r="E1498" s="4" t="s">
        <v>3119</v>
      </c>
      <c r="F1498" s="5">
        <v>46008.999664351853</v>
      </c>
      <c r="G1498" s="16" t="str">
        <f t="shared" si="115"/>
        <v>Silica Sand</v>
      </c>
      <c r="H1498" s="4" t="s">
        <v>2882</v>
      </c>
      <c r="I1498" s="18" t="str" cm="1">
        <f t="array" ref="I1498">_xlfn.LET(_xlpm.text, D1498,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498" s="18" t="str" cm="1">
        <f t="array" ref="J1498">_xlfn.LET(_xlpm.text, E1498,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8" s="14">
        <f t="shared" si="116"/>
        <v>46009</v>
      </c>
      <c r="L1498" s="14">
        <f t="shared" si="117"/>
        <v>46009.624664351853</v>
      </c>
      <c r="N1498" s="12"/>
    </row>
    <row r="1499" spans="1:14" x14ac:dyDescent="0.25">
      <c r="A1499" s="4" t="s">
        <v>1529</v>
      </c>
      <c r="B1499" s="16" t="str">
        <f t="shared" si="113"/>
        <v>S.R.MINES AND MINERLS</v>
      </c>
      <c r="C1499" s="16" t="str">
        <f t="shared" si="114"/>
        <v>Indo Ka Bala / Kolayat / Bikaner</v>
      </c>
      <c r="D1499" s="4" t="s">
        <v>1382</v>
      </c>
      <c r="E1499" s="4" t="s">
        <v>3119</v>
      </c>
      <c r="F1499" s="5">
        <v>46008.999664351853</v>
      </c>
      <c r="G1499" s="16" t="str">
        <f t="shared" si="115"/>
        <v>Silica Sand</v>
      </c>
      <c r="H1499" s="4" t="s">
        <v>2909</v>
      </c>
      <c r="I1499" s="18" t="str" cm="1">
        <f t="array" ref="I1499">_xlfn.LET(_xlpm.text, D1499,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499" s="18" t="str" cm="1">
        <f t="array" ref="J1499">_xlfn.LET(_xlpm.text, E1499,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499" s="14">
        <f t="shared" si="116"/>
        <v>46009</v>
      </c>
      <c r="L1499" s="14">
        <f t="shared" si="117"/>
        <v>46009.624664351853</v>
      </c>
      <c r="N1499" s="12"/>
    </row>
    <row r="1500" spans="1:14" x14ac:dyDescent="0.25">
      <c r="A1500" s="4" t="s">
        <v>1530</v>
      </c>
      <c r="B1500" s="16" t="str">
        <f t="shared" si="113"/>
        <v>S.R.MINES AND MINERLS</v>
      </c>
      <c r="C1500" s="16" t="str">
        <f t="shared" si="114"/>
        <v>Indo Ka Bala / Kolayat / Bikaner</v>
      </c>
      <c r="D1500" s="4" t="s">
        <v>1382</v>
      </c>
      <c r="E1500" s="4" t="s">
        <v>3119</v>
      </c>
      <c r="F1500" s="5">
        <v>46008.999664351853</v>
      </c>
      <c r="G1500" s="16" t="str">
        <f t="shared" si="115"/>
        <v>Silica Sand</v>
      </c>
      <c r="H1500" s="4" t="s">
        <v>427</v>
      </c>
      <c r="I1500" s="18" t="str" cm="1">
        <f t="array" ref="I1500">_xlfn.LET(_xlpm.text, D1500,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00" s="18" t="str" cm="1">
        <f t="array" ref="J1500">_xlfn.LET(_xlpm.text, E1500,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0" s="14">
        <f t="shared" si="116"/>
        <v>46009</v>
      </c>
      <c r="L1500" s="14">
        <f t="shared" si="117"/>
        <v>46009.624664351853</v>
      </c>
      <c r="N1500" s="12"/>
    </row>
    <row r="1501" spans="1:14" x14ac:dyDescent="0.25">
      <c r="A1501" s="4" t="s">
        <v>1531</v>
      </c>
      <c r="B1501" s="16" t="str">
        <f t="shared" si="113"/>
        <v>GUDHA ASSOCIATES</v>
      </c>
      <c r="C1501" s="16" t="str">
        <f t="shared" si="114"/>
        <v>Samorakhi / Kolayat / Bikaner</v>
      </c>
      <c r="D1501" s="4" t="s">
        <v>3031</v>
      </c>
      <c r="E1501" s="4" t="s">
        <v>3119</v>
      </c>
      <c r="F1501" s="5">
        <v>46009.999664351853</v>
      </c>
      <c r="G1501" s="16" t="str">
        <f t="shared" si="115"/>
        <v>Silica Sand</v>
      </c>
      <c r="H1501" s="4" t="s">
        <v>2910</v>
      </c>
      <c r="I1501" s="18" t="str" cm="1">
        <f t="array" ref="I1501">_xlfn.LET(_xlpm.text, D1501,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501" s="18" t="str" cm="1">
        <f t="array" ref="J1501">_xlfn.LET(_xlpm.text, E1501,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1" s="14">
        <f t="shared" si="116"/>
        <v>46010</v>
      </c>
      <c r="L1501" s="14">
        <f t="shared" si="117"/>
        <v>46010.624664351853</v>
      </c>
      <c r="N1501" s="12"/>
    </row>
    <row r="1502" spans="1:14" x14ac:dyDescent="0.25">
      <c r="A1502" s="4" t="s">
        <v>1532</v>
      </c>
      <c r="B1502" s="16" t="str">
        <f t="shared" si="113"/>
        <v>S.R.MINES AND MINERLS</v>
      </c>
      <c r="C1502" s="16" t="str">
        <f t="shared" si="114"/>
        <v>Indo Ka Bala / Kolayat / Bikaner</v>
      </c>
      <c r="D1502" s="4" t="s">
        <v>1382</v>
      </c>
      <c r="E1502" s="4" t="s">
        <v>3119</v>
      </c>
      <c r="F1502" s="5">
        <v>46009.999664351853</v>
      </c>
      <c r="G1502" s="16" t="str">
        <f t="shared" si="115"/>
        <v>Silica Sand</v>
      </c>
      <c r="H1502" s="4" t="s">
        <v>2880</v>
      </c>
      <c r="I1502" s="18" t="str" cm="1">
        <f t="array" ref="I1502">_xlfn.LET(_xlpm.text, D1502,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02" s="18" t="str" cm="1">
        <f t="array" ref="J1502">_xlfn.LET(_xlpm.text, E1502,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2" s="14">
        <f t="shared" si="116"/>
        <v>46010</v>
      </c>
      <c r="L1502" s="14">
        <f t="shared" si="117"/>
        <v>46010.624664351853</v>
      </c>
      <c r="N1502" s="12"/>
    </row>
    <row r="1503" spans="1:14" x14ac:dyDescent="0.25">
      <c r="A1503" s="4" t="s">
        <v>1533</v>
      </c>
      <c r="B1503" s="16" t="str">
        <f t="shared" si="113"/>
        <v>S.R.MINES AND MINERLS</v>
      </c>
      <c r="C1503" s="16" t="str">
        <f t="shared" si="114"/>
        <v>Indo Ka Bala / Kolayat / Bikaner</v>
      </c>
      <c r="D1503" s="4" t="s">
        <v>1382</v>
      </c>
      <c r="E1503" s="4" t="s">
        <v>3119</v>
      </c>
      <c r="F1503" s="5">
        <v>46009.999664351853</v>
      </c>
      <c r="G1503" s="16" t="str">
        <f t="shared" si="115"/>
        <v>Silica Sand</v>
      </c>
      <c r="H1503" s="4" t="s">
        <v>2906</v>
      </c>
      <c r="I1503" s="18" t="str" cm="1">
        <f t="array" ref="I1503">_xlfn.LET(_xlpm.text, D1503,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03" s="18" t="str" cm="1">
        <f t="array" ref="J1503">_xlfn.LET(_xlpm.text, E1503,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3" s="14">
        <f t="shared" si="116"/>
        <v>46010</v>
      </c>
      <c r="L1503" s="14">
        <f t="shared" si="117"/>
        <v>46010.624664351853</v>
      </c>
      <c r="N1503" s="12"/>
    </row>
    <row r="1504" spans="1:14" x14ac:dyDescent="0.25">
      <c r="A1504" s="4" t="s">
        <v>1534</v>
      </c>
      <c r="B1504" s="16" t="str">
        <f t="shared" si="113"/>
        <v>M/s SHREE VISHNU MINERALS</v>
      </c>
      <c r="C1504" s="16" t="str">
        <f t="shared" si="114"/>
        <v>Mokha Charnan / Kolayat / Bikaner</v>
      </c>
      <c r="D1504" s="4" t="s">
        <v>3034</v>
      </c>
      <c r="E1504" s="4" t="s">
        <v>3119</v>
      </c>
      <c r="F1504" s="5">
        <v>46009.999664351853</v>
      </c>
      <c r="G1504" s="16" t="str">
        <f t="shared" si="115"/>
        <v>Silica Sand</v>
      </c>
      <c r="H1504" s="4" t="s">
        <v>2882</v>
      </c>
      <c r="I1504" s="18" t="str" cm="1">
        <f t="array" ref="I1504">_xlfn.LET(_xlpm.text, D1504,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04" s="18" t="str" cm="1">
        <f t="array" ref="J1504">_xlfn.LET(_xlpm.text, E1504,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4" s="14">
        <f t="shared" si="116"/>
        <v>46010</v>
      </c>
      <c r="L1504" s="14">
        <f t="shared" si="117"/>
        <v>46010.624664351853</v>
      </c>
      <c r="N1504" s="12"/>
    </row>
    <row r="1505" spans="1:14" x14ac:dyDescent="0.25">
      <c r="A1505" s="4" t="s">
        <v>1535</v>
      </c>
      <c r="B1505" s="16" t="str">
        <f t="shared" si="113"/>
        <v>GUDHA ASSOCIATES</v>
      </c>
      <c r="C1505" s="16" t="str">
        <f t="shared" si="114"/>
        <v>Samorakhi / Kolayat / Bikaner</v>
      </c>
      <c r="D1505" s="4" t="s">
        <v>3031</v>
      </c>
      <c r="E1505" s="4" t="s">
        <v>3119</v>
      </c>
      <c r="F1505" s="5">
        <v>46009.999664351853</v>
      </c>
      <c r="G1505" s="16" t="str">
        <f t="shared" si="115"/>
        <v>Silica Sand</v>
      </c>
      <c r="H1505" s="4" t="s">
        <v>2910</v>
      </c>
      <c r="I1505" s="18" t="str" cm="1">
        <f t="array" ref="I1505">_xlfn.LET(_xlpm.text, D1505,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505" s="18" t="str" cm="1">
        <f t="array" ref="J1505">_xlfn.LET(_xlpm.text, E1505,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5" s="14">
        <f t="shared" si="116"/>
        <v>46010</v>
      </c>
      <c r="L1505" s="14">
        <f t="shared" si="117"/>
        <v>46010.624664351853</v>
      </c>
      <c r="N1505" s="12"/>
    </row>
    <row r="1506" spans="1:14" x14ac:dyDescent="0.25">
      <c r="A1506" s="4" t="s">
        <v>1536</v>
      </c>
      <c r="B1506" s="16" t="str">
        <f t="shared" si="113"/>
        <v>J.V MINES AND MINERALS</v>
      </c>
      <c r="C1506" s="16" t="str">
        <f t="shared" si="114"/>
        <v>Golari / Kolayat / Bikaner</v>
      </c>
      <c r="D1506" s="4" t="s">
        <v>3034</v>
      </c>
      <c r="E1506" s="4" t="s">
        <v>3119</v>
      </c>
      <c r="F1506" s="5">
        <v>46010.999664351853</v>
      </c>
      <c r="G1506" s="16" t="str">
        <f t="shared" si="115"/>
        <v>Silica Sand</v>
      </c>
      <c r="H1506" s="4" t="s">
        <v>2883</v>
      </c>
      <c r="I1506" s="18" t="str" cm="1">
        <f t="array" ref="I1506">_xlfn.LET(_xlpm.text, D1506,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06" s="18" t="str" cm="1">
        <f t="array" ref="J1506">_xlfn.LET(_xlpm.text, E1506,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6" s="14">
        <f t="shared" si="116"/>
        <v>46011</v>
      </c>
      <c r="L1506" s="14">
        <f t="shared" si="117"/>
        <v>46011.624664351853</v>
      </c>
      <c r="N1506" s="12"/>
    </row>
    <row r="1507" spans="1:14" x14ac:dyDescent="0.25">
      <c r="A1507" s="4" t="s">
        <v>1537</v>
      </c>
      <c r="B1507" s="16" t="str">
        <f t="shared" si="113"/>
        <v>M/s SHREE VISHNU MINERALS</v>
      </c>
      <c r="C1507" s="16" t="str">
        <f t="shared" si="114"/>
        <v>Mokha Charnan / Kolayat / Bikaner</v>
      </c>
      <c r="D1507" s="4" t="s">
        <v>3034</v>
      </c>
      <c r="E1507" s="4" t="s">
        <v>3119</v>
      </c>
      <c r="F1507" s="5">
        <v>46010.999664351853</v>
      </c>
      <c r="G1507" s="16" t="str">
        <f t="shared" si="115"/>
        <v>Silica Sand</v>
      </c>
      <c r="H1507" s="4" t="s">
        <v>2882</v>
      </c>
      <c r="I1507" s="18" t="str" cm="1">
        <f t="array" ref="I1507">_xlfn.LET(_xlpm.text, D1507,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07" s="18" t="str" cm="1">
        <f t="array" ref="J1507">_xlfn.LET(_xlpm.text, E1507,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7" s="14">
        <f t="shared" si="116"/>
        <v>46011</v>
      </c>
      <c r="L1507" s="14">
        <f t="shared" si="117"/>
        <v>46011.624664351853</v>
      </c>
      <c r="N1507" s="12"/>
    </row>
    <row r="1508" spans="1:14" x14ac:dyDescent="0.25">
      <c r="A1508" s="4" t="s">
        <v>1538</v>
      </c>
      <c r="B1508" s="16" t="str">
        <f t="shared" si="113"/>
        <v>M/s SHREE VISHNU MINERALS</v>
      </c>
      <c r="C1508" s="16" t="str">
        <f t="shared" si="114"/>
        <v>Mokha Charnan / Kolayat / Bikaner</v>
      </c>
      <c r="D1508" s="4" t="s">
        <v>3035</v>
      </c>
      <c r="E1508" s="4" t="s">
        <v>3119</v>
      </c>
      <c r="F1508" s="5">
        <v>46010.999664351853</v>
      </c>
      <c r="G1508" s="16" t="str">
        <f t="shared" si="115"/>
        <v>Silica Sand</v>
      </c>
      <c r="H1508" s="4" t="s">
        <v>2901</v>
      </c>
      <c r="I1508" s="18" t="str" cm="1">
        <f t="array" ref="I1508">_xlfn.LET(_xlpm.text, D1508,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08" s="18" t="str" cm="1">
        <f t="array" ref="J1508">_xlfn.LET(_xlpm.text, E1508,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8" s="14">
        <f t="shared" si="116"/>
        <v>46011</v>
      </c>
      <c r="L1508" s="14">
        <f t="shared" si="117"/>
        <v>46011.624664351853</v>
      </c>
      <c r="N1508" s="12"/>
    </row>
    <row r="1509" spans="1:14" x14ac:dyDescent="0.25">
      <c r="A1509" s="4" t="s">
        <v>1539</v>
      </c>
      <c r="B1509" s="16" t="str">
        <f t="shared" si="113"/>
        <v>M/s SHREE VISHNU MINERALS</v>
      </c>
      <c r="C1509" s="16" t="str">
        <f t="shared" si="114"/>
        <v>Mokha Charnan / Kolayat / Bikaner</v>
      </c>
      <c r="D1509" s="4" t="s">
        <v>3035</v>
      </c>
      <c r="E1509" s="4" t="s">
        <v>3119</v>
      </c>
      <c r="F1509" s="5">
        <v>46010.999664351853</v>
      </c>
      <c r="G1509" s="16" t="str">
        <f t="shared" si="115"/>
        <v>Silica Sand</v>
      </c>
      <c r="H1509" s="4" t="s">
        <v>2907</v>
      </c>
      <c r="I1509" s="18" t="str" cm="1">
        <f t="array" ref="I1509">_xlfn.LET(_xlpm.text, D1509,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09" s="18" t="str" cm="1">
        <f t="array" ref="J1509">_xlfn.LET(_xlpm.text, E1509,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09" s="14">
        <f t="shared" si="116"/>
        <v>46011</v>
      </c>
      <c r="L1509" s="14">
        <f t="shared" si="117"/>
        <v>46011.624664351853</v>
      </c>
      <c r="N1509" s="12"/>
    </row>
    <row r="1510" spans="1:14" x14ac:dyDescent="0.25">
      <c r="A1510" s="4" t="s">
        <v>1540</v>
      </c>
      <c r="B1510" s="16" t="str">
        <f t="shared" si="113"/>
        <v>M/s SHREE VISHNU MINERALS</v>
      </c>
      <c r="C1510" s="16" t="str">
        <f t="shared" si="114"/>
        <v>Mokha Charnan / Kolayat / Bikaner</v>
      </c>
      <c r="D1510" s="4" t="s">
        <v>3035</v>
      </c>
      <c r="E1510" s="4" t="s">
        <v>3119</v>
      </c>
      <c r="F1510" s="5">
        <v>46010.999664351853</v>
      </c>
      <c r="G1510" s="16" t="str">
        <f t="shared" si="115"/>
        <v>Silica Sand</v>
      </c>
      <c r="H1510" s="4" t="s">
        <v>2257</v>
      </c>
      <c r="I1510" s="18" t="str" cm="1">
        <f t="array" ref="I1510">_xlfn.LET(_xlpm.text, D1510,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0" s="18" t="str" cm="1">
        <f t="array" ref="J1510">_xlfn.LET(_xlpm.text, E1510,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0" s="14">
        <f t="shared" si="116"/>
        <v>46011</v>
      </c>
      <c r="L1510" s="14">
        <f t="shared" si="117"/>
        <v>46011.624664351853</v>
      </c>
      <c r="N1510" s="12"/>
    </row>
    <row r="1511" spans="1:14" x14ac:dyDescent="0.25">
      <c r="A1511" s="4" t="s">
        <v>1541</v>
      </c>
      <c r="B1511" s="16" t="str">
        <f t="shared" si="113"/>
        <v>M/s SHREE VISHNU MINERALS</v>
      </c>
      <c r="C1511" s="16" t="str">
        <f t="shared" si="114"/>
        <v>Mokha Charnan / Kolayat / Bikaner</v>
      </c>
      <c r="D1511" s="4" t="s">
        <v>3035</v>
      </c>
      <c r="E1511" s="4" t="s">
        <v>3119</v>
      </c>
      <c r="F1511" s="5">
        <v>46010.999664351853</v>
      </c>
      <c r="G1511" s="16" t="str">
        <f t="shared" si="115"/>
        <v>Silica Sand</v>
      </c>
      <c r="H1511" s="4" t="s">
        <v>2907</v>
      </c>
      <c r="I1511" s="18" t="str" cm="1">
        <f t="array" ref="I1511">_xlfn.LET(_xlpm.text, D1511,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1" s="18" t="str" cm="1">
        <f t="array" ref="J1511">_xlfn.LET(_xlpm.text, E1511,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1" s="14">
        <f t="shared" si="116"/>
        <v>46011</v>
      </c>
      <c r="L1511" s="14">
        <f t="shared" si="117"/>
        <v>46011.624664351853</v>
      </c>
      <c r="N1511" s="12"/>
    </row>
    <row r="1512" spans="1:14" x14ac:dyDescent="0.25">
      <c r="A1512" s="4" t="s">
        <v>1542</v>
      </c>
      <c r="B1512" s="16" t="str">
        <f t="shared" si="113"/>
        <v>M/s SHREE VISHNU MINERALS</v>
      </c>
      <c r="C1512" s="16" t="str">
        <f t="shared" si="114"/>
        <v>Mokha Charnan / Kolayat / Bikaner</v>
      </c>
      <c r="D1512" s="4" t="s">
        <v>3035</v>
      </c>
      <c r="E1512" s="4" t="s">
        <v>3119</v>
      </c>
      <c r="F1512" s="5">
        <v>46010.999664351853</v>
      </c>
      <c r="G1512" s="16" t="str">
        <f t="shared" si="115"/>
        <v>Silica Sand</v>
      </c>
      <c r="H1512" s="4" t="s">
        <v>2901</v>
      </c>
      <c r="I1512" s="18" t="str" cm="1">
        <f t="array" ref="I1512">_xlfn.LET(_xlpm.text, D1512,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2" s="18" t="str" cm="1">
        <f t="array" ref="J1512">_xlfn.LET(_xlpm.text, E1512,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2" s="14">
        <f t="shared" si="116"/>
        <v>46011</v>
      </c>
      <c r="L1512" s="14">
        <f t="shared" si="117"/>
        <v>46011.624664351853</v>
      </c>
      <c r="N1512" s="12"/>
    </row>
    <row r="1513" spans="1:14" x14ac:dyDescent="0.25">
      <c r="A1513" s="4" t="s">
        <v>1543</v>
      </c>
      <c r="B1513" s="16" t="str">
        <f t="shared" si="113"/>
        <v>M/s SHREE VISHNU MINERALS</v>
      </c>
      <c r="C1513" s="16" t="str">
        <f t="shared" si="114"/>
        <v>Mokha Charnan / Kolayat / Bikaner</v>
      </c>
      <c r="D1513" s="4" t="s">
        <v>3032</v>
      </c>
      <c r="E1513" s="4" t="s">
        <v>3119</v>
      </c>
      <c r="F1513" s="5">
        <v>46011.999664351853</v>
      </c>
      <c r="G1513" s="16" t="str">
        <f t="shared" si="115"/>
        <v>Silica Sand</v>
      </c>
      <c r="H1513" s="4" t="s">
        <v>2571</v>
      </c>
      <c r="I1513" s="18" t="str" cm="1">
        <f t="array" ref="I1513">_xlfn.LET(_xlpm.text, D1513,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13" s="18" t="str" cm="1">
        <f t="array" ref="J1513">_xlfn.LET(_xlpm.text, E1513,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3" s="14">
        <f t="shared" si="116"/>
        <v>46012</v>
      </c>
      <c r="L1513" s="14">
        <f t="shared" si="117"/>
        <v>46012.624664351853</v>
      </c>
      <c r="N1513" s="12"/>
    </row>
    <row r="1514" spans="1:14" x14ac:dyDescent="0.25">
      <c r="A1514" s="4" t="s">
        <v>1544</v>
      </c>
      <c r="B1514" s="16" t="str">
        <f t="shared" si="113"/>
        <v>M/s SHREE VISHNU MINERALS</v>
      </c>
      <c r="C1514" s="16" t="str">
        <f t="shared" si="114"/>
        <v>Mokha Charnan / Kolayat / Bikaner</v>
      </c>
      <c r="D1514" s="4" t="s">
        <v>3034</v>
      </c>
      <c r="E1514" s="4" t="s">
        <v>3119</v>
      </c>
      <c r="F1514" s="5">
        <v>46011.999664351853</v>
      </c>
      <c r="G1514" s="16" t="str">
        <f t="shared" si="115"/>
        <v>Silica Sand</v>
      </c>
      <c r="H1514" s="4" t="s">
        <v>2882</v>
      </c>
      <c r="I1514" s="18" t="str" cm="1">
        <f t="array" ref="I1514">_xlfn.LET(_xlpm.text, D1514,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14" s="18" t="str" cm="1">
        <f t="array" ref="J1514">_xlfn.LET(_xlpm.text, E1514,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4" s="14">
        <f t="shared" si="116"/>
        <v>46012</v>
      </c>
      <c r="L1514" s="14">
        <f t="shared" si="117"/>
        <v>46012.624664351853</v>
      </c>
      <c r="N1514" s="12"/>
    </row>
    <row r="1515" spans="1:14" x14ac:dyDescent="0.25">
      <c r="A1515" s="4" t="s">
        <v>1545</v>
      </c>
      <c r="B1515" s="16" t="str">
        <f t="shared" si="113"/>
        <v>M/s SHREE VISHNU MINERALS</v>
      </c>
      <c r="C1515" s="16" t="str">
        <f t="shared" si="114"/>
        <v>Mokha Charnan / Kolayat / Bikaner</v>
      </c>
      <c r="D1515" s="4" t="s">
        <v>3035</v>
      </c>
      <c r="E1515" s="4" t="s">
        <v>3119</v>
      </c>
      <c r="F1515" s="5">
        <v>46011.999664351853</v>
      </c>
      <c r="G1515" s="16" t="str">
        <f t="shared" si="115"/>
        <v>Silica Sand</v>
      </c>
      <c r="H1515" s="4" t="s">
        <v>2452</v>
      </c>
      <c r="I1515" s="18" t="str" cm="1">
        <f t="array" ref="I1515">_xlfn.LET(_xlpm.text, D1515,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5" s="18" t="str" cm="1">
        <f t="array" ref="J1515">_xlfn.LET(_xlpm.text, E1515,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5" s="14">
        <f t="shared" si="116"/>
        <v>46012</v>
      </c>
      <c r="L1515" s="14">
        <f t="shared" si="117"/>
        <v>46012.624664351853</v>
      </c>
      <c r="N1515" s="12"/>
    </row>
    <row r="1516" spans="1:14" x14ac:dyDescent="0.25">
      <c r="A1516" s="4" t="s">
        <v>1546</v>
      </c>
      <c r="B1516" s="16" t="str">
        <f t="shared" si="113"/>
        <v>M/s SHREE VISHNU MINERALS</v>
      </c>
      <c r="C1516" s="16" t="str">
        <f t="shared" si="114"/>
        <v>Mokha Charnan / Kolayat / Bikaner</v>
      </c>
      <c r="D1516" s="4" t="s">
        <v>3035</v>
      </c>
      <c r="E1516" s="4" t="s">
        <v>3119</v>
      </c>
      <c r="F1516" s="5">
        <v>46011.999664351853</v>
      </c>
      <c r="G1516" s="16" t="str">
        <f t="shared" si="115"/>
        <v>Silica Sand</v>
      </c>
      <c r="H1516" s="4" t="s">
        <v>2911</v>
      </c>
      <c r="I1516" s="18" t="str" cm="1">
        <f t="array" ref="I1516">_xlfn.LET(_xlpm.text, D1516,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6" s="18" t="str" cm="1">
        <f t="array" ref="J1516">_xlfn.LET(_xlpm.text, E1516,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6" s="14">
        <f t="shared" si="116"/>
        <v>46012</v>
      </c>
      <c r="L1516" s="14">
        <f t="shared" si="117"/>
        <v>46012.624664351853</v>
      </c>
      <c r="N1516" s="12"/>
    </row>
    <row r="1517" spans="1:14" x14ac:dyDescent="0.25">
      <c r="A1517" s="4" t="s">
        <v>1547</v>
      </c>
      <c r="B1517" s="16" t="str">
        <f t="shared" si="113"/>
        <v>M/s SHREE VISHNU MINERALS</v>
      </c>
      <c r="C1517" s="16" t="str">
        <f t="shared" si="114"/>
        <v>Mokha Charnan / Kolayat / Bikaner</v>
      </c>
      <c r="D1517" s="4" t="s">
        <v>3035</v>
      </c>
      <c r="E1517" s="4" t="s">
        <v>3119</v>
      </c>
      <c r="F1517" s="5">
        <v>46011.999664351853</v>
      </c>
      <c r="G1517" s="16" t="str">
        <f t="shared" si="115"/>
        <v>Silica Sand</v>
      </c>
      <c r="H1517" s="4" t="s">
        <v>2661</v>
      </c>
      <c r="I1517" s="18" t="str" cm="1">
        <f t="array" ref="I1517">_xlfn.LET(_xlpm.text, D1517,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7" s="18" t="str" cm="1">
        <f t="array" ref="J1517">_xlfn.LET(_xlpm.text, E1517,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7" s="14">
        <f t="shared" si="116"/>
        <v>46012</v>
      </c>
      <c r="L1517" s="14">
        <f t="shared" si="117"/>
        <v>46012.624664351853</v>
      </c>
      <c r="N1517" s="12"/>
    </row>
    <row r="1518" spans="1:14" x14ac:dyDescent="0.25">
      <c r="A1518" s="4" t="s">
        <v>1548</v>
      </c>
      <c r="B1518" s="16" t="str">
        <f t="shared" si="113"/>
        <v>M/s SHREE VISHNU MINERALS</v>
      </c>
      <c r="C1518" s="16" t="str">
        <f t="shared" si="114"/>
        <v>Mokha Charnan / Kolayat / Bikaner</v>
      </c>
      <c r="D1518" s="4" t="s">
        <v>3035</v>
      </c>
      <c r="E1518" s="4" t="s">
        <v>3119</v>
      </c>
      <c r="F1518" s="5">
        <v>46011.999664351853</v>
      </c>
      <c r="G1518" s="16" t="str">
        <f t="shared" si="115"/>
        <v>Silica Sand</v>
      </c>
      <c r="H1518" s="4" t="s">
        <v>2912</v>
      </c>
      <c r="I1518" s="18" t="str" cm="1">
        <f t="array" ref="I1518">_xlfn.LET(_xlpm.text, D1518,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8" s="18" t="str" cm="1">
        <f t="array" ref="J1518">_xlfn.LET(_xlpm.text, E1518,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8" s="14">
        <f t="shared" si="116"/>
        <v>46012</v>
      </c>
      <c r="L1518" s="14">
        <f t="shared" si="117"/>
        <v>46012.624664351853</v>
      </c>
      <c r="N1518" s="12"/>
    </row>
    <row r="1519" spans="1:14" x14ac:dyDescent="0.25">
      <c r="A1519" s="4" t="s">
        <v>1549</v>
      </c>
      <c r="B1519" s="16" t="str">
        <f t="shared" si="113"/>
        <v>M/s SHREE VISHNU MINERALS</v>
      </c>
      <c r="C1519" s="16" t="str">
        <f t="shared" si="114"/>
        <v>Mokha Charnan / Kolayat / Bikaner</v>
      </c>
      <c r="D1519" s="4" t="s">
        <v>3035</v>
      </c>
      <c r="E1519" s="4" t="s">
        <v>3119</v>
      </c>
      <c r="F1519" s="5">
        <v>46011.999664351853</v>
      </c>
      <c r="G1519" s="16" t="str">
        <f t="shared" si="115"/>
        <v>Silica Sand</v>
      </c>
      <c r="H1519" s="4" t="s">
        <v>2908</v>
      </c>
      <c r="I1519" s="18" t="str" cm="1">
        <f t="array" ref="I1519">_xlfn.LET(_xlpm.text, D1519,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19" s="18" t="str" cm="1">
        <f t="array" ref="J1519">_xlfn.LET(_xlpm.text, E1519,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19" s="14">
        <f t="shared" si="116"/>
        <v>46012</v>
      </c>
      <c r="L1519" s="14">
        <f t="shared" si="117"/>
        <v>46012.624664351853</v>
      </c>
      <c r="N1519" s="12"/>
    </row>
    <row r="1520" spans="1:14" x14ac:dyDescent="0.25">
      <c r="A1520" s="4" t="s">
        <v>1550</v>
      </c>
      <c r="B1520" s="16" t="str">
        <f t="shared" si="113"/>
        <v>M/s SHREE VISHNU MINERALS</v>
      </c>
      <c r="C1520" s="16" t="str">
        <f t="shared" si="114"/>
        <v>Mokha Charnan / Kolayat / Bikaner</v>
      </c>
      <c r="D1520" s="4" t="s">
        <v>3035</v>
      </c>
      <c r="E1520" s="4" t="s">
        <v>3119</v>
      </c>
      <c r="F1520" s="5">
        <v>46011.999664351853</v>
      </c>
      <c r="G1520" s="16" t="str">
        <f t="shared" si="115"/>
        <v>Silica Sand</v>
      </c>
      <c r="H1520" s="4" t="s">
        <v>2901</v>
      </c>
      <c r="I1520" s="18" t="str" cm="1">
        <f t="array" ref="I1520">_xlfn.LET(_xlpm.text, D1520,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20" s="18" t="str" cm="1">
        <f t="array" ref="J1520">_xlfn.LET(_xlpm.text, E1520,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0" s="14">
        <f t="shared" si="116"/>
        <v>46012</v>
      </c>
      <c r="L1520" s="14">
        <f t="shared" si="117"/>
        <v>46012.624664351853</v>
      </c>
      <c r="N1520" s="12"/>
    </row>
    <row r="1521" spans="1:14" x14ac:dyDescent="0.25">
      <c r="A1521" s="4" t="s">
        <v>1551</v>
      </c>
      <c r="B1521" s="16" t="str">
        <f t="shared" si="113"/>
        <v>M/s SHREE VISHNU MINERALS</v>
      </c>
      <c r="C1521" s="16" t="str">
        <f t="shared" si="114"/>
        <v>Mokha Charnan / Kolayat / Bikaner</v>
      </c>
      <c r="D1521" s="4" t="s">
        <v>3035</v>
      </c>
      <c r="E1521" s="4" t="s">
        <v>3119</v>
      </c>
      <c r="F1521" s="5">
        <v>46012.999664351853</v>
      </c>
      <c r="G1521" s="16" t="str">
        <f t="shared" si="115"/>
        <v>Silica Sand</v>
      </c>
      <c r="H1521" s="4" t="s">
        <v>2611</v>
      </c>
      <c r="I1521" s="18" t="str" cm="1">
        <f t="array" ref="I1521">_xlfn.LET(_xlpm.text, D1521,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21" s="18" t="str" cm="1">
        <f t="array" ref="J1521">_xlfn.LET(_xlpm.text, E1521,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1" s="14">
        <f t="shared" si="116"/>
        <v>46013</v>
      </c>
      <c r="L1521" s="14">
        <f t="shared" si="117"/>
        <v>46013.624664351853</v>
      </c>
      <c r="N1521" s="12"/>
    </row>
    <row r="1522" spans="1:14" x14ac:dyDescent="0.25">
      <c r="A1522" s="4" t="s">
        <v>1552</v>
      </c>
      <c r="B1522" s="16" t="str">
        <f t="shared" si="113"/>
        <v>M/s SHREE VISHNU MINERALS</v>
      </c>
      <c r="C1522" s="16" t="str">
        <f t="shared" si="114"/>
        <v>Mokha Charnan / Kolayat / Bikaner</v>
      </c>
      <c r="D1522" s="4" t="s">
        <v>3035</v>
      </c>
      <c r="E1522" s="4" t="s">
        <v>3119</v>
      </c>
      <c r="F1522" s="5">
        <v>46012.999664351853</v>
      </c>
      <c r="G1522" s="16" t="str">
        <f t="shared" si="115"/>
        <v>Silica Sand</v>
      </c>
      <c r="H1522" s="4" t="s">
        <v>2602</v>
      </c>
      <c r="I1522" s="18" t="str" cm="1">
        <f t="array" ref="I1522">_xlfn.LET(_xlpm.text, D1522,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22" s="18" t="str" cm="1">
        <f t="array" ref="J1522">_xlfn.LET(_xlpm.text, E1522,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2" s="14">
        <f t="shared" si="116"/>
        <v>46013</v>
      </c>
      <c r="L1522" s="14">
        <f t="shared" si="117"/>
        <v>46013.624664351853</v>
      </c>
      <c r="N1522" s="12"/>
    </row>
    <row r="1523" spans="1:14" x14ac:dyDescent="0.25">
      <c r="A1523" s="4" t="s">
        <v>1553</v>
      </c>
      <c r="B1523" s="16" t="str">
        <f t="shared" si="113"/>
        <v>M/s SHREE VISHNU MINERALS</v>
      </c>
      <c r="C1523" s="16" t="str">
        <f t="shared" si="114"/>
        <v>Mokha Charnan / Kolayat / Bikaner</v>
      </c>
      <c r="D1523" s="4" t="s">
        <v>3035</v>
      </c>
      <c r="E1523" s="4" t="s">
        <v>3119</v>
      </c>
      <c r="F1523" s="5">
        <v>46012.999664351853</v>
      </c>
      <c r="G1523" s="16" t="str">
        <f t="shared" si="115"/>
        <v>Silica Sand</v>
      </c>
      <c r="H1523" s="4" t="s">
        <v>2882</v>
      </c>
      <c r="I1523" s="18" t="str" cm="1">
        <f t="array" ref="I1523">_xlfn.LET(_xlpm.text, D1523,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23" s="18" t="str" cm="1">
        <f t="array" ref="J1523">_xlfn.LET(_xlpm.text, E1523,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3" s="14">
        <f t="shared" si="116"/>
        <v>46013</v>
      </c>
      <c r="L1523" s="14">
        <f t="shared" si="117"/>
        <v>46013.624664351853</v>
      </c>
      <c r="N1523" s="12"/>
    </row>
    <row r="1524" spans="1:14" x14ac:dyDescent="0.25">
      <c r="A1524" s="4" t="s">
        <v>1554</v>
      </c>
      <c r="B1524" s="16" t="str">
        <f t="shared" si="113"/>
        <v>M/s SHREE VISHNU MINERALS</v>
      </c>
      <c r="C1524" s="16" t="str">
        <f t="shared" si="114"/>
        <v>Mokha Charnan / Kolayat / Bikaner</v>
      </c>
      <c r="D1524" s="4" t="s">
        <v>3035</v>
      </c>
      <c r="E1524" s="4" t="s">
        <v>3119</v>
      </c>
      <c r="F1524" s="5">
        <v>46012.999664351853</v>
      </c>
      <c r="G1524" s="16" t="str">
        <f t="shared" si="115"/>
        <v>Silica Sand</v>
      </c>
      <c r="H1524" s="4" t="s">
        <v>2661</v>
      </c>
      <c r="I1524" s="18" t="str" cm="1">
        <f t="array" ref="I1524">_xlfn.LET(_xlpm.text, D1524,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24" s="18" t="str" cm="1">
        <f t="array" ref="J1524">_xlfn.LET(_xlpm.text, E1524,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4" s="14">
        <f t="shared" si="116"/>
        <v>46013</v>
      </c>
      <c r="L1524" s="14">
        <f t="shared" si="117"/>
        <v>46013.624664351853</v>
      </c>
      <c r="N1524" s="12"/>
    </row>
    <row r="1525" spans="1:14" x14ac:dyDescent="0.25">
      <c r="A1525" s="4" t="s">
        <v>1555</v>
      </c>
      <c r="B1525" s="16" t="str">
        <f t="shared" si="113"/>
        <v>S.R.MINES AND MINERLS</v>
      </c>
      <c r="C1525" s="16" t="str">
        <f t="shared" si="114"/>
        <v>Indo Ka Bala / Kolayat / Bikaner</v>
      </c>
      <c r="D1525" s="4" t="s">
        <v>3033</v>
      </c>
      <c r="E1525" s="4" t="s">
        <v>3119</v>
      </c>
      <c r="F1525" s="5">
        <v>46012.999664351853</v>
      </c>
      <c r="G1525" s="16" t="str">
        <f t="shared" si="115"/>
        <v>Silica Sand</v>
      </c>
      <c r="H1525" s="4" t="s">
        <v>2913</v>
      </c>
      <c r="I1525" s="18" t="str" cm="1">
        <f t="array" ref="I1525">_xlfn.LET(_xlpm.text, D1525,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25" s="18" t="str" cm="1">
        <f t="array" ref="J1525">_xlfn.LET(_xlpm.text, E1525,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5" s="14">
        <f t="shared" si="116"/>
        <v>46013</v>
      </c>
      <c r="L1525" s="14">
        <f t="shared" si="117"/>
        <v>46013.624664351853</v>
      </c>
      <c r="N1525" s="12"/>
    </row>
    <row r="1526" spans="1:14" x14ac:dyDescent="0.25">
      <c r="A1526" s="4" t="s">
        <v>1556</v>
      </c>
      <c r="B1526" s="16" t="str">
        <f t="shared" si="113"/>
        <v>MANOJ NAYAK</v>
      </c>
      <c r="C1526" s="16" t="str">
        <f t="shared" si="114"/>
        <v>Gangapura Chak No.7 / Kolayat / Bikaner</v>
      </c>
      <c r="D1526" s="4" t="s">
        <v>3033</v>
      </c>
      <c r="E1526" s="4" t="s">
        <v>3119</v>
      </c>
      <c r="F1526" s="5">
        <v>46012.999664351853</v>
      </c>
      <c r="G1526" s="16" t="str">
        <f t="shared" si="115"/>
        <v>Silica Sand</v>
      </c>
      <c r="H1526" s="4" t="s">
        <v>2885</v>
      </c>
      <c r="I1526" s="18" t="str" cm="1">
        <f t="array" ref="I1526">_xlfn.LET(_xlpm.text, D1526,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26" s="18" t="str" cm="1">
        <f t="array" ref="J1526">_xlfn.LET(_xlpm.text, E1526,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6" s="14">
        <f t="shared" si="116"/>
        <v>46013</v>
      </c>
      <c r="L1526" s="14">
        <f t="shared" si="117"/>
        <v>46013.624664351853</v>
      </c>
      <c r="N1526" s="12"/>
    </row>
    <row r="1527" spans="1:14" x14ac:dyDescent="0.25">
      <c r="A1527" s="4" t="s">
        <v>1557</v>
      </c>
      <c r="B1527" s="16" t="str">
        <f t="shared" si="113"/>
        <v>MANOJ NAYAK</v>
      </c>
      <c r="C1527" s="16" t="str">
        <f t="shared" si="114"/>
        <v>Gangapura Chak No.7 / Kolayat / Bikaner</v>
      </c>
      <c r="D1527" s="4" t="s">
        <v>3033</v>
      </c>
      <c r="E1527" s="4" t="s">
        <v>3119</v>
      </c>
      <c r="F1527" s="5">
        <v>46012.999664351853</v>
      </c>
      <c r="G1527" s="16" t="str">
        <f t="shared" si="115"/>
        <v>Silica Sand</v>
      </c>
      <c r="H1527" s="4" t="s">
        <v>2914</v>
      </c>
      <c r="I1527" s="18" t="str" cm="1">
        <f t="array" ref="I1527">_xlfn.LET(_xlpm.text, D1527,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27" s="18" t="str" cm="1">
        <f t="array" ref="J1527">_xlfn.LET(_xlpm.text, E1527,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7" s="14">
        <f t="shared" si="116"/>
        <v>46013</v>
      </c>
      <c r="L1527" s="14">
        <f t="shared" si="117"/>
        <v>46013.624664351853</v>
      </c>
      <c r="N1527" s="12"/>
    </row>
    <row r="1528" spans="1:14" x14ac:dyDescent="0.25">
      <c r="A1528" s="4" t="s">
        <v>1558</v>
      </c>
      <c r="B1528" s="16" t="str">
        <f t="shared" si="113"/>
        <v>MANOJ NAYAK</v>
      </c>
      <c r="C1528" s="16" t="str">
        <f t="shared" si="114"/>
        <v>Gangapura Chak No.7 / Kolayat / Bikaner</v>
      </c>
      <c r="D1528" s="4" t="s">
        <v>3033</v>
      </c>
      <c r="E1528" s="4" t="s">
        <v>3119</v>
      </c>
      <c r="F1528" s="5">
        <v>46012.999664351853</v>
      </c>
      <c r="G1528" s="16" t="str">
        <f t="shared" si="115"/>
        <v>Silica Sand</v>
      </c>
      <c r="H1528" s="4" t="s">
        <v>2915</v>
      </c>
      <c r="I1528" s="18" t="str" cm="1">
        <f t="array" ref="I1528">_xlfn.LET(_xlpm.text, D1528,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28" s="18" t="str" cm="1">
        <f t="array" ref="J1528">_xlfn.LET(_xlpm.text, E1528,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8" s="14">
        <f t="shared" si="116"/>
        <v>46013</v>
      </c>
      <c r="L1528" s="14">
        <f t="shared" si="117"/>
        <v>46013.624664351853</v>
      </c>
      <c r="N1528" s="12"/>
    </row>
    <row r="1529" spans="1:14" x14ac:dyDescent="0.25">
      <c r="A1529" s="4" t="s">
        <v>1559</v>
      </c>
      <c r="B1529" s="16" t="str">
        <f t="shared" si="113"/>
        <v>MANOJ NAYAK</v>
      </c>
      <c r="C1529" s="16" t="str">
        <f t="shared" si="114"/>
        <v>Gangapura Chak No.7 / Kolayat / Bikaner</v>
      </c>
      <c r="D1529" s="4" t="s">
        <v>3033</v>
      </c>
      <c r="E1529" s="4" t="s">
        <v>3119</v>
      </c>
      <c r="F1529" s="5">
        <v>46012.999664351853</v>
      </c>
      <c r="G1529" s="16" t="str">
        <f t="shared" si="115"/>
        <v>Silica Sand</v>
      </c>
      <c r="H1529" s="4" t="s">
        <v>2916</v>
      </c>
      <c r="I1529" s="18" t="str" cm="1">
        <f t="array" ref="I1529">_xlfn.LET(_xlpm.text, D1529,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29" s="18" t="str" cm="1">
        <f t="array" ref="J1529">_xlfn.LET(_xlpm.text, E1529,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29" s="14">
        <f t="shared" si="116"/>
        <v>46013</v>
      </c>
      <c r="L1529" s="14">
        <f t="shared" si="117"/>
        <v>46013.624664351853</v>
      </c>
      <c r="N1529" s="12"/>
    </row>
    <row r="1530" spans="1:14" x14ac:dyDescent="0.25">
      <c r="A1530" s="4" t="s">
        <v>1560</v>
      </c>
      <c r="B1530" s="16" t="str">
        <f t="shared" si="113"/>
        <v>MANOJ NAYAK</v>
      </c>
      <c r="C1530" s="16" t="str">
        <f t="shared" si="114"/>
        <v>Gangapura Chak No.7 / Kolayat / Bikaner</v>
      </c>
      <c r="D1530" s="4" t="s">
        <v>3033</v>
      </c>
      <c r="E1530" s="4" t="s">
        <v>3119</v>
      </c>
      <c r="F1530" s="5">
        <v>46012.999664351853</v>
      </c>
      <c r="G1530" s="16" t="str">
        <f t="shared" si="115"/>
        <v>Silica Sand</v>
      </c>
      <c r="H1530" s="4" t="s">
        <v>2885</v>
      </c>
      <c r="I1530" s="18" t="str" cm="1">
        <f t="array" ref="I1530">_xlfn.LET(_xlpm.text, D1530,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30" s="18" t="str" cm="1">
        <f t="array" ref="J1530">_xlfn.LET(_xlpm.text, E1530,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0" s="14">
        <f t="shared" si="116"/>
        <v>46013</v>
      </c>
      <c r="L1530" s="14">
        <f t="shared" si="117"/>
        <v>46013.624664351853</v>
      </c>
      <c r="N1530" s="12"/>
    </row>
    <row r="1531" spans="1:14" x14ac:dyDescent="0.25">
      <c r="A1531" s="4" t="s">
        <v>1561</v>
      </c>
      <c r="B1531" s="16" t="str">
        <f t="shared" si="113"/>
        <v>M/s SHREE VISHNU MINERALS</v>
      </c>
      <c r="C1531" s="16" t="str">
        <f t="shared" si="114"/>
        <v>Mokha Charnan / Kolayat / Bikaner</v>
      </c>
      <c r="D1531" s="4" t="s">
        <v>3034</v>
      </c>
      <c r="E1531" s="4" t="s">
        <v>3119</v>
      </c>
      <c r="F1531" s="5">
        <v>46012.999664351853</v>
      </c>
      <c r="G1531" s="16" t="str">
        <f t="shared" si="115"/>
        <v>Silica Sand</v>
      </c>
      <c r="H1531" s="4" t="s">
        <v>2882</v>
      </c>
      <c r="I1531" s="18" t="str" cm="1">
        <f t="array" ref="I1531">_xlfn.LET(_xlpm.text, D1531,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31" s="18" t="str" cm="1">
        <f t="array" ref="J1531">_xlfn.LET(_xlpm.text, E1531,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1" s="14">
        <f t="shared" si="116"/>
        <v>46013</v>
      </c>
      <c r="L1531" s="14">
        <f t="shared" si="117"/>
        <v>46013.624664351853</v>
      </c>
      <c r="N1531" s="12"/>
    </row>
    <row r="1532" spans="1:14" x14ac:dyDescent="0.25">
      <c r="A1532" s="4" t="s">
        <v>1562</v>
      </c>
      <c r="B1532" s="16" t="str">
        <f t="shared" si="113"/>
        <v>M/s SHREE VISHNU MINERALS</v>
      </c>
      <c r="C1532" s="16" t="str">
        <f t="shared" si="114"/>
        <v>Mokha Charnan / Kolayat / Bikaner</v>
      </c>
      <c r="D1532" s="4" t="s">
        <v>3032</v>
      </c>
      <c r="E1532" s="4" t="s">
        <v>3119</v>
      </c>
      <c r="F1532" s="5">
        <v>46013.999664351853</v>
      </c>
      <c r="G1532" s="16" t="str">
        <f t="shared" si="115"/>
        <v>Silica Sand</v>
      </c>
      <c r="H1532" s="4" t="s">
        <v>2661</v>
      </c>
      <c r="I1532" s="18" t="str" cm="1">
        <f t="array" ref="I1532">_xlfn.LET(_xlpm.text, D1532,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32" s="18" t="str" cm="1">
        <f t="array" ref="J1532">_xlfn.LET(_xlpm.text, E1532,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2" s="14">
        <f t="shared" si="116"/>
        <v>46014</v>
      </c>
      <c r="L1532" s="14">
        <f t="shared" si="117"/>
        <v>46014.624664351853</v>
      </c>
      <c r="N1532" s="12"/>
    </row>
    <row r="1533" spans="1:14" x14ac:dyDescent="0.25">
      <c r="A1533" s="4" t="s">
        <v>1563</v>
      </c>
      <c r="B1533" s="16" t="str">
        <f t="shared" si="113"/>
        <v>MANOJ NAYAK</v>
      </c>
      <c r="C1533" s="16" t="str">
        <f t="shared" si="114"/>
        <v>Gangapura Chak No.7 / Kolayat / Bikaner</v>
      </c>
      <c r="D1533" s="4" t="s">
        <v>3033</v>
      </c>
      <c r="E1533" s="4" t="s">
        <v>3119</v>
      </c>
      <c r="F1533" s="5">
        <v>46013.999664351853</v>
      </c>
      <c r="G1533" s="16" t="str">
        <f t="shared" si="115"/>
        <v>Silica Sand</v>
      </c>
      <c r="H1533" s="4" t="s">
        <v>2917</v>
      </c>
      <c r="I1533" s="18" t="str" cm="1">
        <f t="array" ref="I1533">_xlfn.LET(_xlpm.text, D1533,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33" s="18" t="str" cm="1">
        <f t="array" ref="J1533">_xlfn.LET(_xlpm.text, E1533,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3" s="14">
        <f t="shared" si="116"/>
        <v>46014</v>
      </c>
      <c r="L1533" s="14">
        <f t="shared" si="117"/>
        <v>46014.624664351853</v>
      </c>
      <c r="N1533" s="12"/>
    </row>
    <row r="1534" spans="1:14" x14ac:dyDescent="0.25">
      <c r="A1534" s="4" t="s">
        <v>1564</v>
      </c>
      <c r="B1534" s="16" t="str">
        <f t="shared" si="113"/>
        <v>S.R.MINES AND MINERLS</v>
      </c>
      <c r="C1534" s="16" t="str">
        <f t="shared" si="114"/>
        <v>Indo Ka Bala / Kolayat / Bikaner</v>
      </c>
      <c r="D1534" s="4" t="s">
        <v>1382</v>
      </c>
      <c r="E1534" s="4" t="s">
        <v>3119</v>
      </c>
      <c r="F1534" s="5">
        <v>46013.999664351853</v>
      </c>
      <c r="G1534" s="16" t="str">
        <f t="shared" si="115"/>
        <v>Silica Sand</v>
      </c>
      <c r="H1534" s="4" t="s">
        <v>2760</v>
      </c>
      <c r="I1534" s="18" t="str" cm="1">
        <f t="array" ref="I1534">_xlfn.LET(_xlpm.text, D1534,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34" s="18" t="str" cm="1">
        <f t="array" ref="J1534">_xlfn.LET(_xlpm.text, E1534,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4" s="14">
        <f t="shared" si="116"/>
        <v>46014</v>
      </c>
      <c r="L1534" s="14">
        <f t="shared" si="117"/>
        <v>46014.624664351853</v>
      </c>
      <c r="N1534" s="12"/>
    </row>
    <row r="1535" spans="1:14" x14ac:dyDescent="0.25">
      <c r="A1535" s="4" t="s">
        <v>1565</v>
      </c>
      <c r="B1535" s="16" t="str">
        <f t="shared" si="113"/>
        <v>MANOJ NAYAK</v>
      </c>
      <c r="C1535" s="16" t="str">
        <f t="shared" si="114"/>
        <v>Gangapura Chak No.7 / Kolayat / Bikaner</v>
      </c>
      <c r="D1535" s="4" t="s">
        <v>3033</v>
      </c>
      <c r="E1535" s="4" t="s">
        <v>3119</v>
      </c>
      <c r="F1535" s="5">
        <v>46013.999664351853</v>
      </c>
      <c r="G1535" s="16" t="str">
        <f t="shared" si="115"/>
        <v>Silica Sand</v>
      </c>
      <c r="H1535" s="4" t="s">
        <v>2885</v>
      </c>
      <c r="I1535" s="18" t="str" cm="1">
        <f t="array" ref="I1535">_xlfn.LET(_xlpm.text, D1535,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35" s="18" t="str" cm="1">
        <f t="array" ref="J1535">_xlfn.LET(_xlpm.text, E1535,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5" s="14">
        <f t="shared" si="116"/>
        <v>46014</v>
      </c>
      <c r="L1535" s="14">
        <f t="shared" si="117"/>
        <v>46014.624664351853</v>
      </c>
      <c r="N1535" s="12"/>
    </row>
    <row r="1536" spans="1:14" x14ac:dyDescent="0.25">
      <c r="A1536" s="4" t="s">
        <v>1566</v>
      </c>
      <c r="B1536" s="16" t="str">
        <f t="shared" si="113"/>
        <v>M/s SHREE VISHNU MINERALS</v>
      </c>
      <c r="C1536" s="16" t="str">
        <f t="shared" si="114"/>
        <v>Mokha Charnan / Kolayat / Bikaner</v>
      </c>
      <c r="D1536" s="4" t="s">
        <v>3034</v>
      </c>
      <c r="E1536" s="4" t="s">
        <v>3119</v>
      </c>
      <c r="F1536" s="5">
        <v>46013.999664351853</v>
      </c>
      <c r="G1536" s="16" t="str">
        <f t="shared" si="115"/>
        <v>Silica Sand</v>
      </c>
      <c r="H1536" s="4" t="s">
        <v>2604</v>
      </c>
      <c r="I1536" s="18" t="str" cm="1">
        <f t="array" ref="I1536">_xlfn.LET(_xlpm.text, D1536,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36" s="18" t="str" cm="1">
        <f t="array" ref="J1536">_xlfn.LET(_xlpm.text, E1536,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6" s="14">
        <f t="shared" si="116"/>
        <v>46014</v>
      </c>
      <c r="L1536" s="14">
        <f t="shared" si="117"/>
        <v>46014.624664351853</v>
      </c>
      <c r="N1536" s="12"/>
    </row>
    <row r="1537" spans="1:14" x14ac:dyDescent="0.25">
      <c r="A1537" s="4" t="s">
        <v>1567</v>
      </c>
      <c r="B1537" s="16" t="str">
        <f t="shared" si="113"/>
        <v>M/s SHREE VISHNU MINERALS</v>
      </c>
      <c r="C1537" s="16" t="str">
        <f t="shared" si="114"/>
        <v>Mokha Charnan / Kolayat / Bikaner</v>
      </c>
      <c r="D1537" s="4" t="s">
        <v>3034</v>
      </c>
      <c r="E1537" s="4" t="s">
        <v>3119</v>
      </c>
      <c r="F1537" s="5">
        <v>46013.999664351853</v>
      </c>
      <c r="G1537" s="16" t="str">
        <f t="shared" si="115"/>
        <v>Silica Sand</v>
      </c>
      <c r="H1537" s="4" t="s">
        <v>2315</v>
      </c>
      <c r="I1537" s="18" t="str" cm="1">
        <f t="array" ref="I1537">_xlfn.LET(_xlpm.text, D1537,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37" s="18" t="str" cm="1">
        <f t="array" ref="J1537">_xlfn.LET(_xlpm.text, E1537,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7" s="14">
        <f t="shared" si="116"/>
        <v>46014</v>
      </c>
      <c r="L1537" s="14">
        <f t="shared" si="117"/>
        <v>46014.624664351853</v>
      </c>
      <c r="N1537" s="12"/>
    </row>
    <row r="1538" spans="1:14" x14ac:dyDescent="0.25">
      <c r="A1538" s="4" t="s">
        <v>1568</v>
      </c>
      <c r="B1538" s="16" t="str">
        <f t="shared" ref="B1538:B1601" si="118">VLOOKUP(LEFT($A1538,4)&amp;"*",$O$3:$R$17, 2, FALSE)</f>
        <v>M/s SHREE VISHNU MINERALS</v>
      </c>
      <c r="C1538" s="16" t="str">
        <f t="shared" ref="C1538:C1601" si="119">VLOOKUP(LEFT($A1538,4)&amp;"*",$O$3:$R$17, 3, FALSE)</f>
        <v>Mokha Charnan / Kolayat / Bikaner</v>
      </c>
      <c r="D1538" s="4" t="s">
        <v>3034</v>
      </c>
      <c r="E1538" s="4" t="s">
        <v>3119</v>
      </c>
      <c r="F1538" s="5">
        <v>46013.999664351853</v>
      </c>
      <c r="G1538" s="16" t="str">
        <f t="shared" ref="G1538:G1601" si="120">VLOOKUP(LEFT($A1538,4)&amp;"*",$O$3:$R$17, 4, FALSE)</f>
        <v>Silica Sand</v>
      </c>
      <c r="H1538" s="4" t="s">
        <v>2882</v>
      </c>
      <c r="I1538" s="18" t="str" cm="1">
        <f t="array" ref="I1538">_xlfn.LET(_xlpm.text, D1538,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38" s="18" t="str" cm="1">
        <f t="array" ref="J1538">_xlfn.LET(_xlpm.text, E1538,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8" s="14">
        <f t="shared" si="116"/>
        <v>46014</v>
      </c>
      <c r="L1538" s="14">
        <f t="shared" si="117"/>
        <v>46014.624664351853</v>
      </c>
      <c r="N1538" s="12"/>
    </row>
    <row r="1539" spans="1:14" x14ac:dyDescent="0.25">
      <c r="A1539" s="4" t="s">
        <v>1569</v>
      </c>
      <c r="B1539" s="16" t="str">
        <f t="shared" si="118"/>
        <v>M/s SHREE VISHNU MINERALS</v>
      </c>
      <c r="C1539" s="16" t="str">
        <f t="shared" si="119"/>
        <v>Mokha Charnan / Kolayat / Bikaner</v>
      </c>
      <c r="D1539" s="4" t="s">
        <v>3035</v>
      </c>
      <c r="E1539" s="4" t="s">
        <v>3119</v>
      </c>
      <c r="F1539" s="5">
        <v>46013.999664351853</v>
      </c>
      <c r="G1539" s="16" t="str">
        <f t="shared" si="120"/>
        <v>Silica Sand</v>
      </c>
      <c r="H1539" s="4" t="s">
        <v>2901</v>
      </c>
      <c r="I1539" s="18" t="str" cm="1">
        <f t="array" ref="I1539">_xlfn.LET(_xlpm.text, D1539,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39" s="18" t="str" cm="1">
        <f t="array" ref="J1539">_xlfn.LET(_xlpm.text, E1539,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39" s="14">
        <f t="shared" ref="K1539:K1602" si="121">F1539+(29/86400)</f>
        <v>46014</v>
      </c>
      <c r="L1539" s="14">
        <f t="shared" ref="L1539:L1602" si="122">F1539+(15/24)</f>
        <v>46014.624664351853</v>
      </c>
      <c r="N1539" s="12"/>
    </row>
    <row r="1540" spans="1:14" x14ac:dyDescent="0.25">
      <c r="A1540" s="4" t="s">
        <v>1570</v>
      </c>
      <c r="B1540" s="16" t="str">
        <f t="shared" si="118"/>
        <v>M/s SHREE VISHNU MINERALS</v>
      </c>
      <c r="C1540" s="16" t="str">
        <f t="shared" si="119"/>
        <v>Mokha Charnan / Kolayat / Bikaner</v>
      </c>
      <c r="D1540" s="4" t="s">
        <v>3035</v>
      </c>
      <c r="E1540" s="4" t="s">
        <v>3119</v>
      </c>
      <c r="F1540" s="5">
        <v>46013.999664351853</v>
      </c>
      <c r="G1540" s="16" t="str">
        <f t="shared" si="120"/>
        <v>Silica Sand</v>
      </c>
      <c r="H1540" s="4" t="s">
        <v>2903</v>
      </c>
      <c r="I1540" s="18" t="str" cm="1">
        <f t="array" ref="I1540">_xlfn.LET(_xlpm.text, D1540,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40" s="18" t="str" cm="1">
        <f t="array" ref="J1540">_xlfn.LET(_xlpm.text, E1540,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0" s="14">
        <f t="shared" si="121"/>
        <v>46014</v>
      </c>
      <c r="L1540" s="14">
        <f t="shared" si="122"/>
        <v>46014.624664351853</v>
      </c>
      <c r="N1540" s="12"/>
    </row>
    <row r="1541" spans="1:14" x14ac:dyDescent="0.25">
      <c r="A1541" s="4" t="s">
        <v>1571</v>
      </c>
      <c r="B1541" s="16" t="str">
        <f t="shared" si="118"/>
        <v>M/s SHREE VISHNU MINERALS</v>
      </c>
      <c r="C1541" s="16" t="str">
        <f t="shared" si="119"/>
        <v>Mokha Charnan / Kolayat / Bikaner</v>
      </c>
      <c r="D1541" s="4" t="s">
        <v>3035</v>
      </c>
      <c r="E1541" s="4" t="s">
        <v>3119</v>
      </c>
      <c r="F1541" s="5">
        <v>46013.999664351853</v>
      </c>
      <c r="G1541" s="16" t="str">
        <f t="shared" si="120"/>
        <v>Silica Sand</v>
      </c>
      <c r="H1541" s="4" t="s">
        <v>2907</v>
      </c>
      <c r="I1541" s="18" t="str" cm="1">
        <f t="array" ref="I1541">_xlfn.LET(_xlpm.text, D1541,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41" s="18" t="str" cm="1">
        <f t="array" ref="J1541">_xlfn.LET(_xlpm.text, E1541,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1" s="14">
        <f t="shared" si="121"/>
        <v>46014</v>
      </c>
      <c r="L1541" s="14">
        <f t="shared" si="122"/>
        <v>46014.624664351853</v>
      </c>
      <c r="N1541" s="12"/>
    </row>
    <row r="1542" spans="1:14" x14ac:dyDescent="0.25">
      <c r="A1542" s="4" t="s">
        <v>1572</v>
      </c>
      <c r="B1542" s="16" t="str">
        <f t="shared" si="118"/>
        <v>M/s SHREE VISHNU MINERALS</v>
      </c>
      <c r="C1542" s="16" t="str">
        <f t="shared" si="119"/>
        <v>Mokha Charnan / Kolayat / Bikaner</v>
      </c>
      <c r="D1542" s="4" t="s">
        <v>3035</v>
      </c>
      <c r="E1542" s="4" t="s">
        <v>3119</v>
      </c>
      <c r="F1542" s="5">
        <v>46013.999664351853</v>
      </c>
      <c r="G1542" s="16" t="str">
        <f t="shared" si="120"/>
        <v>Silica Sand</v>
      </c>
      <c r="H1542" s="4" t="s">
        <v>2452</v>
      </c>
      <c r="I1542" s="18" t="str" cm="1">
        <f t="array" ref="I1542">_xlfn.LET(_xlpm.text, D1542,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42" s="18" t="str" cm="1">
        <f t="array" ref="J1542">_xlfn.LET(_xlpm.text, E1542,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2" s="14">
        <f t="shared" si="121"/>
        <v>46014</v>
      </c>
      <c r="L1542" s="14">
        <f t="shared" si="122"/>
        <v>46014.624664351853</v>
      </c>
      <c r="N1542" s="12"/>
    </row>
    <row r="1543" spans="1:14" x14ac:dyDescent="0.25">
      <c r="A1543" s="4" t="s">
        <v>1573</v>
      </c>
      <c r="B1543" s="16" t="str">
        <f t="shared" si="118"/>
        <v>M/s SHREE VISHNU MINERALS</v>
      </c>
      <c r="C1543" s="16" t="str">
        <f t="shared" si="119"/>
        <v>Mokha Charnan / Kolayat / Bikaner</v>
      </c>
      <c r="D1543" s="4" t="s">
        <v>3035</v>
      </c>
      <c r="E1543" s="4" t="s">
        <v>3119</v>
      </c>
      <c r="F1543" s="5">
        <v>46013.999664351853</v>
      </c>
      <c r="G1543" s="16" t="str">
        <f t="shared" si="120"/>
        <v>Silica Sand</v>
      </c>
      <c r="H1543" s="4" t="s">
        <v>2903</v>
      </c>
      <c r="I1543" s="18" t="str" cm="1">
        <f t="array" ref="I1543">_xlfn.LET(_xlpm.text, D1543,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43" s="18" t="str" cm="1">
        <f t="array" ref="J1543">_xlfn.LET(_xlpm.text, E1543,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3" s="14">
        <f t="shared" si="121"/>
        <v>46014</v>
      </c>
      <c r="L1543" s="14">
        <f t="shared" si="122"/>
        <v>46014.624664351853</v>
      </c>
      <c r="N1543" s="12"/>
    </row>
    <row r="1544" spans="1:14" x14ac:dyDescent="0.25">
      <c r="A1544" s="4" t="s">
        <v>1574</v>
      </c>
      <c r="B1544" s="16" t="str">
        <f t="shared" si="118"/>
        <v>M/s SHREE VISHNU MINERALS</v>
      </c>
      <c r="C1544" s="16" t="str">
        <f t="shared" si="119"/>
        <v>Mokha Charnan / Kolayat / Bikaner</v>
      </c>
      <c r="D1544" s="4" t="s">
        <v>3032</v>
      </c>
      <c r="E1544" s="4" t="s">
        <v>3119</v>
      </c>
      <c r="F1544" s="5">
        <v>46013.999664351853</v>
      </c>
      <c r="G1544" s="16" t="str">
        <f t="shared" si="120"/>
        <v>Silica Sand</v>
      </c>
      <c r="H1544" s="4" t="s">
        <v>2918</v>
      </c>
      <c r="I1544" s="18" t="str" cm="1">
        <f t="array" ref="I1544">_xlfn.LET(_xlpm.text, D1544,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44" s="18" t="str" cm="1">
        <f t="array" ref="J1544">_xlfn.LET(_xlpm.text, E1544,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4" s="14">
        <f t="shared" si="121"/>
        <v>46014</v>
      </c>
      <c r="L1544" s="14">
        <f t="shared" si="122"/>
        <v>46014.624664351853</v>
      </c>
      <c r="N1544" s="12"/>
    </row>
    <row r="1545" spans="1:14" x14ac:dyDescent="0.25">
      <c r="A1545" s="4" t="s">
        <v>1575</v>
      </c>
      <c r="B1545" s="16" t="str">
        <f t="shared" si="118"/>
        <v>M/s SHREE VISHNU MINERALS</v>
      </c>
      <c r="C1545" s="16" t="str">
        <f t="shared" si="119"/>
        <v>Mokha Charnan / Kolayat / Bikaner</v>
      </c>
      <c r="D1545" s="4" t="s">
        <v>3032</v>
      </c>
      <c r="E1545" s="4" t="s">
        <v>3119</v>
      </c>
      <c r="F1545" s="5">
        <v>45649.999664351853</v>
      </c>
      <c r="G1545" s="16" t="str">
        <f t="shared" si="120"/>
        <v>Silica Sand</v>
      </c>
      <c r="H1545" s="4" t="s">
        <v>2661</v>
      </c>
      <c r="I1545" s="18" t="str" cm="1">
        <f t="array" ref="I1545">_xlfn.LET(_xlpm.text, D1545,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45" s="18" t="str" cm="1">
        <f t="array" ref="J1545">_xlfn.LET(_xlpm.text, E1545,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5" s="14">
        <f t="shared" si="121"/>
        <v>45650</v>
      </c>
      <c r="L1545" s="14">
        <f t="shared" si="122"/>
        <v>45650.624664351853</v>
      </c>
      <c r="N1545" s="12"/>
    </row>
    <row r="1546" spans="1:14" x14ac:dyDescent="0.25">
      <c r="A1546" s="4" t="s">
        <v>1576</v>
      </c>
      <c r="B1546" s="16" t="str">
        <f t="shared" si="118"/>
        <v>MANOJ NAYAK</v>
      </c>
      <c r="C1546" s="16" t="str">
        <f t="shared" si="119"/>
        <v>Gangapura Chak No.7 / Kolayat / Bikaner</v>
      </c>
      <c r="D1546" s="4" t="s">
        <v>3033</v>
      </c>
      <c r="E1546" s="4" t="s">
        <v>3119</v>
      </c>
      <c r="F1546" s="5">
        <v>45649.999664351853</v>
      </c>
      <c r="G1546" s="16" t="str">
        <f t="shared" si="120"/>
        <v>Silica Sand</v>
      </c>
      <c r="H1546" s="4" t="s">
        <v>2886</v>
      </c>
      <c r="I1546" s="18" t="str" cm="1">
        <f t="array" ref="I1546">_xlfn.LET(_xlpm.text, D1546,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46" s="18" t="str" cm="1">
        <f t="array" ref="J1546">_xlfn.LET(_xlpm.text, E1546,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6" s="14">
        <f t="shared" si="121"/>
        <v>45650</v>
      </c>
      <c r="L1546" s="14">
        <f t="shared" si="122"/>
        <v>45650.624664351853</v>
      </c>
      <c r="N1546" s="12"/>
    </row>
    <row r="1547" spans="1:14" x14ac:dyDescent="0.25">
      <c r="A1547" s="4" t="s">
        <v>1577</v>
      </c>
      <c r="B1547" s="16" t="str">
        <f t="shared" si="118"/>
        <v>MANOJ NAYAK</v>
      </c>
      <c r="C1547" s="16" t="str">
        <f t="shared" si="119"/>
        <v>Gangapura Chak No.7 / Kolayat / Bikaner</v>
      </c>
      <c r="D1547" s="4" t="s">
        <v>3033</v>
      </c>
      <c r="E1547" s="4" t="s">
        <v>3119</v>
      </c>
      <c r="F1547" s="5">
        <v>45649.999664351853</v>
      </c>
      <c r="G1547" s="16" t="str">
        <f t="shared" si="120"/>
        <v>Silica Sand</v>
      </c>
      <c r="H1547" s="4" t="s">
        <v>2919</v>
      </c>
      <c r="I1547" s="18" t="str" cm="1">
        <f t="array" ref="I1547">_xlfn.LET(_xlpm.text, D1547,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47" s="18" t="str" cm="1">
        <f t="array" ref="J1547">_xlfn.LET(_xlpm.text, E1547,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7" s="14">
        <f t="shared" si="121"/>
        <v>45650</v>
      </c>
      <c r="L1547" s="14">
        <f t="shared" si="122"/>
        <v>45650.624664351853</v>
      </c>
      <c r="N1547" s="12"/>
    </row>
    <row r="1548" spans="1:14" x14ac:dyDescent="0.25">
      <c r="A1548" s="4" t="s">
        <v>1578</v>
      </c>
      <c r="B1548" s="16" t="str">
        <f t="shared" si="118"/>
        <v>MANOJ NAYAK</v>
      </c>
      <c r="C1548" s="16" t="str">
        <f t="shared" si="119"/>
        <v>Gangapura Chak No.7 / Kolayat / Bikaner</v>
      </c>
      <c r="D1548" s="4" t="s">
        <v>3033</v>
      </c>
      <c r="E1548" s="4" t="s">
        <v>3119</v>
      </c>
      <c r="F1548" s="5">
        <v>45649.999664351853</v>
      </c>
      <c r="G1548" s="16" t="str">
        <f t="shared" si="120"/>
        <v>Silica Sand</v>
      </c>
      <c r="H1548" s="4" t="s">
        <v>2894</v>
      </c>
      <c r="I1548" s="18" t="str" cm="1">
        <f t="array" ref="I1548">_xlfn.LET(_xlpm.text, D1548,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548" s="18" t="str" cm="1">
        <f t="array" ref="J1548">_xlfn.LET(_xlpm.text, E1548,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8" s="14">
        <f t="shared" si="121"/>
        <v>45650</v>
      </c>
      <c r="L1548" s="14">
        <f t="shared" si="122"/>
        <v>45650.624664351853</v>
      </c>
      <c r="N1548" s="12"/>
    </row>
    <row r="1549" spans="1:14" x14ac:dyDescent="0.25">
      <c r="A1549" s="4" t="s">
        <v>1579</v>
      </c>
      <c r="B1549" s="16" t="str">
        <f t="shared" si="118"/>
        <v>M/s SHREE VISHNU MINERALS</v>
      </c>
      <c r="C1549" s="16" t="str">
        <f t="shared" si="119"/>
        <v>Mokha Charnan / Kolayat / Bikaner</v>
      </c>
      <c r="D1549" s="4" t="s">
        <v>3034</v>
      </c>
      <c r="E1549" s="4" t="s">
        <v>3119</v>
      </c>
      <c r="F1549" s="5">
        <v>45649.999664351853</v>
      </c>
      <c r="G1549" s="16" t="str">
        <f t="shared" si="120"/>
        <v>Silica Sand</v>
      </c>
      <c r="H1549" s="4" t="s">
        <v>2604</v>
      </c>
      <c r="I1549" s="18" t="str" cm="1">
        <f t="array" ref="I1549">_xlfn.LET(_xlpm.text, D1549,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49" s="18" t="str" cm="1">
        <f t="array" ref="J1549">_xlfn.LET(_xlpm.text, E1549,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49" s="14">
        <f t="shared" si="121"/>
        <v>45650</v>
      </c>
      <c r="L1549" s="14">
        <f t="shared" si="122"/>
        <v>45650.624664351853</v>
      </c>
      <c r="N1549" s="12"/>
    </row>
    <row r="1550" spans="1:14" x14ac:dyDescent="0.25">
      <c r="A1550" s="4" t="s">
        <v>1580</v>
      </c>
      <c r="B1550" s="16" t="str">
        <f t="shared" si="118"/>
        <v>M/s SHREE VISHNU MINERALS</v>
      </c>
      <c r="C1550" s="16" t="str">
        <f t="shared" si="119"/>
        <v>Mokha Charnan / Kolayat / Bikaner</v>
      </c>
      <c r="D1550" s="4" t="s">
        <v>3034</v>
      </c>
      <c r="E1550" s="4" t="s">
        <v>3119</v>
      </c>
      <c r="F1550" s="5">
        <v>45649.999664351853</v>
      </c>
      <c r="G1550" s="16" t="str">
        <f t="shared" si="120"/>
        <v>Silica Sand</v>
      </c>
      <c r="H1550" s="4" t="s">
        <v>2882</v>
      </c>
      <c r="I1550" s="18" t="str" cm="1">
        <f t="array" ref="I1550">_xlfn.LET(_xlpm.text, D1550,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0" s="18" t="str" cm="1">
        <f t="array" ref="J1550">_xlfn.LET(_xlpm.text, E1550,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0" s="14">
        <f t="shared" si="121"/>
        <v>45650</v>
      </c>
      <c r="L1550" s="14">
        <f t="shared" si="122"/>
        <v>45650.624664351853</v>
      </c>
      <c r="N1550" s="12"/>
    </row>
    <row r="1551" spans="1:14" x14ac:dyDescent="0.25">
      <c r="A1551" s="4" t="s">
        <v>1581</v>
      </c>
      <c r="B1551" s="16" t="str">
        <f t="shared" si="118"/>
        <v>M/s SHREE VISHNU MINERALS</v>
      </c>
      <c r="C1551" s="16" t="str">
        <f t="shared" si="119"/>
        <v>Mokha Charnan / Kolayat / Bikaner</v>
      </c>
      <c r="D1551" s="4" t="s">
        <v>3034</v>
      </c>
      <c r="E1551" s="4" t="s">
        <v>3119</v>
      </c>
      <c r="F1551" s="5">
        <v>45649.999664351853</v>
      </c>
      <c r="G1551" s="16" t="str">
        <f t="shared" si="120"/>
        <v>Silica Sand</v>
      </c>
      <c r="H1551" s="4" t="s">
        <v>2604</v>
      </c>
      <c r="I1551" s="18" t="str" cm="1">
        <f t="array" ref="I1551">_xlfn.LET(_xlpm.text, D1551,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1" s="18" t="str" cm="1">
        <f t="array" ref="J1551">_xlfn.LET(_xlpm.text, E1551,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1" s="14">
        <f t="shared" si="121"/>
        <v>45650</v>
      </c>
      <c r="L1551" s="14">
        <f t="shared" si="122"/>
        <v>45650.624664351853</v>
      </c>
      <c r="N1551" s="12"/>
    </row>
    <row r="1552" spans="1:14" x14ac:dyDescent="0.25">
      <c r="A1552" s="4" t="s">
        <v>1582</v>
      </c>
      <c r="B1552" s="16" t="str">
        <f t="shared" si="118"/>
        <v>M/s SHREE VISHNU MINERALS</v>
      </c>
      <c r="C1552" s="16" t="str">
        <f t="shared" si="119"/>
        <v>Mokha Charnan / Kolayat / Bikaner</v>
      </c>
      <c r="D1552" s="4" t="s">
        <v>3034</v>
      </c>
      <c r="E1552" s="4" t="s">
        <v>3119</v>
      </c>
      <c r="F1552" s="5">
        <v>45649.999664351853</v>
      </c>
      <c r="G1552" s="16" t="str">
        <f t="shared" si="120"/>
        <v>Silica Sand</v>
      </c>
      <c r="H1552" s="4" t="s">
        <v>2920</v>
      </c>
      <c r="I1552" s="18" t="str" cm="1">
        <f t="array" ref="I1552">_xlfn.LET(_xlpm.text, D1552,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2" s="18" t="str" cm="1">
        <f t="array" ref="J1552">_xlfn.LET(_xlpm.text, E1552,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2" s="14">
        <f t="shared" si="121"/>
        <v>45650</v>
      </c>
      <c r="L1552" s="14">
        <f t="shared" si="122"/>
        <v>45650.624664351853</v>
      </c>
      <c r="N1552" s="12"/>
    </row>
    <row r="1553" spans="1:14" x14ac:dyDescent="0.25">
      <c r="A1553" s="4" t="s">
        <v>1583</v>
      </c>
      <c r="B1553" s="16" t="str">
        <f t="shared" si="118"/>
        <v>M/s SHREE VISHNU MINERALS</v>
      </c>
      <c r="C1553" s="16" t="str">
        <f t="shared" si="119"/>
        <v>Mokha Charnan / Kolayat / Bikaner</v>
      </c>
      <c r="D1553" s="4" t="s">
        <v>3034</v>
      </c>
      <c r="E1553" s="4" t="s">
        <v>3119</v>
      </c>
      <c r="F1553" s="5">
        <v>45649.999664351853</v>
      </c>
      <c r="G1553" s="16" t="str">
        <f t="shared" si="120"/>
        <v>Silica Sand</v>
      </c>
      <c r="H1553" s="4" t="s">
        <v>2617</v>
      </c>
      <c r="I1553" s="18" t="str" cm="1">
        <f t="array" ref="I1553">_xlfn.LET(_xlpm.text, D1553,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3" s="18" t="str" cm="1">
        <f t="array" ref="J1553">_xlfn.LET(_xlpm.text, E1553,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3" s="14">
        <f t="shared" si="121"/>
        <v>45650</v>
      </c>
      <c r="L1553" s="14">
        <f t="shared" si="122"/>
        <v>45650.624664351853</v>
      </c>
      <c r="N1553" s="12"/>
    </row>
    <row r="1554" spans="1:14" x14ac:dyDescent="0.25">
      <c r="A1554" s="4" t="s">
        <v>1584</v>
      </c>
      <c r="B1554" s="16" t="str">
        <f t="shared" si="118"/>
        <v>M/s SHREE VISHNU MINERALS</v>
      </c>
      <c r="C1554" s="16" t="str">
        <f t="shared" si="119"/>
        <v>Mokha Charnan / Kolayat / Bikaner</v>
      </c>
      <c r="D1554" s="4" t="s">
        <v>3034</v>
      </c>
      <c r="E1554" s="4" t="s">
        <v>3119</v>
      </c>
      <c r="F1554" s="5">
        <v>45649.999664351853</v>
      </c>
      <c r="G1554" s="16" t="str">
        <f t="shared" si="120"/>
        <v>Silica Sand</v>
      </c>
      <c r="H1554" s="4" t="s">
        <v>2602</v>
      </c>
      <c r="I1554" s="18" t="str" cm="1">
        <f t="array" ref="I1554">_xlfn.LET(_xlpm.text, D1554,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4" s="18" t="str" cm="1">
        <f t="array" ref="J1554">_xlfn.LET(_xlpm.text, E1554,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4" s="14">
        <f t="shared" si="121"/>
        <v>45650</v>
      </c>
      <c r="L1554" s="14">
        <f t="shared" si="122"/>
        <v>45650.624664351853</v>
      </c>
      <c r="N1554" s="12"/>
    </row>
    <row r="1555" spans="1:14" x14ac:dyDescent="0.25">
      <c r="A1555" s="4" t="s">
        <v>1585</v>
      </c>
      <c r="B1555" s="16" t="str">
        <f t="shared" si="118"/>
        <v>M/s SHREE VISHNU MINERALS</v>
      </c>
      <c r="C1555" s="16" t="str">
        <f t="shared" si="119"/>
        <v>Mokha Charnan / Kolayat / Bikaner</v>
      </c>
      <c r="D1555" s="4" t="s">
        <v>3032</v>
      </c>
      <c r="E1555" s="4" t="s">
        <v>3119</v>
      </c>
      <c r="F1555" s="5">
        <v>46015.999664351853</v>
      </c>
      <c r="G1555" s="16" t="str">
        <f t="shared" si="120"/>
        <v>Silica Sand</v>
      </c>
      <c r="H1555" s="4" t="s">
        <v>2661</v>
      </c>
      <c r="I1555" s="18" t="str" cm="1">
        <f t="array" ref="I1555">_xlfn.LET(_xlpm.text, D1555,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55" s="18" t="str" cm="1">
        <f t="array" ref="J1555">_xlfn.LET(_xlpm.text, E1555,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5" s="14">
        <f t="shared" si="121"/>
        <v>46016</v>
      </c>
      <c r="L1555" s="14">
        <f t="shared" si="122"/>
        <v>46016.624664351853</v>
      </c>
      <c r="N1555" s="12"/>
    </row>
    <row r="1556" spans="1:14" x14ac:dyDescent="0.25">
      <c r="A1556" s="4" t="s">
        <v>1586</v>
      </c>
      <c r="B1556" s="16" t="str">
        <f t="shared" si="118"/>
        <v>S.R.MINES AND MINERLS</v>
      </c>
      <c r="C1556" s="16" t="str">
        <f t="shared" si="119"/>
        <v>Indo Ka Bala / Kolayat / Bikaner</v>
      </c>
      <c r="D1556" s="4" t="s">
        <v>3034</v>
      </c>
      <c r="E1556" s="4" t="s">
        <v>3119</v>
      </c>
      <c r="F1556" s="5">
        <v>46015.999664351853</v>
      </c>
      <c r="G1556" s="16" t="str">
        <f t="shared" si="120"/>
        <v>Silica Sand</v>
      </c>
      <c r="H1556" s="4" t="s">
        <v>2881</v>
      </c>
      <c r="I1556" s="18" t="str" cm="1">
        <f t="array" ref="I1556">_xlfn.LET(_xlpm.text, D1556,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6" s="18" t="str" cm="1">
        <f t="array" ref="J1556">_xlfn.LET(_xlpm.text, E1556,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6" s="14">
        <f t="shared" si="121"/>
        <v>46016</v>
      </c>
      <c r="L1556" s="14">
        <f t="shared" si="122"/>
        <v>46016.624664351853</v>
      </c>
      <c r="N1556" s="12"/>
    </row>
    <row r="1557" spans="1:14" x14ac:dyDescent="0.25">
      <c r="A1557" s="4" t="s">
        <v>1587</v>
      </c>
      <c r="B1557" s="16" t="str">
        <f t="shared" si="118"/>
        <v>S.R.MINES AND MINERLS</v>
      </c>
      <c r="C1557" s="16" t="str">
        <f t="shared" si="119"/>
        <v>Indo Ka Bala / Kolayat / Bikaner</v>
      </c>
      <c r="D1557" s="4" t="s">
        <v>3034</v>
      </c>
      <c r="E1557" s="4" t="s">
        <v>3119</v>
      </c>
      <c r="F1557" s="5">
        <v>46015.999664351853</v>
      </c>
      <c r="G1557" s="16" t="str">
        <f t="shared" si="120"/>
        <v>Silica Sand</v>
      </c>
      <c r="H1557" s="4" t="s">
        <v>2921</v>
      </c>
      <c r="I1557" s="18" t="str" cm="1">
        <f t="array" ref="I1557">_xlfn.LET(_xlpm.text, D1557,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7" s="18" t="str" cm="1">
        <f t="array" ref="J1557">_xlfn.LET(_xlpm.text, E1557,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7" s="14">
        <f t="shared" si="121"/>
        <v>46016</v>
      </c>
      <c r="L1557" s="14">
        <f t="shared" si="122"/>
        <v>46016.624664351853</v>
      </c>
      <c r="N1557" s="12"/>
    </row>
    <row r="1558" spans="1:14" x14ac:dyDescent="0.25">
      <c r="A1558" s="4" t="s">
        <v>1588</v>
      </c>
      <c r="B1558" s="16" t="str">
        <f t="shared" si="118"/>
        <v>M/s SHREE VISHNU MINERALS</v>
      </c>
      <c r="C1558" s="16" t="str">
        <f t="shared" si="119"/>
        <v>Mokha Charnan / Kolayat / Bikaner</v>
      </c>
      <c r="D1558" s="4" t="s">
        <v>3034</v>
      </c>
      <c r="E1558" s="4" t="s">
        <v>3119</v>
      </c>
      <c r="F1558" s="5">
        <v>46015.999664351853</v>
      </c>
      <c r="G1558" s="16" t="str">
        <f t="shared" si="120"/>
        <v>Silica Sand</v>
      </c>
      <c r="H1558" s="4" t="s">
        <v>2882</v>
      </c>
      <c r="I1558" s="18" t="str" cm="1">
        <f t="array" ref="I1558">_xlfn.LET(_xlpm.text, D1558,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8" s="18" t="str" cm="1">
        <f t="array" ref="J1558">_xlfn.LET(_xlpm.text, E1558,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8" s="14">
        <f t="shared" si="121"/>
        <v>46016</v>
      </c>
      <c r="L1558" s="14">
        <f t="shared" si="122"/>
        <v>46016.624664351853</v>
      </c>
      <c r="N1558" s="12"/>
    </row>
    <row r="1559" spans="1:14" x14ac:dyDescent="0.25">
      <c r="A1559" s="4" t="s">
        <v>1589</v>
      </c>
      <c r="B1559" s="16" t="str">
        <f t="shared" si="118"/>
        <v>M/s SHREE VISHNU MINERALS</v>
      </c>
      <c r="C1559" s="16" t="str">
        <f t="shared" si="119"/>
        <v>Mokha Charnan / Kolayat / Bikaner</v>
      </c>
      <c r="D1559" s="4" t="s">
        <v>3034</v>
      </c>
      <c r="E1559" s="4" t="s">
        <v>3119</v>
      </c>
      <c r="F1559" s="5">
        <v>46015.999664351853</v>
      </c>
      <c r="G1559" s="16" t="str">
        <f t="shared" si="120"/>
        <v>Silica Sand</v>
      </c>
      <c r="H1559" s="4" t="s">
        <v>2582</v>
      </c>
      <c r="I1559" s="18" t="str" cm="1">
        <f t="array" ref="I1559">_xlfn.LET(_xlpm.text, D1559,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59" s="18" t="str" cm="1">
        <f t="array" ref="J1559">_xlfn.LET(_xlpm.text, E1559,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59" s="14">
        <f t="shared" si="121"/>
        <v>46016</v>
      </c>
      <c r="L1559" s="14">
        <f t="shared" si="122"/>
        <v>46016.624664351853</v>
      </c>
      <c r="N1559" s="12"/>
    </row>
    <row r="1560" spans="1:14" x14ac:dyDescent="0.25">
      <c r="A1560" s="4" t="s">
        <v>1590</v>
      </c>
      <c r="B1560" s="16" t="str">
        <f t="shared" si="118"/>
        <v>S.R.MINES AND MINERLS</v>
      </c>
      <c r="C1560" s="16" t="str">
        <f t="shared" si="119"/>
        <v>Indo Ka Bala / Kolayat / Bikaner</v>
      </c>
      <c r="D1560" s="4" t="s">
        <v>3034</v>
      </c>
      <c r="E1560" s="4" t="s">
        <v>3119</v>
      </c>
      <c r="F1560" s="5">
        <v>46016.999664351853</v>
      </c>
      <c r="G1560" s="16" t="str">
        <f t="shared" si="120"/>
        <v>Silica Sand</v>
      </c>
      <c r="H1560" s="4" t="s">
        <v>412</v>
      </c>
      <c r="I1560" s="18" t="str" cm="1">
        <f t="array" ref="I1560">_xlfn.LET(_xlpm.text, D1560,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60" s="18" t="str" cm="1">
        <f t="array" ref="J1560">_xlfn.LET(_xlpm.text, E1560,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0" s="14">
        <f t="shared" si="121"/>
        <v>46017</v>
      </c>
      <c r="L1560" s="14">
        <f t="shared" si="122"/>
        <v>46017.624664351853</v>
      </c>
      <c r="N1560" s="12"/>
    </row>
    <row r="1561" spans="1:14" x14ac:dyDescent="0.25">
      <c r="A1561" s="4" t="s">
        <v>1591</v>
      </c>
      <c r="B1561" s="16" t="str">
        <f t="shared" si="118"/>
        <v>M/s SHREE VISHNU MINERALS</v>
      </c>
      <c r="C1561" s="16" t="str">
        <f t="shared" si="119"/>
        <v>Mokha Charnan / Kolayat / Bikaner</v>
      </c>
      <c r="D1561" s="4" t="s">
        <v>3034</v>
      </c>
      <c r="E1561" s="4" t="s">
        <v>3119</v>
      </c>
      <c r="F1561" s="5">
        <v>46016.999664351853</v>
      </c>
      <c r="G1561" s="16" t="str">
        <f t="shared" si="120"/>
        <v>Silica Sand</v>
      </c>
      <c r="H1561" s="4" t="s">
        <v>2617</v>
      </c>
      <c r="I1561" s="18" t="str" cm="1">
        <f t="array" ref="I1561">_xlfn.LET(_xlpm.text, D1561,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561" s="18" t="str" cm="1">
        <f t="array" ref="J1561">_xlfn.LET(_xlpm.text, E1561,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1" s="14">
        <f t="shared" si="121"/>
        <v>46017</v>
      </c>
      <c r="L1561" s="14">
        <f t="shared" si="122"/>
        <v>46017.624664351853</v>
      </c>
      <c r="N1561" s="12"/>
    </row>
    <row r="1562" spans="1:14" x14ac:dyDescent="0.25">
      <c r="A1562" s="4" t="s">
        <v>1592</v>
      </c>
      <c r="B1562" s="16" t="str">
        <f t="shared" si="118"/>
        <v>S.R.MINES AND MINERLS</v>
      </c>
      <c r="C1562" s="16" t="str">
        <f t="shared" si="119"/>
        <v>Indo Ka Bala / Kolayat / Bikaner</v>
      </c>
      <c r="D1562" s="4" t="s">
        <v>1382</v>
      </c>
      <c r="E1562" s="4" t="s">
        <v>3119</v>
      </c>
      <c r="F1562" s="5">
        <v>46017.999664351853</v>
      </c>
      <c r="G1562" s="16" t="str">
        <f t="shared" si="120"/>
        <v>Silica Sand</v>
      </c>
      <c r="H1562" s="4" t="s">
        <v>2760</v>
      </c>
      <c r="I1562" s="18" t="str" cm="1">
        <f t="array" ref="I1562">_xlfn.LET(_xlpm.text, D1562,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62" s="18" t="str" cm="1">
        <f t="array" ref="J1562">_xlfn.LET(_xlpm.text, E1562,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2" s="14">
        <f t="shared" si="121"/>
        <v>46018</v>
      </c>
      <c r="L1562" s="14">
        <f t="shared" si="122"/>
        <v>46018.624664351853</v>
      </c>
      <c r="N1562" s="12"/>
    </row>
    <row r="1563" spans="1:14" x14ac:dyDescent="0.25">
      <c r="A1563" s="4" t="s">
        <v>1593</v>
      </c>
      <c r="B1563" s="16" t="str">
        <f t="shared" si="118"/>
        <v>S.R.MINES AND MINERLS</v>
      </c>
      <c r="C1563" s="16" t="str">
        <f t="shared" si="119"/>
        <v>Indo Ka Bala / Kolayat / Bikaner</v>
      </c>
      <c r="D1563" s="4" t="s">
        <v>1382</v>
      </c>
      <c r="E1563" s="4" t="s">
        <v>3119</v>
      </c>
      <c r="F1563" s="5">
        <v>46017.999664351853</v>
      </c>
      <c r="G1563" s="16" t="str">
        <f t="shared" si="120"/>
        <v>Silica Sand</v>
      </c>
      <c r="H1563" s="4" t="s">
        <v>2849</v>
      </c>
      <c r="I1563" s="18" t="str" cm="1">
        <f t="array" ref="I1563">_xlfn.LET(_xlpm.text, D1563,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63" s="18" t="str" cm="1">
        <f t="array" ref="J1563">_xlfn.LET(_xlpm.text, E1563,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3" s="14">
        <f t="shared" si="121"/>
        <v>46018</v>
      </c>
      <c r="L1563" s="14">
        <f t="shared" si="122"/>
        <v>46018.624664351853</v>
      </c>
      <c r="N1563" s="12"/>
    </row>
    <row r="1564" spans="1:14" x14ac:dyDescent="0.25">
      <c r="A1564" s="4" t="s">
        <v>1594</v>
      </c>
      <c r="B1564" s="16" t="str">
        <f t="shared" si="118"/>
        <v>M/s SHREE VISHNU MINERALS</v>
      </c>
      <c r="C1564" s="16" t="str">
        <f t="shared" si="119"/>
        <v>Mokha Charnan / Kolayat / Bikaner</v>
      </c>
      <c r="D1564" s="4" t="s">
        <v>3032</v>
      </c>
      <c r="E1564" s="4" t="s">
        <v>3119</v>
      </c>
      <c r="F1564" s="5">
        <v>46017.999664351853</v>
      </c>
      <c r="G1564" s="16" t="str">
        <f t="shared" si="120"/>
        <v>Silica Sand</v>
      </c>
      <c r="H1564" s="4" t="s">
        <v>2901</v>
      </c>
      <c r="I1564" s="18" t="str" cm="1">
        <f t="array" ref="I1564">_xlfn.LET(_xlpm.text, D1564,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64" s="18" t="str" cm="1">
        <f t="array" ref="J1564">_xlfn.LET(_xlpm.text, E1564,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4" s="14">
        <f t="shared" si="121"/>
        <v>46018</v>
      </c>
      <c r="L1564" s="14">
        <f t="shared" si="122"/>
        <v>46018.624664351853</v>
      </c>
      <c r="N1564" s="12"/>
    </row>
    <row r="1565" spans="1:14" x14ac:dyDescent="0.25">
      <c r="A1565" s="4" t="s">
        <v>1595</v>
      </c>
      <c r="B1565" s="16" t="str">
        <f t="shared" si="118"/>
        <v>M/s SHREE VISHNU MINERALS</v>
      </c>
      <c r="C1565" s="16" t="str">
        <f t="shared" si="119"/>
        <v>Mokha Charnan / Kolayat / Bikaner</v>
      </c>
      <c r="D1565" s="4" t="s">
        <v>3032</v>
      </c>
      <c r="E1565" s="4" t="s">
        <v>3119</v>
      </c>
      <c r="F1565" s="5">
        <v>46017.999664351853</v>
      </c>
      <c r="G1565" s="16" t="str">
        <f t="shared" si="120"/>
        <v>Silica Sand</v>
      </c>
      <c r="H1565" s="4" t="s">
        <v>2604</v>
      </c>
      <c r="I1565" s="18" t="str" cm="1">
        <f t="array" ref="I1565">_xlfn.LET(_xlpm.text, D1565,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65" s="18" t="str" cm="1">
        <f t="array" ref="J1565">_xlfn.LET(_xlpm.text, E1565,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5" s="14">
        <f t="shared" si="121"/>
        <v>46018</v>
      </c>
      <c r="L1565" s="14">
        <f t="shared" si="122"/>
        <v>46018.624664351853</v>
      </c>
      <c r="N1565" s="12"/>
    </row>
    <row r="1566" spans="1:14" x14ac:dyDescent="0.25">
      <c r="A1566" s="4" t="s">
        <v>1596</v>
      </c>
      <c r="B1566" s="16" t="str">
        <f t="shared" si="118"/>
        <v>M/s SHREE VISHNU MINERALS</v>
      </c>
      <c r="C1566" s="16" t="str">
        <f t="shared" si="119"/>
        <v>Mokha Charnan / Kolayat / Bikaner</v>
      </c>
      <c r="D1566" s="4" t="s">
        <v>3032</v>
      </c>
      <c r="E1566" s="4" t="s">
        <v>3119</v>
      </c>
      <c r="F1566" s="5">
        <v>46017.999664351853</v>
      </c>
      <c r="G1566" s="16" t="str">
        <f t="shared" si="120"/>
        <v>Silica Sand</v>
      </c>
      <c r="H1566" s="4" t="s">
        <v>2922</v>
      </c>
      <c r="I1566" s="18" t="str" cm="1">
        <f t="array" ref="I1566">_xlfn.LET(_xlpm.text, D1566,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66" s="18" t="str" cm="1">
        <f t="array" ref="J1566">_xlfn.LET(_xlpm.text, E1566,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6" s="14">
        <f t="shared" si="121"/>
        <v>46018</v>
      </c>
      <c r="L1566" s="14">
        <f t="shared" si="122"/>
        <v>46018.624664351853</v>
      </c>
      <c r="N1566" s="12"/>
    </row>
    <row r="1567" spans="1:14" x14ac:dyDescent="0.25">
      <c r="A1567" s="4" t="s">
        <v>1597</v>
      </c>
      <c r="B1567" s="16" t="str">
        <f t="shared" si="118"/>
        <v>M/s SHREE VISHNU MINERALS</v>
      </c>
      <c r="C1567" s="16" t="str">
        <f t="shared" si="119"/>
        <v>Mokha Charnan / Kolayat / Bikaner</v>
      </c>
      <c r="D1567" s="4" t="s">
        <v>3032</v>
      </c>
      <c r="E1567" s="4" t="s">
        <v>3119</v>
      </c>
      <c r="F1567" s="5">
        <v>46017.999664351853</v>
      </c>
      <c r="G1567" s="16" t="str">
        <f t="shared" si="120"/>
        <v>Silica Sand</v>
      </c>
      <c r="H1567" s="4" t="s">
        <v>2920</v>
      </c>
      <c r="I1567" s="18" t="str" cm="1">
        <f t="array" ref="I1567">_xlfn.LET(_xlpm.text, D1567,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67" s="18" t="str" cm="1">
        <f t="array" ref="J1567">_xlfn.LET(_xlpm.text, E1567,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7" s="14">
        <f t="shared" si="121"/>
        <v>46018</v>
      </c>
      <c r="L1567" s="14">
        <f t="shared" si="122"/>
        <v>46018.624664351853</v>
      </c>
      <c r="N1567" s="12"/>
    </row>
    <row r="1568" spans="1:14" x14ac:dyDescent="0.25">
      <c r="A1568" s="4" t="s">
        <v>1598</v>
      </c>
      <c r="B1568" s="16" t="str">
        <f t="shared" si="118"/>
        <v>M/s SHREE VISHNU MINERALS</v>
      </c>
      <c r="C1568" s="16" t="str">
        <f t="shared" si="119"/>
        <v>Mokha Charnan / Kolayat / Bikaner</v>
      </c>
      <c r="D1568" s="4" t="s">
        <v>3032</v>
      </c>
      <c r="E1568" s="4" t="s">
        <v>3119</v>
      </c>
      <c r="F1568" s="5">
        <v>46017.999664351853</v>
      </c>
      <c r="G1568" s="16" t="str">
        <f t="shared" si="120"/>
        <v>Silica Sand</v>
      </c>
      <c r="H1568" s="4" t="s">
        <v>2923</v>
      </c>
      <c r="I1568" s="18" t="str" cm="1">
        <f t="array" ref="I1568">_xlfn.LET(_xlpm.text, D1568,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68" s="18" t="str" cm="1">
        <f t="array" ref="J1568">_xlfn.LET(_xlpm.text, E1568,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8" s="14">
        <f t="shared" si="121"/>
        <v>46018</v>
      </c>
      <c r="L1568" s="14">
        <f t="shared" si="122"/>
        <v>46018.624664351853</v>
      </c>
      <c r="N1568" s="12"/>
    </row>
    <row r="1569" spans="1:14" x14ac:dyDescent="0.25">
      <c r="A1569" s="4" t="s">
        <v>1599</v>
      </c>
      <c r="B1569" s="16" t="str">
        <f t="shared" si="118"/>
        <v>M/s SHREE VISHNU MINERALS</v>
      </c>
      <c r="C1569" s="16" t="str">
        <f t="shared" si="119"/>
        <v>Mokha Charnan / Kolayat / Bikaner</v>
      </c>
      <c r="D1569" s="4" t="s">
        <v>3032</v>
      </c>
      <c r="E1569" s="4" t="s">
        <v>3119</v>
      </c>
      <c r="F1569" s="5">
        <v>46018.999664351853</v>
      </c>
      <c r="G1569" s="16" t="str">
        <f t="shared" si="120"/>
        <v>Silica Sand</v>
      </c>
      <c r="H1569" s="4" t="s">
        <v>2924</v>
      </c>
      <c r="I1569" s="18" t="str" cm="1">
        <f t="array" ref="I1569">_xlfn.LET(_xlpm.text, D1569,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69" s="18" t="str" cm="1">
        <f t="array" ref="J1569">_xlfn.LET(_xlpm.text, E1569,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69" s="14">
        <f t="shared" si="121"/>
        <v>46019</v>
      </c>
      <c r="L1569" s="14">
        <f t="shared" si="122"/>
        <v>46019.624664351853</v>
      </c>
      <c r="N1569" s="12"/>
    </row>
    <row r="1570" spans="1:14" x14ac:dyDescent="0.25">
      <c r="A1570" s="4" t="s">
        <v>1600</v>
      </c>
      <c r="B1570" s="16" t="str">
        <f t="shared" si="118"/>
        <v>M/s SHREE VISHNU MINERALS</v>
      </c>
      <c r="C1570" s="16" t="str">
        <f t="shared" si="119"/>
        <v>Mokha Charnan / Kolayat / Bikaner</v>
      </c>
      <c r="D1570" s="4" t="s">
        <v>3032</v>
      </c>
      <c r="E1570" s="4" t="s">
        <v>3119</v>
      </c>
      <c r="F1570" s="5">
        <v>46018.999664351853</v>
      </c>
      <c r="G1570" s="16" t="str">
        <f t="shared" si="120"/>
        <v>Silica Sand</v>
      </c>
      <c r="H1570" s="4" t="s">
        <v>2611</v>
      </c>
      <c r="I1570" s="18" t="str" cm="1">
        <f t="array" ref="I1570">_xlfn.LET(_xlpm.text, D1570,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70" s="18" t="str" cm="1">
        <f t="array" ref="J1570">_xlfn.LET(_xlpm.text, E1570,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0" s="14">
        <f t="shared" si="121"/>
        <v>46019</v>
      </c>
      <c r="L1570" s="14">
        <f t="shared" si="122"/>
        <v>46019.624664351853</v>
      </c>
      <c r="N1570" s="12"/>
    </row>
    <row r="1571" spans="1:14" x14ac:dyDescent="0.25">
      <c r="A1571" s="4" t="s">
        <v>1601</v>
      </c>
      <c r="B1571" s="16" t="str">
        <f t="shared" si="118"/>
        <v>M/s SHREE VISHNU MINERALS</v>
      </c>
      <c r="C1571" s="16" t="str">
        <f t="shared" si="119"/>
        <v>Mokha Charnan / Kolayat / Bikaner</v>
      </c>
      <c r="D1571" s="4" t="s">
        <v>3032</v>
      </c>
      <c r="E1571" s="4" t="s">
        <v>3119</v>
      </c>
      <c r="F1571" s="5">
        <v>46018.999664351853</v>
      </c>
      <c r="G1571" s="16" t="str">
        <f t="shared" si="120"/>
        <v>Silica Sand</v>
      </c>
      <c r="H1571" s="4" t="s">
        <v>2925</v>
      </c>
      <c r="I1571" s="18" t="str" cm="1">
        <f t="array" ref="I1571">_xlfn.LET(_xlpm.text, D1571,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71" s="18" t="str" cm="1">
        <f t="array" ref="J1571">_xlfn.LET(_xlpm.text, E1571,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1" s="14">
        <f t="shared" si="121"/>
        <v>46019</v>
      </c>
      <c r="L1571" s="14">
        <f t="shared" si="122"/>
        <v>46019.624664351853</v>
      </c>
      <c r="N1571" s="12"/>
    </row>
    <row r="1572" spans="1:14" x14ac:dyDescent="0.25">
      <c r="A1572" s="4" t="s">
        <v>1602</v>
      </c>
      <c r="B1572" s="16" t="str">
        <f t="shared" si="118"/>
        <v>GUDHA ASSOCIATES</v>
      </c>
      <c r="C1572" s="16" t="str">
        <f t="shared" si="119"/>
        <v>Samorakhi / Kolayat / Bikaner</v>
      </c>
      <c r="D1572" s="4" t="s">
        <v>3031</v>
      </c>
      <c r="E1572" s="4" t="s">
        <v>3119</v>
      </c>
      <c r="F1572" s="5">
        <v>46018.999664351853</v>
      </c>
      <c r="G1572" s="16" t="str">
        <f t="shared" si="120"/>
        <v>Silica Sand</v>
      </c>
      <c r="H1572" s="4" t="s">
        <v>2881</v>
      </c>
      <c r="I1572" s="18" t="str" cm="1">
        <f t="array" ref="I1572">_xlfn.LET(_xlpm.text, D1572,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572" s="18" t="str" cm="1">
        <f t="array" ref="J1572">_xlfn.LET(_xlpm.text, E1572,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2" s="14">
        <f t="shared" si="121"/>
        <v>46019</v>
      </c>
      <c r="L1572" s="14">
        <f t="shared" si="122"/>
        <v>46019.624664351853</v>
      </c>
      <c r="N1572" s="12"/>
    </row>
    <row r="1573" spans="1:14" x14ac:dyDescent="0.25">
      <c r="A1573" s="4" t="s">
        <v>1603</v>
      </c>
      <c r="B1573" s="16" t="str">
        <f t="shared" si="118"/>
        <v>M/s SHREE VISHNU MINERALS</v>
      </c>
      <c r="C1573" s="16" t="str">
        <f t="shared" si="119"/>
        <v>Mokha Charnan / Kolayat / Bikaner</v>
      </c>
      <c r="D1573" s="4" t="s">
        <v>3035</v>
      </c>
      <c r="E1573" s="4" t="s">
        <v>3119</v>
      </c>
      <c r="F1573" s="5">
        <v>46018.999664351853</v>
      </c>
      <c r="G1573" s="16" t="str">
        <f t="shared" si="120"/>
        <v>Silica Sand</v>
      </c>
      <c r="H1573" s="4" t="s">
        <v>2624</v>
      </c>
      <c r="I1573" s="18" t="str" cm="1">
        <f t="array" ref="I1573">_xlfn.LET(_xlpm.text, D1573,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73" s="18" t="str" cm="1">
        <f t="array" ref="J1573">_xlfn.LET(_xlpm.text, E1573,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3" s="14">
        <f t="shared" si="121"/>
        <v>46019</v>
      </c>
      <c r="L1573" s="14">
        <f t="shared" si="122"/>
        <v>46019.624664351853</v>
      </c>
      <c r="N1573" s="12"/>
    </row>
    <row r="1574" spans="1:14" x14ac:dyDescent="0.25">
      <c r="A1574" s="4" t="s">
        <v>1604</v>
      </c>
      <c r="B1574" s="16" t="str">
        <f t="shared" si="118"/>
        <v>M/s SHREE VISHNU MINERALS</v>
      </c>
      <c r="C1574" s="16" t="str">
        <f t="shared" si="119"/>
        <v>Mokha Charnan / Kolayat / Bikaner</v>
      </c>
      <c r="D1574" s="4" t="s">
        <v>3035</v>
      </c>
      <c r="E1574" s="4" t="s">
        <v>3119</v>
      </c>
      <c r="F1574" s="5">
        <v>46018.999664351853</v>
      </c>
      <c r="G1574" s="16" t="str">
        <f t="shared" si="120"/>
        <v>Silica Sand</v>
      </c>
      <c r="H1574" s="4" t="s">
        <v>2315</v>
      </c>
      <c r="I1574" s="18" t="str" cm="1">
        <f t="array" ref="I1574">_xlfn.LET(_xlpm.text, D1574,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74" s="18" t="str" cm="1">
        <f t="array" ref="J1574">_xlfn.LET(_xlpm.text, E1574,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4" s="14">
        <f t="shared" si="121"/>
        <v>46019</v>
      </c>
      <c r="L1574" s="14">
        <f t="shared" si="122"/>
        <v>46019.624664351853</v>
      </c>
      <c r="N1574" s="12"/>
    </row>
    <row r="1575" spans="1:14" x14ac:dyDescent="0.25">
      <c r="A1575" s="4" t="s">
        <v>1605</v>
      </c>
      <c r="B1575" s="16" t="str">
        <f t="shared" si="118"/>
        <v>M/s SHREE VISHNU MINERALS</v>
      </c>
      <c r="C1575" s="16" t="str">
        <f t="shared" si="119"/>
        <v>Mokha Charnan / Kolayat / Bikaner</v>
      </c>
      <c r="D1575" s="4" t="s">
        <v>3035</v>
      </c>
      <c r="E1575" s="4" t="s">
        <v>3119</v>
      </c>
      <c r="F1575" s="5">
        <v>46018.999664351853</v>
      </c>
      <c r="G1575" s="16" t="str">
        <f t="shared" si="120"/>
        <v>Silica Sand</v>
      </c>
      <c r="H1575" s="4" t="s">
        <v>2766</v>
      </c>
      <c r="I1575" s="18" t="str" cm="1">
        <f t="array" ref="I1575">_xlfn.LET(_xlpm.text, D1575,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75" s="18" t="str" cm="1">
        <f t="array" ref="J1575">_xlfn.LET(_xlpm.text, E1575,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5" s="14">
        <f t="shared" si="121"/>
        <v>46019</v>
      </c>
      <c r="L1575" s="14">
        <f t="shared" si="122"/>
        <v>46019.624664351853</v>
      </c>
      <c r="N1575" s="12"/>
    </row>
    <row r="1576" spans="1:14" x14ac:dyDescent="0.25">
      <c r="A1576" s="4" t="s">
        <v>1606</v>
      </c>
      <c r="B1576" s="16" t="str">
        <f t="shared" si="118"/>
        <v>M/s SHREE VISHNU MINERALS</v>
      </c>
      <c r="C1576" s="16" t="str">
        <f t="shared" si="119"/>
        <v>Mokha Charnan / Kolayat / Bikaner</v>
      </c>
      <c r="D1576" s="4" t="s">
        <v>3035</v>
      </c>
      <c r="E1576" s="4" t="s">
        <v>3119</v>
      </c>
      <c r="F1576" s="5">
        <v>46018.999664351853</v>
      </c>
      <c r="G1576" s="16" t="str">
        <f t="shared" si="120"/>
        <v>Silica Sand</v>
      </c>
      <c r="H1576" s="4" t="s">
        <v>2611</v>
      </c>
      <c r="I1576" s="18" t="str" cm="1">
        <f t="array" ref="I1576">_xlfn.LET(_xlpm.text, D1576,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76" s="18" t="str" cm="1">
        <f t="array" ref="J1576">_xlfn.LET(_xlpm.text, E1576,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6" s="14">
        <f t="shared" si="121"/>
        <v>46019</v>
      </c>
      <c r="L1576" s="14">
        <f t="shared" si="122"/>
        <v>46019.624664351853</v>
      </c>
      <c r="N1576" s="12"/>
    </row>
    <row r="1577" spans="1:14" x14ac:dyDescent="0.25">
      <c r="A1577" s="4" t="s">
        <v>1607</v>
      </c>
      <c r="B1577" s="16" t="str">
        <f t="shared" si="118"/>
        <v>S.R.MINES AND MINERLS</v>
      </c>
      <c r="C1577" s="16" t="str">
        <f t="shared" si="119"/>
        <v>Indo Ka Bala / Kolayat / Bikaner</v>
      </c>
      <c r="D1577" s="4" t="s">
        <v>1382</v>
      </c>
      <c r="E1577" s="4" t="s">
        <v>3119</v>
      </c>
      <c r="F1577" s="5">
        <v>46018.999664351853</v>
      </c>
      <c r="G1577" s="16" t="str">
        <f t="shared" si="120"/>
        <v>Silica Sand</v>
      </c>
      <c r="H1577" s="4" t="s">
        <v>2760</v>
      </c>
      <c r="I1577" s="18" t="str" cm="1">
        <f t="array" ref="I1577">_xlfn.LET(_xlpm.text, D1577,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77" s="18" t="str" cm="1">
        <f t="array" ref="J1577">_xlfn.LET(_xlpm.text, E1577,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7" s="14">
        <f t="shared" si="121"/>
        <v>46019</v>
      </c>
      <c r="L1577" s="14">
        <f t="shared" si="122"/>
        <v>46019.624664351853</v>
      </c>
      <c r="N1577" s="12"/>
    </row>
    <row r="1578" spans="1:14" x14ac:dyDescent="0.25">
      <c r="A1578" s="4" t="s">
        <v>1608</v>
      </c>
      <c r="B1578" s="16" t="str">
        <f t="shared" si="118"/>
        <v>GUDHA ASSOCIATES</v>
      </c>
      <c r="C1578" s="16" t="str">
        <f t="shared" si="119"/>
        <v>Samorakhi / Kolayat / Bikaner</v>
      </c>
      <c r="D1578" s="4" t="s">
        <v>3031</v>
      </c>
      <c r="E1578" s="4" t="s">
        <v>3119</v>
      </c>
      <c r="F1578" s="5">
        <v>46019.999664351853</v>
      </c>
      <c r="G1578" s="16" t="str">
        <f t="shared" si="120"/>
        <v>Silica Sand</v>
      </c>
      <c r="H1578" s="4" t="s">
        <v>2881</v>
      </c>
      <c r="I1578" s="18" t="str" cm="1">
        <f t="array" ref="I1578">_xlfn.LET(_xlpm.text, D1578,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578" s="18" t="str" cm="1">
        <f t="array" ref="J1578">_xlfn.LET(_xlpm.text, E1578,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8" s="14">
        <f t="shared" si="121"/>
        <v>46020</v>
      </c>
      <c r="L1578" s="14">
        <f t="shared" si="122"/>
        <v>46020.624664351853</v>
      </c>
      <c r="N1578" s="12"/>
    </row>
    <row r="1579" spans="1:14" x14ac:dyDescent="0.25">
      <c r="A1579" s="4" t="s">
        <v>1609</v>
      </c>
      <c r="B1579" s="16" t="str">
        <f t="shared" si="118"/>
        <v>M/s SHREE VISHNU MINERALS</v>
      </c>
      <c r="C1579" s="16" t="str">
        <f t="shared" si="119"/>
        <v>Mokha Charnan / Kolayat / Bikaner</v>
      </c>
      <c r="D1579" s="4" t="s">
        <v>3035</v>
      </c>
      <c r="E1579" s="4" t="s">
        <v>3119</v>
      </c>
      <c r="F1579" s="5">
        <v>46019.999664351853</v>
      </c>
      <c r="G1579" s="16" t="str">
        <f t="shared" si="120"/>
        <v>Silica Sand</v>
      </c>
      <c r="H1579" s="4" t="s">
        <v>2473</v>
      </c>
      <c r="I1579" s="18" t="str" cm="1">
        <f t="array" ref="I1579">_xlfn.LET(_xlpm.text, D1579,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79" s="18" t="str" cm="1">
        <f t="array" ref="J1579">_xlfn.LET(_xlpm.text, E1579,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79" s="14">
        <f t="shared" si="121"/>
        <v>46020</v>
      </c>
      <c r="L1579" s="14">
        <f t="shared" si="122"/>
        <v>46020.624664351853</v>
      </c>
      <c r="N1579" s="12"/>
    </row>
    <row r="1580" spans="1:14" x14ac:dyDescent="0.25">
      <c r="A1580" s="4" t="s">
        <v>1610</v>
      </c>
      <c r="B1580" s="16" t="str">
        <f t="shared" si="118"/>
        <v>M/s SHREE VISHNU MINERALS</v>
      </c>
      <c r="C1580" s="16" t="str">
        <f t="shared" si="119"/>
        <v>Mokha Charnan / Kolayat / Bikaner</v>
      </c>
      <c r="D1580" s="4" t="s">
        <v>3035</v>
      </c>
      <c r="E1580" s="4" t="s">
        <v>3119</v>
      </c>
      <c r="F1580" s="5">
        <v>46019.999664351853</v>
      </c>
      <c r="G1580" s="16" t="str">
        <f t="shared" si="120"/>
        <v>Silica Sand</v>
      </c>
      <c r="H1580" s="4" t="s">
        <v>2611</v>
      </c>
      <c r="I1580" s="18" t="str" cm="1">
        <f t="array" ref="I1580">_xlfn.LET(_xlpm.text, D1580,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80" s="18" t="str" cm="1">
        <f t="array" ref="J1580">_xlfn.LET(_xlpm.text, E1580,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0" s="14">
        <f t="shared" si="121"/>
        <v>46020</v>
      </c>
      <c r="L1580" s="14">
        <f t="shared" si="122"/>
        <v>46020.624664351853</v>
      </c>
      <c r="N1580" s="12"/>
    </row>
    <row r="1581" spans="1:14" x14ac:dyDescent="0.25">
      <c r="A1581" s="4" t="s">
        <v>1611</v>
      </c>
      <c r="B1581" s="16" t="str">
        <f t="shared" si="118"/>
        <v>M/s SHREE VISHNU MINERALS</v>
      </c>
      <c r="C1581" s="16" t="str">
        <f t="shared" si="119"/>
        <v>Mokha Charnan / Kolayat / Bikaner</v>
      </c>
      <c r="D1581" s="4" t="s">
        <v>3035</v>
      </c>
      <c r="E1581" s="4" t="s">
        <v>3119</v>
      </c>
      <c r="F1581" s="5">
        <v>46019.999664351853</v>
      </c>
      <c r="G1581" s="16" t="str">
        <f t="shared" si="120"/>
        <v>Silica Sand</v>
      </c>
      <c r="H1581" s="4" t="s">
        <v>2604</v>
      </c>
      <c r="I1581" s="18" t="str" cm="1">
        <f t="array" ref="I1581">_xlfn.LET(_xlpm.text, D1581,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81" s="18" t="str" cm="1">
        <f t="array" ref="J1581">_xlfn.LET(_xlpm.text, E1581,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1" s="14">
        <f t="shared" si="121"/>
        <v>46020</v>
      </c>
      <c r="L1581" s="14">
        <f t="shared" si="122"/>
        <v>46020.624664351853</v>
      </c>
      <c r="N1581" s="12"/>
    </row>
    <row r="1582" spans="1:14" x14ac:dyDescent="0.25">
      <c r="A1582" s="4" t="s">
        <v>1612</v>
      </c>
      <c r="B1582" s="16" t="str">
        <f t="shared" si="118"/>
        <v>M/s SHREE VISHNU MINERALS</v>
      </c>
      <c r="C1582" s="16" t="str">
        <f t="shared" si="119"/>
        <v>Mokha Charnan / Kolayat / Bikaner</v>
      </c>
      <c r="D1582" s="4" t="s">
        <v>3035</v>
      </c>
      <c r="E1582" s="4" t="s">
        <v>3119</v>
      </c>
      <c r="F1582" s="5">
        <v>46019.999664351853</v>
      </c>
      <c r="G1582" s="16" t="str">
        <f t="shared" si="120"/>
        <v>Silica Sand</v>
      </c>
      <c r="H1582" s="4" t="s">
        <v>2926</v>
      </c>
      <c r="I1582" s="18" t="str" cm="1">
        <f t="array" ref="I1582">_xlfn.LET(_xlpm.text, D1582,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82" s="18" t="str" cm="1">
        <f t="array" ref="J1582">_xlfn.LET(_xlpm.text, E1582,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2" s="14">
        <f t="shared" si="121"/>
        <v>46020</v>
      </c>
      <c r="L1582" s="14">
        <f t="shared" si="122"/>
        <v>46020.624664351853</v>
      </c>
      <c r="N1582" s="12"/>
    </row>
    <row r="1583" spans="1:14" x14ac:dyDescent="0.25">
      <c r="A1583" s="4" t="s">
        <v>1613</v>
      </c>
      <c r="B1583" s="16" t="str">
        <f t="shared" si="118"/>
        <v>M/s SHREE VISHNU MINERALS</v>
      </c>
      <c r="C1583" s="16" t="str">
        <f t="shared" si="119"/>
        <v>Mokha Charnan / Kolayat / Bikaner</v>
      </c>
      <c r="D1583" s="4" t="s">
        <v>3035</v>
      </c>
      <c r="E1583" s="4" t="s">
        <v>3119</v>
      </c>
      <c r="F1583" s="5">
        <v>46019.999664351853</v>
      </c>
      <c r="G1583" s="16" t="str">
        <f t="shared" si="120"/>
        <v>Silica Sand</v>
      </c>
      <c r="H1583" s="4" t="s">
        <v>2602</v>
      </c>
      <c r="I1583" s="18" t="str" cm="1">
        <f t="array" ref="I1583">_xlfn.LET(_xlpm.text, D1583,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83" s="18" t="str" cm="1">
        <f t="array" ref="J1583">_xlfn.LET(_xlpm.text, E1583,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3" s="14">
        <f t="shared" si="121"/>
        <v>46020</v>
      </c>
      <c r="L1583" s="14">
        <f t="shared" si="122"/>
        <v>46020.624664351853</v>
      </c>
      <c r="N1583" s="12"/>
    </row>
    <row r="1584" spans="1:14" x14ac:dyDescent="0.25">
      <c r="A1584" s="4" t="s">
        <v>1614</v>
      </c>
      <c r="B1584" s="16" t="str">
        <f t="shared" si="118"/>
        <v>M/s SHREE VISHNU MINERALS</v>
      </c>
      <c r="C1584" s="16" t="str">
        <f t="shared" si="119"/>
        <v>Mokha Charnan / Kolayat / Bikaner</v>
      </c>
      <c r="D1584" s="4" t="s">
        <v>3035</v>
      </c>
      <c r="E1584" s="4" t="s">
        <v>3119</v>
      </c>
      <c r="F1584" s="5">
        <v>46019.999664351853</v>
      </c>
      <c r="G1584" s="16" t="str">
        <f t="shared" si="120"/>
        <v>Silica Sand</v>
      </c>
      <c r="H1584" s="4" t="s">
        <v>2611</v>
      </c>
      <c r="I1584" s="18" t="str" cm="1">
        <f t="array" ref="I1584">_xlfn.LET(_xlpm.text, D1584,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584" s="18" t="str" cm="1">
        <f t="array" ref="J1584">_xlfn.LET(_xlpm.text, E1584,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4" s="14">
        <f t="shared" si="121"/>
        <v>46020</v>
      </c>
      <c r="L1584" s="14">
        <f t="shared" si="122"/>
        <v>46020.624664351853</v>
      </c>
      <c r="N1584" s="12"/>
    </row>
    <row r="1585" spans="1:14" x14ac:dyDescent="0.25">
      <c r="A1585" s="4" t="s">
        <v>1615</v>
      </c>
      <c r="B1585" s="16" t="str">
        <f t="shared" si="118"/>
        <v>S.R.MINES AND MINERLS</v>
      </c>
      <c r="C1585" s="16" t="str">
        <f t="shared" si="119"/>
        <v>Indo Ka Bala / Kolayat / Bikaner</v>
      </c>
      <c r="D1585" s="4" t="s">
        <v>1382</v>
      </c>
      <c r="E1585" s="4" t="s">
        <v>3119</v>
      </c>
      <c r="F1585" s="5">
        <v>46019.999664351853</v>
      </c>
      <c r="G1585" s="16" t="str">
        <f t="shared" si="120"/>
        <v>Silica Sand</v>
      </c>
      <c r="H1585" s="4" t="s">
        <v>2447</v>
      </c>
      <c r="I1585" s="18" t="str" cm="1">
        <f t="array" ref="I1585">_xlfn.LET(_xlpm.text, D1585,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85" s="18" t="str" cm="1">
        <f t="array" ref="J1585">_xlfn.LET(_xlpm.text, E1585,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5" s="14">
        <f t="shared" si="121"/>
        <v>46020</v>
      </c>
      <c r="L1585" s="14">
        <f t="shared" si="122"/>
        <v>46020.624664351853</v>
      </c>
      <c r="N1585" s="12"/>
    </row>
    <row r="1586" spans="1:14" x14ac:dyDescent="0.25">
      <c r="A1586" s="4" t="s">
        <v>1616</v>
      </c>
      <c r="B1586" s="16" t="str">
        <f t="shared" si="118"/>
        <v>S.R.MINES AND MINERLS</v>
      </c>
      <c r="C1586" s="16" t="str">
        <f t="shared" si="119"/>
        <v>Indo Ka Bala / Kolayat / Bikaner</v>
      </c>
      <c r="D1586" s="4" t="s">
        <v>1382</v>
      </c>
      <c r="E1586" s="4" t="s">
        <v>3119</v>
      </c>
      <c r="F1586" s="5">
        <v>46019.999664351853</v>
      </c>
      <c r="G1586" s="16" t="str">
        <f t="shared" si="120"/>
        <v>Silica Sand</v>
      </c>
      <c r="H1586" s="4" t="s">
        <v>2760</v>
      </c>
      <c r="I1586" s="18" t="str" cm="1">
        <f t="array" ref="I1586">_xlfn.LET(_xlpm.text, D1586,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86" s="18" t="str" cm="1">
        <f t="array" ref="J1586">_xlfn.LET(_xlpm.text, E1586,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6" s="14">
        <f t="shared" si="121"/>
        <v>46020</v>
      </c>
      <c r="L1586" s="14">
        <f t="shared" si="122"/>
        <v>46020.624664351853</v>
      </c>
      <c r="N1586" s="12"/>
    </row>
    <row r="1587" spans="1:14" x14ac:dyDescent="0.25">
      <c r="A1587" s="4" t="s">
        <v>1617</v>
      </c>
      <c r="B1587" s="16" t="str">
        <f t="shared" si="118"/>
        <v>S.R.MINES AND MINERLS</v>
      </c>
      <c r="C1587" s="16" t="str">
        <f t="shared" si="119"/>
        <v>Indo Ka Bala / Kolayat / Bikaner</v>
      </c>
      <c r="D1587" s="4" t="s">
        <v>1382</v>
      </c>
      <c r="E1587" s="4" t="s">
        <v>3119</v>
      </c>
      <c r="F1587" s="5">
        <v>46019.999664351853</v>
      </c>
      <c r="G1587" s="16" t="str">
        <f t="shared" si="120"/>
        <v>Silica Sand</v>
      </c>
      <c r="H1587" s="4" t="s">
        <v>2447</v>
      </c>
      <c r="I1587" s="18" t="str" cm="1">
        <f t="array" ref="I1587">_xlfn.LET(_xlpm.text, D1587,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87" s="18" t="str" cm="1">
        <f t="array" ref="J1587">_xlfn.LET(_xlpm.text, E1587,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7" s="14">
        <f t="shared" si="121"/>
        <v>46020</v>
      </c>
      <c r="L1587" s="14">
        <f t="shared" si="122"/>
        <v>46020.624664351853</v>
      </c>
      <c r="N1587" s="12"/>
    </row>
    <row r="1588" spans="1:14" x14ac:dyDescent="0.25">
      <c r="A1588" s="4" t="s">
        <v>1618</v>
      </c>
      <c r="B1588" s="16" t="str">
        <f t="shared" si="118"/>
        <v>S.R.MINES AND MINERLS</v>
      </c>
      <c r="C1588" s="16" t="str">
        <f t="shared" si="119"/>
        <v>Indo Ka Bala / Kolayat / Bikaner</v>
      </c>
      <c r="D1588" s="4" t="s">
        <v>1382</v>
      </c>
      <c r="E1588" s="4" t="s">
        <v>3119</v>
      </c>
      <c r="F1588" s="5">
        <v>46019.999664351853</v>
      </c>
      <c r="G1588" s="16" t="str">
        <f t="shared" si="120"/>
        <v>Silica Sand</v>
      </c>
      <c r="H1588" s="4" t="s">
        <v>2679</v>
      </c>
      <c r="I1588" s="18" t="str" cm="1">
        <f t="array" ref="I1588">_xlfn.LET(_xlpm.text, D1588,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88" s="18" t="str" cm="1">
        <f t="array" ref="J1588">_xlfn.LET(_xlpm.text, E1588,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8" s="14">
        <f t="shared" si="121"/>
        <v>46020</v>
      </c>
      <c r="L1588" s="14">
        <f t="shared" si="122"/>
        <v>46020.624664351853</v>
      </c>
      <c r="N1588" s="12"/>
    </row>
    <row r="1589" spans="1:14" x14ac:dyDescent="0.25">
      <c r="A1589" s="4" t="s">
        <v>1619</v>
      </c>
      <c r="B1589" s="16" t="str">
        <f t="shared" si="118"/>
        <v>M/s SHREE VISHNU MINERALS</v>
      </c>
      <c r="C1589" s="16" t="str">
        <f t="shared" si="119"/>
        <v>Mokha Charnan / Kolayat / Bikaner</v>
      </c>
      <c r="D1589" s="4" t="s">
        <v>3032</v>
      </c>
      <c r="E1589" s="4" t="s">
        <v>3119</v>
      </c>
      <c r="F1589" s="5">
        <v>46020.999664351853</v>
      </c>
      <c r="G1589" s="16" t="str">
        <f t="shared" si="120"/>
        <v>Silica Sand</v>
      </c>
      <c r="H1589" s="4" t="s">
        <v>2661</v>
      </c>
      <c r="I1589" s="18" t="str" cm="1">
        <f t="array" ref="I1589">_xlfn.LET(_xlpm.text, D1589,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89" s="18" t="str" cm="1">
        <f t="array" ref="J1589">_xlfn.LET(_xlpm.text, E1589,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89" s="14">
        <f t="shared" si="121"/>
        <v>46021</v>
      </c>
      <c r="L1589" s="14">
        <f t="shared" si="122"/>
        <v>46021.624664351853</v>
      </c>
      <c r="N1589" s="12"/>
    </row>
    <row r="1590" spans="1:14" x14ac:dyDescent="0.25">
      <c r="A1590" s="4" t="s">
        <v>1620</v>
      </c>
      <c r="B1590" s="16" t="str">
        <f t="shared" si="118"/>
        <v>M/s SHREE VISHNU MINERALS</v>
      </c>
      <c r="C1590" s="16" t="str">
        <f t="shared" si="119"/>
        <v>Mokha Charnan / Kolayat / Bikaner</v>
      </c>
      <c r="D1590" s="4" t="s">
        <v>3032</v>
      </c>
      <c r="E1590" s="4" t="s">
        <v>3119</v>
      </c>
      <c r="F1590" s="5">
        <v>46020.999664351853</v>
      </c>
      <c r="G1590" s="16" t="str">
        <f t="shared" si="120"/>
        <v>Silica Sand</v>
      </c>
      <c r="H1590" s="4" t="s">
        <v>2661</v>
      </c>
      <c r="I1590" s="18" t="str" cm="1">
        <f t="array" ref="I1590">_xlfn.LET(_xlpm.text, D1590,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0" s="18" t="str" cm="1">
        <f t="array" ref="J1590">_xlfn.LET(_xlpm.text, E1590,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0" s="14">
        <f t="shared" si="121"/>
        <v>46021</v>
      </c>
      <c r="L1590" s="14">
        <f t="shared" si="122"/>
        <v>46021.624664351853</v>
      </c>
      <c r="N1590" s="12"/>
    </row>
    <row r="1591" spans="1:14" x14ac:dyDescent="0.25">
      <c r="A1591" s="4" t="s">
        <v>1621</v>
      </c>
      <c r="B1591" s="16" t="str">
        <f t="shared" si="118"/>
        <v>M/s SHREE VISHNU MINERALS</v>
      </c>
      <c r="C1591" s="16" t="str">
        <f t="shared" si="119"/>
        <v>Mokha Charnan / Kolayat / Bikaner</v>
      </c>
      <c r="D1591" s="4" t="s">
        <v>3032</v>
      </c>
      <c r="E1591" s="4" t="s">
        <v>3119</v>
      </c>
      <c r="F1591" s="5">
        <v>46020.999664351853</v>
      </c>
      <c r="G1591" s="16" t="str">
        <f t="shared" si="120"/>
        <v>Silica Sand</v>
      </c>
      <c r="H1591" s="4" t="s">
        <v>2927</v>
      </c>
      <c r="I1591" s="18" t="str" cm="1">
        <f t="array" ref="I1591">_xlfn.LET(_xlpm.text, D1591,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1" s="18" t="str" cm="1">
        <f t="array" ref="J1591">_xlfn.LET(_xlpm.text, E1591,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1" s="14">
        <f t="shared" si="121"/>
        <v>46021</v>
      </c>
      <c r="L1591" s="14">
        <f t="shared" si="122"/>
        <v>46021.624664351853</v>
      </c>
      <c r="N1591" s="12"/>
    </row>
    <row r="1592" spans="1:14" x14ac:dyDescent="0.25">
      <c r="A1592" s="4" t="s">
        <v>1622</v>
      </c>
      <c r="B1592" s="16" t="str">
        <f t="shared" si="118"/>
        <v>S.R.MINES AND MINERLS</v>
      </c>
      <c r="C1592" s="16" t="str">
        <f t="shared" si="119"/>
        <v>Indo Ka Bala / Kolayat / Bikaner</v>
      </c>
      <c r="D1592" s="4" t="s">
        <v>1382</v>
      </c>
      <c r="E1592" s="4" t="s">
        <v>3119</v>
      </c>
      <c r="F1592" s="5">
        <v>46020.999664351853</v>
      </c>
      <c r="G1592" s="16" t="str">
        <f t="shared" si="120"/>
        <v>Silica Sand</v>
      </c>
      <c r="H1592" s="4" t="s">
        <v>427</v>
      </c>
      <c r="I1592" s="18" t="str" cm="1">
        <f t="array" ref="I1592">_xlfn.LET(_xlpm.text, D1592,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92" s="18" t="str" cm="1">
        <f t="array" ref="J1592">_xlfn.LET(_xlpm.text, E1592,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2" s="14">
        <f t="shared" si="121"/>
        <v>46021</v>
      </c>
      <c r="L1592" s="14">
        <f t="shared" si="122"/>
        <v>46021.624664351853</v>
      </c>
      <c r="N1592" s="12"/>
    </row>
    <row r="1593" spans="1:14" x14ac:dyDescent="0.25">
      <c r="A1593" s="4" t="s">
        <v>1623</v>
      </c>
      <c r="B1593" s="16" t="str">
        <f t="shared" si="118"/>
        <v>M/s SHREE VISHNU MINERALS</v>
      </c>
      <c r="C1593" s="16" t="str">
        <f t="shared" si="119"/>
        <v>Mokha Charnan / Kolayat / Bikaner</v>
      </c>
      <c r="D1593" s="4" t="s">
        <v>3032</v>
      </c>
      <c r="E1593" s="4" t="s">
        <v>3119</v>
      </c>
      <c r="F1593" s="5">
        <v>46021.999664351853</v>
      </c>
      <c r="G1593" s="16" t="str">
        <f t="shared" si="120"/>
        <v>Silica Sand</v>
      </c>
      <c r="H1593" s="4" t="s">
        <v>2926</v>
      </c>
      <c r="I1593" s="18" t="str" cm="1">
        <f t="array" ref="I1593">_xlfn.LET(_xlpm.text, D1593,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3" s="18" t="str" cm="1">
        <f t="array" ref="J1593">_xlfn.LET(_xlpm.text, E1593,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3" s="14">
        <f t="shared" si="121"/>
        <v>46022</v>
      </c>
      <c r="L1593" s="14">
        <f t="shared" si="122"/>
        <v>46022.624664351853</v>
      </c>
      <c r="N1593" s="12"/>
    </row>
    <row r="1594" spans="1:14" x14ac:dyDescent="0.25">
      <c r="A1594" s="4" t="s">
        <v>1624</v>
      </c>
      <c r="B1594" s="16" t="str">
        <f t="shared" si="118"/>
        <v>M/s SHREE VISHNU MINERALS</v>
      </c>
      <c r="C1594" s="16" t="str">
        <f t="shared" si="119"/>
        <v>Mokha Charnan / Kolayat / Bikaner</v>
      </c>
      <c r="D1594" s="4" t="s">
        <v>3032</v>
      </c>
      <c r="E1594" s="4" t="s">
        <v>3119</v>
      </c>
      <c r="F1594" s="5">
        <v>46021.999664351853</v>
      </c>
      <c r="G1594" s="16" t="str">
        <f t="shared" si="120"/>
        <v>Silica Sand</v>
      </c>
      <c r="H1594" s="4" t="s">
        <v>2661</v>
      </c>
      <c r="I1594" s="18" t="str" cm="1">
        <f t="array" ref="I1594">_xlfn.LET(_xlpm.text, D1594,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4" s="18" t="str" cm="1">
        <f t="array" ref="J1594">_xlfn.LET(_xlpm.text, E1594,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4" s="14">
        <f t="shared" si="121"/>
        <v>46022</v>
      </c>
      <c r="L1594" s="14">
        <f t="shared" si="122"/>
        <v>46022.624664351853</v>
      </c>
      <c r="N1594" s="12"/>
    </row>
    <row r="1595" spans="1:14" x14ac:dyDescent="0.25">
      <c r="A1595" s="4" t="s">
        <v>1625</v>
      </c>
      <c r="B1595" s="16" t="str">
        <f t="shared" si="118"/>
        <v>M/s SHREE VISHNU MINERALS</v>
      </c>
      <c r="C1595" s="16" t="str">
        <f t="shared" si="119"/>
        <v>Mokha Charnan / Kolayat / Bikaner</v>
      </c>
      <c r="D1595" s="4" t="s">
        <v>3032</v>
      </c>
      <c r="E1595" s="4" t="s">
        <v>3119</v>
      </c>
      <c r="F1595" s="5">
        <v>46021.999664351853</v>
      </c>
      <c r="G1595" s="16" t="str">
        <f t="shared" si="120"/>
        <v>Silica Sand</v>
      </c>
      <c r="H1595" s="4" t="s">
        <v>2661</v>
      </c>
      <c r="I1595" s="18" t="str" cm="1">
        <f t="array" ref="I1595">_xlfn.LET(_xlpm.text, D1595,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5" s="18" t="str" cm="1">
        <f t="array" ref="J1595">_xlfn.LET(_xlpm.text, E1595,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5" s="14">
        <f t="shared" si="121"/>
        <v>46022</v>
      </c>
      <c r="L1595" s="14">
        <f t="shared" si="122"/>
        <v>46022.624664351853</v>
      </c>
      <c r="N1595" s="12"/>
    </row>
    <row r="1596" spans="1:14" x14ac:dyDescent="0.25">
      <c r="A1596" s="4" t="s">
        <v>1626</v>
      </c>
      <c r="B1596" s="16" t="str">
        <f t="shared" si="118"/>
        <v>M/s SHREE VISHNU MINERALS</v>
      </c>
      <c r="C1596" s="16" t="str">
        <f t="shared" si="119"/>
        <v>Mokha Charnan / Kolayat / Bikaner</v>
      </c>
      <c r="D1596" s="4" t="s">
        <v>3032</v>
      </c>
      <c r="E1596" s="4" t="s">
        <v>3119</v>
      </c>
      <c r="F1596" s="5">
        <v>46021.999664351853</v>
      </c>
      <c r="G1596" s="16" t="str">
        <f t="shared" si="120"/>
        <v>Silica Sand</v>
      </c>
      <c r="H1596" s="4" t="s">
        <v>2315</v>
      </c>
      <c r="I1596" s="18" t="str" cm="1">
        <f t="array" ref="I1596">_xlfn.LET(_xlpm.text, D1596,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6" s="18" t="str" cm="1">
        <f t="array" ref="J1596">_xlfn.LET(_xlpm.text, E1596,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6" s="14">
        <f t="shared" si="121"/>
        <v>46022</v>
      </c>
      <c r="L1596" s="14">
        <f t="shared" si="122"/>
        <v>46022.624664351853</v>
      </c>
      <c r="N1596" s="12"/>
    </row>
    <row r="1597" spans="1:14" x14ac:dyDescent="0.25">
      <c r="A1597" s="4" t="s">
        <v>1627</v>
      </c>
      <c r="B1597" s="16" t="str">
        <f t="shared" si="118"/>
        <v>M/s SHREE VISHNU MINERALS</v>
      </c>
      <c r="C1597" s="16" t="str">
        <f t="shared" si="119"/>
        <v>Mokha Charnan / Kolayat / Bikaner</v>
      </c>
      <c r="D1597" s="4" t="s">
        <v>3032</v>
      </c>
      <c r="E1597" s="4" t="s">
        <v>3119</v>
      </c>
      <c r="F1597" s="5">
        <v>46021.999664351853</v>
      </c>
      <c r="G1597" s="16" t="str">
        <f t="shared" si="120"/>
        <v>Silica Sand</v>
      </c>
      <c r="H1597" s="4" t="s">
        <v>2315</v>
      </c>
      <c r="I1597" s="18" t="str" cm="1">
        <f t="array" ref="I1597">_xlfn.LET(_xlpm.text, D1597,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7" s="18" t="str" cm="1">
        <f t="array" ref="J1597">_xlfn.LET(_xlpm.text, E1597,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7" s="14">
        <f t="shared" si="121"/>
        <v>46022</v>
      </c>
      <c r="L1597" s="14">
        <f t="shared" si="122"/>
        <v>46022.624664351853</v>
      </c>
      <c r="N1597" s="12"/>
    </row>
    <row r="1598" spans="1:14" x14ac:dyDescent="0.25">
      <c r="A1598" s="4" t="s">
        <v>1628</v>
      </c>
      <c r="B1598" s="16" t="str">
        <f t="shared" si="118"/>
        <v>M/s SHREE VISHNU MINERALS</v>
      </c>
      <c r="C1598" s="16" t="str">
        <f t="shared" si="119"/>
        <v>Mokha Charnan / Kolayat / Bikaner</v>
      </c>
      <c r="D1598" s="4" t="s">
        <v>3032</v>
      </c>
      <c r="E1598" s="4" t="s">
        <v>3119</v>
      </c>
      <c r="F1598" s="5">
        <v>46021.999664351853</v>
      </c>
      <c r="G1598" s="16" t="str">
        <f t="shared" si="120"/>
        <v>Silica Sand</v>
      </c>
      <c r="H1598" s="4" t="s">
        <v>2315</v>
      </c>
      <c r="I1598" s="18" t="str" cm="1">
        <f t="array" ref="I1598">_xlfn.LET(_xlpm.text, D1598,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598" s="18" t="str" cm="1">
        <f t="array" ref="J1598">_xlfn.LET(_xlpm.text, E1598,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8" s="14">
        <f t="shared" si="121"/>
        <v>46022</v>
      </c>
      <c r="L1598" s="14">
        <f t="shared" si="122"/>
        <v>46022.624664351853</v>
      </c>
      <c r="N1598" s="12"/>
    </row>
    <row r="1599" spans="1:14" x14ac:dyDescent="0.25">
      <c r="A1599" s="4" t="s">
        <v>1629</v>
      </c>
      <c r="B1599" s="16" t="str">
        <f t="shared" si="118"/>
        <v>S.R.MINES AND MINERLS</v>
      </c>
      <c r="C1599" s="16" t="str">
        <f t="shared" si="119"/>
        <v>Indo Ka Bala / Kolayat / Bikaner</v>
      </c>
      <c r="D1599" s="4" t="s">
        <v>1382</v>
      </c>
      <c r="E1599" s="4" t="s">
        <v>3119</v>
      </c>
      <c r="F1599" s="5">
        <v>46021.999664351853</v>
      </c>
      <c r="G1599" s="16" t="str">
        <f t="shared" si="120"/>
        <v>Silica Sand</v>
      </c>
      <c r="H1599" s="4" t="s">
        <v>2582</v>
      </c>
      <c r="I1599" s="18" t="str" cm="1">
        <f t="array" ref="I1599">_xlfn.LET(_xlpm.text, D1599,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599" s="18" t="str" cm="1">
        <f t="array" ref="J1599">_xlfn.LET(_xlpm.text, E1599,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599" s="14">
        <f t="shared" si="121"/>
        <v>46022</v>
      </c>
      <c r="L1599" s="14">
        <f t="shared" si="122"/>
        <v>46022.624664351853</v>
      </c>
      <c r="N1599" s="12"/>
    </row>
    <row r="1600" spans="1:14" x14ac:dyDescent="0.25">
      <c r="A1600" s="4" t="s">
        <v>1630</v>
      </c>
      <c r="B1600" s="16" t="str">
        <f t="shared" si="118"/>
        <v>M/s SHREE VISHNU MINERALS</v>
      </c>
      <c r="C1600" s="16" t="str">
        <f t="shared" si="119"/>
        <v>Mokha Charnan / Kolayat / Bikaner</v>
      </c>
      <c r="D1600" s="4" t="s">
        <v>3032</v>
      </c>
      <c r="E1600" s="4" t="s">
        <v>3119</v>
      </c>
      <c r="F1600" s="5">
        <v>46023.999664351853</v>
      </c>
      <c r="G1600" s="16" t="str">
        <f t="shared" si="120"/>
        <v>Silica Sand</v>
      </c>
      <c r="H1600" s="4" t="s">
        <v>2661</v>
      </c>
      <c r="I1600" s="18" t="str" cm="1">
        <f t="array" ref="I1600">_xlfn.LET(_xlpm.text, D1600,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0" s="18" t="str" cm="1">
        <f t="array" ref="J1600">_xlfn.LET(_xlpm.text, E1600,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0" s="14">
        <f t="shared" si="121"/>
        <v>46024</v>
      </c>
      <c r="L1600" s="14">
        <f t="shared" si="122"/>
        <v>46024.624664351853</v>
      </c>
      <c r="N1600" s="12"/>
    </row>
    <row r="1601" spans="1:14" x14ac:dyDescent="0.25">
      <c r="A1601" s="4" t="s">
        <v>1631</v>
      </c>
      <c r="B1601" s="16" t="str">
        <f t="shared" si="118"/>
        <v>M/s SHREE VISHNU MINERALS</v>
      </c>
      <c r="C1601" s="16" t="str">
        <f t="shared" si="119"/>
        <v>Mokha Charnan / Kolayat / Bikaner</v>
      </c>
      <c r="D1601" s="4" t="s">
        <v>3032</v>
      </c>
      <c r="E1601" s="4" t="s">
        <v>3119</v>
      </c>
      <c r="F1601" s="5">
        <v>46023.999664351853</v>
      </c>
      <c r="G1601" s="16" t="str">
        <f t="shared" si="120"/>
        <v>Silica Sand</v>
      </c>
      <c r="H1601" s="4" t="s">
        <v>2315</v>
      </c>
      <c r="I1601" s="18" t="str" cm="1">
        <f t="array" ref="I1601">_xlfn.LET(_xlpm.text, D1601,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1" s="18" t="str" cm="1">
        <f t="array" ref="J1601">_xlfn.LET(_xlpm.text, E1601,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1" s="14">
        <f t="shared" si="121"/>
        <v>46024</v>
      </c>
      <c r="L1601" s="14">
        <f t="shared" si="122"/>
        <v>46024.624664351853</v>
      </c>
      <c r="N1601" s="12"/>
    </row>
    <row r="1602" spans="1:14" x14ac:dyDescent="0.25">
      <c r="A1602" s="4" t="s">
        <v>1632</v>
      </c>
      <c r="B1602" s="16" t="str">
        <f t="shared" ref="B1602:B1665" si="123">VLOOKUP(LEFT($A1602,4)&amp;"*",$O$3:$R$17, 2, FALSE)</f>
        <v>M/s SHREE VISHNU MINERALS</v>
      </c>
      <c r="C1602" s="16" t="str">
        <f t="shared" ref="C1602:C1665" si="124">VLOOKUP(LEFT($A1602,4)&amp;"*",$O$3:$R$17, 3, FALSE)</f>
        <v>Mokha Charnan / Kolayat / Bikaner</v>
      </c>
      <c r="D1602" s="4" t="s">
        <v>3032</v>
      </c>
      <c r="E1602" s="4" t="s">
        <v>3119</v>
      </c>
      <c r="F1602" s="5">
        <v>46024.999664351853</v>
      </c>
      <c r="G1602" s="16" t="str">
        <f t="shared" ref="G1602:G1665" si="125">VLOOKUP(LEFT($A1602,4)&amp;"*",$O$3:$R$17, 4, FALSE)</f>
        <v>Silica Sand</v>
      </c>
      <c r="H1602" s="4" t="s">
        <v>2661</v>
      </c>
      <c r="I1602" s="18" t="str" cm="1">
        <f t="array" ref="I1602">_xlfn.LET(_xlpm.text, D1602,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2" s="18" t="str" cm="1">
        <f t="array" ref="J1602">_xlfn.LET(_xlpm.text, E1602,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2" s="14">
        <f t="shared" si="121"/>
        <v>46025</v>
      </c>
      <c r="L1602" s="14">
        <f t="shared" si="122"/>
        <v>46025.624664351853</v>
      </c>
      <c r="N1602" s="12"/>
    </row>
    <row r="1603" spans="1:14" x14ac:dyDescent="0.25">
      <c r="A1603" s="4" t="s">
        <v>1633</v>
      </c>
      <c r="B1603" s="16" t="str">
        <f t="shared" si="123"/>
        <v>M/s SHREE VISHNU MINERALS</v>
      </c>
      <c r="C1603" s="16" t="str">
        <f t="shared" si="124"/>
        <v>Mokha Charnan / Kolayat / Bikaner</v>
      </c>
      <c r="D1603" s="4" t="s">
        <v>3032</v>
      </c>
      <c r="E1603" s="4" t="s">
        <v>3119</v>
      </c>
      <c r="F1603" s="5">
        <v>46025.999664351853</v>
      </c>
      <c r="G1603" s="16" t="str">
        <f t="shared" si="125"/>
        <v>Silica Sand</v>
      </c>
      <c r="H1603" s="4" t="s">
        <v>2661</v>
      </c>
      <c r="I1603" s="18" t="str" cm="1">
        <f t="array" ref="I1603">_xlfn.LET(_xlpm.text, D1603,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3" s="18" t="str" cm="1">
        <f t="array" ref="J1603">_xlfn.LET(_xlpm.text, E1603,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3" s="14">
        <f t="shared" ref="K1603:K1666" si="126">F1603+(29/86400)</f>
        <v>46026</v>
      </c>
      <c r="L1603" s="14">
        <f t="shared" ref="L1603:L1666" si="127">F1603+(15/24)</f>
        <v>46026.624664351853</v>
      </c>
      <c r="N1603" s="12"/>
    </row>
    <row r="1604" spans="1:14" x14ac:dyDescent="0.25">
      <c r="A1604" s="4" t="s">
        <v>1634</v>
      </c>
      <c r="B1604" s="16" t="str">
        <f t="shared" si="123"/>
        <v>M/s SHREE VISHNU MINERALS</v>
      </c>
      <c r="C1604" s="16" t="str">
        <f t="shared" si="124"/>
        <v>Mokha Charnan / Kolayat / Bikaner</v>
      </c>
      <c r="D1604" s="4" t="s">
        <v>3032</v>
      </c>
      <c r="E1604" s="4" t="s">
        <v>3119</v>
      </c>
      <c r="F1604" s="5">
        <v>46025.999664351853</v>
      </c>
      <c r="G1604" s="16" t="str">
        <f t="shared" si="125"/>
        <v>Silica Sand</v>
      </c>
      <c r="H1604" s="4" t="s">
        <v>2259</v>
      </c>
      <c r="I1604" s="18" t="str" cm="1">
        <f t="array" ref="I1604">_xlfn.LET(_xlpm.text, D1604,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4" s="18" t="str" cm="1">
        <f t="array" ref="J1604">_xlfn.LET(_xlpm.text, E1604,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4" s="14">
        <f t="shared" si="126"/>
        <v>46026</v>
      </c>
      <c r="L1604" s="14">
        <f t="shared" si="127"/>
        <v>46026.624664351853</v>
      </c>
      <c r="N1604" s="12"/>
    </row>
    <row r="1605" spans="1:14" x14ac:dyDescent="0.25">
      <c r="A1605" s="4" t="s">
        <v>1635</v>
      </c>
      <c r="B1605" s="16" t="str">
        <f t="shared" si="123"/>
        <v>M/s SHREE VISHNU MINERALS</v>
      </c>
      <c r="C1605" s="16" t="str">
        <f t="shared" si="124"/>
        <v>Mokha Charnan / Kolayat / Bikaner</v>
      </c>
      <c r="D1605" s="4" t="s">
        <v>3032</v>
      </c>
      <c r="E1605" s="4" t="s">
        <v>3119</v>
      </c>
      <c r="F1605" s="5">
        <v>46025.999664351853</v>
      </c>
      <c r="G1605" s="16" t="str">
        <f t="shared" si="125"/>
        <v>Silica Sand</v>
      </c>
      <c r="H1605" s="4" t="s">
        <v>2522</v>
      </c>
      <c r="I1605" s="18" t="str" cm="1">
        <f t="array" ref="I1605">_xlfn.LET(_xlpm.text, D1605,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5" s="18" t="str" cm="1">
        <f t="array" ref="J1605">_xlfn.LET(_xlpm.text, E1605,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5" s="14">
        <f t="shared" si="126"/>
        <v>46026</v>
      </c>
      <c r="L1605" s="14">
        <f t="shared" si="127"/>
        <v>46026.624664351853</v>
      </c>
      <c r="N1605" s="12"/>
    </row>
    <row r="1606" spans="1:14" x14ac:dyDescent="0.25">
      <c r="A1606" s="4" t="s">
        <v>1636</v>
      </c>
      <c r="B1606" s="16" t="str">
        <f t="shared" si="123"/>
        <v>M/s SHREE VISHNU MINERALS</v>
      </c>
      <c r="C1606" s="16" t="str">
        <f t="shared" si="124"/>
        <v>Mokha Charnan / Kolayat / Bikaner</v>
      </c>
      <c r="D1606" s="4" t="s">
        <v>3032</v>
      </c>
      <c r="E1606" s="4" t="s">
        <v>3119</v>
      </c>
      <c r="F1606" s="5">
        <v>46025.999664351853</v>
      </c>
      <c r="G1606" s="16" t="str">
        <f t="shared" si="125"/>
        <v>Silica Sand</v>
      </c>
      <c r="H1606" s="4" t="s">
        <v>2928</v>
      </c>
      <c r="I1606" s="18" t="str" cm="1">
        <f t="array" ref="I1606">_xlfn.LET(_xlpm.text, D1606,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6" s="18" t="str" cm="1">
        <f t="array" ref="J1606">_xlfn.LET(_xlpm.text, E1606,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6" s="14">
        <f t="shared" si="126"/>
        <v>46026</v>
      </c>
      <c r="L1606" s="14">
        <f t="shared" si="127"/>
        <v>46026.624664351853</v>
      </c>
      <c r="N1606" s="12"/>
    </row>
    <row r="1607" spans="1:14" x14ac:dyDescent="0.25">
      <c r="A1607" s="4" t="s">
        <v>1637</v>
      </c>
      <c r="B1607" s="16" t="str">
        <f t="shared" si="123"/>
        <v>S.R.MINES AND MINERLS</v>
      </c>
      <c r="C1607" s="16" t="str">
        <f t="shared" si="124"/>
        <v>Indo Ka Bala / Kolayat / Bikaner</v>
      </c>
      <c r="D1607" s="4" t="s">
        <v>1382</v>
      </c>
      <c r="E1607" s="4" t="s">
        <v>3119</v>
      </c>
      <c r="F1607" s="5">
        <v>46025.999664351853</v>
      </c>
      <c r="G1607" s="16" t="str">
        <f t="shared" si="125"/>
        <v>Silica Sand</v>
      </c>
      <c r="H1607" s="4" t="s">
        <v>2760</v>
      </c>
      <c r="I1607" s="18" t="str" cm="1">
        <f t="array" ref="I1607">_xlfn.LET(_xlpm.text, D1607,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607" s="18" t="str" cm="1">
        <f t="array" ref="J1607">_xlfn.LET(_xlpm.text, E1607,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7" s="14">
        <f t="shared" si="126"/>
        <v>46026</v>
      </c>
      <c r="L1607" s="14">
        <f t="shared" si="127"/>
        <v>46026.624664351853</v>
      </c>
      <c r="N1607" s="12"/>
    </row>
    <row r="1608" spans="1:14" x14ac:dyDescent="0.25">
      <c r="A1608" s="4" t="s">
        <v>1638</v>
      </c>
      <c r="B1608" s="16" t="str">
        <f t="shared" si="123"/>
        <v>S.R.MINES AND MINERLS</v>
      </c>
      <c r="C1608" s="16" t="str">
        <f t="shared" si="124"/>
        <v>Indo Ka Bala / Kolayat / Bikaner</v>
      </c>
      <c r="D1608" s="4" t="s">
        <v>1382</v>
      </c>
      <c r="E1608" s="4" t="s">
        <v>3119</v>
      </c>
      <c r="F1608" s="5">
        <v>46025.999664351853</v>
      </c>
      <c r="G1608" s="16" t="str">
        <f t="shared" si="125"/>
        <v>Silica Sand</v>
      </c>
      <c r="H1608" s="4" t="s">
        <v>427</v>
      </c>
      <c r="I1608" s="18" t="str" cm="1">
        <f t="array" ref="I1608">_xlfn.LET(_xlpm.text, D1608,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608" s="18" t="str" cm="1">
        <f t="array" ref="J1608">_xlfn.LET(_xlpm.text, E1608,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8" s="14">
        <f t="shared" si="126"/>
        <v>46026</v>
      </c>
      <c r="L1608" s="14">
        <f t="shared" si="127"/>
        <v>46026.624664351853</v>
      </c>
      <c r="N1608" s="12"/>
    </row>
    <row r="1609" spans="1:14" x14ac:dyDescent="0.25">
      <c r="A1609" s="4" t="s">
        <v>1639</v>
      </c>
      <c r="B1609" s="16" t="str">
        <f t="shared" si="123"/>
        <v>M/s SHREE VISHNU MINERALS</v>
      </c>
      <c r="C1609" s="16" t="str">
        <f t="shared" si="124"/>
        <v>Mokha Charnan / Kolayat / Bikaner</v>
      </c>
      <c r="D1609" s="4" t="s">
        <v>3032</v>
      </c>
      <c r="E1609" s="4" t="s">
        <v>3119</v>
      </c>
      <c r="F1609" s="5">
        <v>46026.999664351853</v>
      </c>
      <c r="G1609" s="16" t="str">
        <f t="shared" si="125"/>
        <v>Silica Sand</v>
      </c>
      <c r="H1609" s="4" t="s">
        <v>2903</v>
      </c>
      <c r="I1609" s="18" t="str" cm="1">
        <f t="array" ref="I1609">_xlfn.LET(_xlpm.text, D1609,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09" s="18" t="str" cm="1">
        <f t="array" ref="J1609">_xlfn.LET(_xlpm.text, E1609,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09" s="14">
        <f t="shared" si="126"/>
        <v>46027</v>
      </c>
      <c r="L1609" s="14">
        <f t="shared" si="127"/>
        <v>46027.624664351853</v>
      </c>
      <c r="N1609" s="12"/>
    </row>
    <row r="1610" spans="1:14" x14ac:dyDescent="0.25">
      <c r="A1610" s="4" t="s">
        <v>1640</v>
      </c>
      <c r="B1610" s="16" t="str">
        <f t="shared" si="123"/>
        <v>M/s SHREE VISHNU MINERALS</v>
      </c>
      <c r="C1610" s="16" t="str">
        <f t="shared" si="124"/>
        <v>Mokha Charnan / Kolayat / Bikaner</v>
      </c>
      <c r="D1610" s="4" t="s">
        <v>3032</v>
      </c>
      <c r="E1610" s="4" t="s">
        <v>3119</v>
      </c>
      <c r="F1610" s="5">
        <v>46026.999664351853</v>
      </c>
      <c r="G1610" s="16" t="str">
        <f t="shared" si="125"/>
        <v>Silica Sand</v>
      </c>
      <c r="H1610" s="4" t="s">
        <v>2926</v>
      </c>
      <c r="I1610" s="18" t="str" cm="1">
        <f t="array" ref="I1610">_xlfn.LET(_xlpm.text, D1610,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0" s="18" t="str" cm="1">
        <f t="array" ref="J1610">_xlfn.LET(_xlpm.text, E1610,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0" s="14">
        <f t="shared" si="126"/>
        <v>46027</v>
      </c>
      <c r="L1610" s="14">
        <f t="shared" si="127"/>
        <v>46027.624664351853</v>
      </c>
      <c r="N1610" s="12"/>
    </row>
    <row r="1611" spans="1:14" x14ac:dyDescent="0.25">
      <c r="A1611" s="4" t="s">
        <v>1641</v>
      </c>
      <c r="B1611" s="16" t="str">
        <f t="shared" si="123"/>
        <v>M/s SHREE VISHNU MINERALS</v>
      </c>
      <c r="C1611" s="16" t="str">
        <f t="shared" si="124"/>
        <v>Mokha Charnan / Kolayat / Bikaner</v>
      </c>
      <c r="D1611" s="4" t="s">
        <v>3032</v>
      </c>
      <c r="E1611" s="4" t="s">
        <v>3119</v>
      </c>
      <c r="F1611" s="5">
        <v>46026.999664351853</v>
      </c>
      <c r="G1611" s="16" t="str">
        <f t="shared" si="125"/>
        <v>Silica Sand</v>
      </c>
      <c r="H1611" s="4" t="s">
        <v>2907</v>
      </c>
      <c r="I1611" s="18" t="str" cm="1">
        <f t="array" ref="I1611">_xlfn.LET(_xlpm.text, D1611,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1" s="18" t="str" cm="1">
        <f t="array" ref="J1611">_xlfn.LET(_xlpm.text, E1611,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1" s="14">
        <f t="shared" si="126"/>
        <v>46027</v>
      </c>
      <c r="L1611" s="14">
        <f t="shared" si="127"/>
        <v>46027.624664351853</v>
      </c>
      <c r="N1611" s="12"/>
    </row>
    <row r="1612" spans="1:14" x14ac:dyDescent="0.25">
      <c r="A1612" s="4" t="s">
        <v>1642</v>
      </c>
      <c r="B1612" s="16" t="str">
        <f t="shared" si="123"/>
        <v>M/s SHREE VISHNU MINERALS</v>
      </c>
      <c r="C1612" s="16" t="str">
        <f t="shared" si="124"/>
        <v>Mokha Charnan / Kolayat / Bikaner</v>
      </c>
      <c r="D1612" s="4" t="s">
        <v>3032</v>
      </c>
      <c r="E1612" s="4" t="s">
        <v>3119</v>
      </c>
      <c r="F1612" s="5">
        <v>46026.999664351853</v>
      </c>
      <c r="G1612" s="16" t="str">
        <f t="shared" si="125"/>
        <v>Silica Sand</v>
      </c>
      <c r="H1612" s="4" t="s">
        <v>2661</v>
      </c>
      <c r="I1612" s="18" t="str" cm="1">
        <f t="array" ref="I1612">_xlfn.LET(_xlpm.text, D1612,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2" s="18" t="str" cm="1">
        <f t="array" ref="J1612">_xlfn.LET(_xlpm.text, E1612,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2" s="14">
        <f t="shared" si="126"/>
        <v>46027</v>
      </c>
      <c r="L1612" s="14">
        <f t="shared" si="127"/>
        <v>46027.624664351853</v>
      </c>
      <c r="N1612" s="12"/>
    </row>
    <row r="1613" spans="1:14" x14ac:dyDescent="0.25">
      <c r="A1613" s="4" t="s">
        <v>1643</v>
      </c>
      <c r="B1613" s="16" t="str">
        <f t="shared" si="123"/>
        <v>M/s SHREE VISHNU MINERALS</v>
      </c>
      <c r="C1613" s="16" t="str">
        <f t="shared" si="124"/>
        <v>Mokha Charnan / Kolayat / Bikaner</v>
      </c>
      <c r="D1613" s="4" t="s">
        <v>3032</v>
      </c>
      <c r="E1613" s="4" t="s">
        <v>3119</v>
      </c>
      <c r="F1613" s="5">
        <v>46026.999664351853</v>
      </c>
      <c r="G1613" s="16" t="str">
        <f t="shared" si="125"/>
        <v>Silica Sand</v>
      </c>
      <c r="H1613" s="4" t="s">
        <v>2895</v>
      </c>
      <c r="I1613" s="18" t="str" cm="1">
        <f t="array" ref="I1613">_xlfn.LET(_xlpm.text, D1613,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3" s="18" t="str" cm="1">
        <f t="array" ref="J1613">_xlfn.LET(_xlpm.text, E1613,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3" s="14">
        <f t="shared" si="126"/>
        <v>46027</v>
      </c>
      <c r="L1613" s="14">
        <f t="shared" si="127"/>
        <v>46027.624664351853</v>
      </c>
      <c r="N1613" s="12"/>
    </row>
    <row r="1614" spans="1:14" x14ac:dyDescent="0.25">
      <c r="A1614" s="4" t="s">
        <v>1644</v>
      </c>
      <c r="B1614" s="16" t="str">
        <f t="shared" si="123"/>
        <v>S.R.MINES AND MINERLS</v>
      </c>
      <c r="C1614" s="16" t="str">
        <f t="shared" si="124"/>
        <v>Indo Ka Bala / Kolayat / Bikaner</v>
      </c>
      <c r="D1614" s="4" t="s">
        <v>1382</v>
      </c>
      <c r="E1614" s="4" t="s">
        <v>3119</v>
      </c>
      <c r="F1614" s="5">
        <v>46026.999664351853</v>
      </c>
      <c r="G1614" s="16" t="str">
        <f t="shared" si="125"/>
        <v>Silica Sand</v>
      </c>
      <c r="H1614" s="4" t="s">
        <v>2863</v>
      </c>
      <c r="I1614" s="18" t="str" cm="1">
        <f t="array" ref="I1614">_xlfn.LET(_xlpm.text, D1614,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614" s="18" t="str" cm="1">
        <f t="array" ref="J1614">_xlfn.LET(_xlpm.text, E1614,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4" s="14">
        <f t="shared" si="126"/>
        <v>46027</v>
      </c>
      <c r="L1614" s="14">
        <f t="shared" si="127"/>
        <v>46027.624664351853</v>
      </c>
      <c r="N1614" s="12"/>
    </row>
    <row r="1615" spans="1:14" x14ac:dyDescent="0.25">
      <c r="A1615" s="4" t="s">
        <v>1645</v>
      </c>
      <c r="B1615" s="16" t="str">
        <f t="shared" si="123"/>
        <v>M/s SHREE VISHNU MINERALS</v>
      </c>
      <c r="C1615" s="16" t="str">
        <f t="shared" si="124"/>
        <v>Mokha Charnan / Kolayat / Bikaner</v>
      </c>
      <c r="D1615" s="4" t="s">
        <v>3032</v>
      </c>
      <c r="E1615" s="4" t="s">
        <v>3119</v>
      </c>
      <c r="F1615" s="5">
        <v>46027.999664351853</v>
      </c>
      <c r="G1615" s="16" t="str">
        <f t="shared" si="125"/>
        <v>Silica Sand</v>
      </c>
      <c r="H1615" s="4" t="s">
        <v>2452</v>
      </c>
      <c r="I1615" s="18" t="str" cm="1">
        <f t="array" ref="I1615">_xlfn.LET(_xlpm.text, D1615,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5" s="18" t="str" cm="1">
        <f t="array" ref="J1615">_xlfn.LET(_xlpm.text, E1615,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5" s="14">
        <f t="shared" si="126"/>
        <v>46028</v>
      </c>
      <c r="L1615" s="14">
        <f t="shared" si="127"/>
        <v>46028.624664351853</v>
      </c>
      <c r="N1615" s="12"/>
    </row>
    <row r="1616" spans="1:14" x14ac:dyDescent="0.25">
      <c r="A1616" s="4" t="s">
        <v>1646</v>
      </c>
      <c r="B1616" s="16" t="str">
        <f t="shared" si="123"/>
        <v>M/s SHREE VISHNU MINERALS</v>
      </c>
      <c r="C1616" s="16" t="str">
        <f t="shared" si="124"/>
        <v>Mokha Charnan / Kolayat / Bikaner</v>
      </c>
      <c r="D1616" s="4" t="s">
        <v>3032</v>
      </c>
      <c r="E1616" s="4" t="s">
        <v>3119</v>
      </c>
      <c r="F1616" s="5">
        <v>46028.999664351853</v>
      </c>
      <c r="G1616" s="16" t="str">
        <f t="shared" si="125"/>
        <v>Silica Sand</v>
      </c>
      <c r="H1616" s="4" t="s">
        <v>2661</v>
      </c>
      <c r="I1616" s="18" t="str" cm="1">
        <f t="array" ref="I1616">_xlfn.LET(_xlpm.text, D1616,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6" s="18" t="str" cm="1">
        <f t="array" ref="J1616">_xlfn.LET(_xlpm.text, E1616,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6" s="14">
        <f t="shared" si="126"/>
        <v>46029</v>
      </c>
      <c r="L1616" s="14">
        <f t="shared" si="127"/>
        <v>46029.624664351853</v>
      </c>
      <c r="N1616" s="12"/>
    </row>
    <row r="1617" spans="1:14" x14ac:dyDescent="0.25">
      <c r="A1617" s="4" t="s">
        <v>1647</v>
      </c>
      <c r="B1617" s="16" t="str">
        <f t="shared" si="123"/>
        <v>M/s SHREE VISHNU MINERALS</v>
      </c>
      <c r="C1617" s="16" t="str">
        <f t="shared" si="124"/>
        <v>Mokha Charnan / Kolayat / Bikaner</v>
      </c>
      <c r="D1617" s="4" t="s">
        <v>3032</v>
      </c>
      <c r="E1617" s="4" t="s">
        <v>3119</v>
      </c>
      <c r="F1617" s="5">
        <v>46027.999664351853</v>
      </c>
      <c r="G1617" s="16" t="str">
        <f t="shared" si="125"/>
        <v>Silica Sand</v>
      </c>
      <c r="H1617" s="4" t="s">
        <v>2929</v>
      </c>
      <c r="I1617" s="18" t="str" cm="1">
        <f t="array" ref="I1617">_xlfn.LET(_xlpm.text, D1617,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7" s="18" t="str" cm="1">
        <f t="array" ref="J1617">_xlfn.LET(_xlpm.text, E1617,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7" s="14">
        <f t="shared" si="126"/>
        <v>46028</v>
      </c>
      <c r="L1617" s="14">
        <f t="shared" si="127"/>
        <v>46028.624664351853</v>
      </c>
      <c r="N1617" s="12"/>
    </row>
    <row r="1618" spans="1:14" x14ac:dyDescent="0.25">
      <c r="A1618" s="4" t="s">
        <v>1648</v>
      </c>
      <c r="B1618" s="16" t="str">
        <f t="shared" si="123"/>
        <v>M/s SHREE VISHNU MINERALS</v>
      </c>
      <c r="C1618" s="16" t="str">
        <f t="shared" si="124"/>
        <v>Mokha Charnan / Kolayat / Bikaner</v>
      </c>
      <c r="D1618" s="4" t="s">
        <v>3032</v>
      </c>
      <c r="E1618" s="4" t="s">
        <v>3119</v>
      </c>
      <c r="F1618" s="5">
        <v>46027.999664351853</v>
      </c>
      <c r="G1618" s="16" t="str">
        <f t="shared" si="125"/>
        <v>Silica Sand</v>
      </c>
      <c r="H1618" s="4" t="s">
        <v>2604</v>
      </c>
      <c r="I1618" s="18" t="str" cm="1">
        <f t="array" ref="I1618">_xlfn.LET(_xlpm.text, D1618,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8" s="18" t="str" cm="1">
        <f t="array" ref="J1618">_xlfn.LET(_xlpm.text, E1618,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8" s="14">
        <f t="shared" si="126"/>
        <v>46028</v>
      </c>
      <c r="L1618" s="14">
        <f t="shared" si="127"/>
        <v>46028.624664351853</v>
      </c>
      <c r="N1618" s="12"/>
    </row>
    <row r="1619" spans="1:14" x14ac:dyDescent="0.25">
      <c r="A1619" s="4" t="s">
        <v>1649</v>
      </c>
      <c r="B1619" s="16" t="str">
        <f t="shared" si="123"/>
        <v>M/s SHREE VISHNU MINERALS</v>
      </c>
      <c r="C1619" s="16" t="str">
        <f t="shared" si="124"/>
        <v>Mokha Charnan / Kolayat / Bikaner</v>
      </c>
      <c r="D1619" s="4" t="s">
        <v>3032</v>
      </c>
      <c r="E1619" s="4" t="s">
        <v>3119</v>
      </c>
      <c r="F1619" s="5">
        <v>46029.999664351853</v>
      </c>
      <c r="G1619" s="16" t="str">
        <f t="shared" si="125"/>
        <v>Silica Sand</v>
      </c>
      <c r="H1619" s="4" t="s">
        <v>2661</v>
      </c>
      <c r="I1619" s="18" t="str" cm="1">
        <f t="array" ref="I1619">_xlfn.LET(_xlpm.text, D1619,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19" s="18" t="str" cm="1">
        <f t="array" ref="J1619">_xlfn.LET(_xlpm.text, E1619,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19" s="14">
        <f t="shared" si="126"/>
        <v>46030</v>
      </c>
      <c r="L1619" s="14">
        <f t="shared" si="127"/>
        <v>46030.624664351853</v>
      </c>
      <c r="N1619" s="12"/>
    </row>
    <row r="1620" spans="1:14" x14ac:dyDescent="0.25">
      <c r="A1620" s="4" t="s">
        <v>1650</v>
      </c>
      <c r="B1620" s="16" t="str">
        <f t="shared" si="123"/>
        <v>M/s SHREE VISHNU MINERALS</v>
      </c>
      <c r="C1620" s="16" t="str">
        <f t="shared" si="124"/>
        <v>Mokha Charnan / Kolayat / Bikaner</v>
      </c>
      <c r="D1620" s="4" t="s">
        <v>3032</v>
      </c>
      <c r="E1620" s="4" t="s">
        <v>3119</v>
      </c>
      <c r="F1620" s="5">
        <v>46029.999664351853</v>
      </c>
      <c r="G1620" s="16" t="str">
        <f t="shared" si="125"/>
        <v>Silica Sand</v>
      </c>
      <c r="H1620" s="4" t="s">
        <v>2582</v>
      </c>
      <c r="I1620" s="18" t="str" cm="1">
        <f t="array" ref="I1620">_xlfn.LET(_xlpm.text, D1620,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20" s="18" t="str" cm="1">
        <f t="array" ref="J1620">_xlfn.LET(_xlpm.text, E1620,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0" s="14">
        <f t="shared" si="126"/>
        <v>46030</v>
      </c>
      <c r="L1620" s="14">
        <f t="shared" si="127"/>
        <v>46030.624664351853</v>
      </c>
      <c r="N1620" s="12"/>
    </row>
    <row r="1621" spans="1:14" x14ac:dyDescent="0.25">
      <c r="A1621" s="4" t="s">
        <v>1651</v>
      </c>
      <c r="B1621" s="16" t="str">
        <f t="shared" si="123"/>
        <v>M/s SHREE VISHNU MINERALS</v>
      </c>
      <c r="C1621" s="16" t="str">
        <f t="shared" si="124"/>
        <v>Mokha Charnan / Kolayat / Bikaner</v>
      </c>
      <c r="D1621" s="4" t="s">
        <v>3032</v>
      </c>
      <c r="E1621" s="4" t="s">
        <v>3119</v>
      </c>
      <c r="F1621" s="5">
        <v>46029.999664351853</v>
      </c>
      <c r="G1621" s="16" t="str">
        <f t="shared" si="125"/>
        <v>Silica Sand</v>
      </c>
      <c r="H1621" s="4" t="s">
        <v>2895</v>
      </c>
      <c r="I1621" s="18" t="str" cm="1">
        <f t="array" ref="I1621">_xlfn.LET(_xlpm.text, D1621,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21" s="18" t="str" cm="1">
        <f t="array" ref="J1621">_xlfn.LET(_xlpm.text, E1621,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1" s="14">
        <f t="shared" si="126"/>
        <v>46030</v>
      </c>
      <c r="L1621" s="14">
        <f t="shared" si="127"/>
        <v>46030.624664351853</v>
      </c>
      <c r="N1621" s="12"/>
    </row>
    <row r="1622" spans="1:14" x14ac:dyDescent="0.25">
      <c r="A1622" s="4" t="s">
        <v>1652</v>
      </c>
      <c r="B1622" s="16" t="str">
        <f t="shared" si="123"/>
        <v>GUDHA ASSOCIATES</v>
      </c>
      <c r="C1622" s="16" t="str">
        <f t="shared" si="124"/>
        <v>Samorakhi / Kolayat / Bikaner</v>
      </c>
      <c r="D1622" s="4" t="s">
        <v>3031</v>
      </c>
      <c r="E1622" s="4" t="s">
        <v>3119</v>
      </c>
      <c r="F1622" s="5">
        <v>46029.999664351853</v>
      </c>
      <c r="G1622" s="16" t="str">
        <f t="shared" si="125"/>
        <v>Silica Sand</v>
      </c>
      <c r="H1622" s="4" t="s">
        <v>2930</v>
      </c>
      <c r="I1622" s="18" t="str" cm="1">
        <f t="array" ref="I1622">_xlfn.LET(_xlpm.text, D1622,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2" s="18" t="str" cm="1">
        <f t="array" ref="J1622">_xlfn.LET(_xlpm.text, E1622,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2" s="14">
        <f t="shared" si="126"/>
        <v>46030</v>
      </c>
      <c r="L1622" s="14">
        <f t="shared" si="127"/>
        <v>46030.624664351853</v>
      </c>
      <c r="N1622" s="12"/>
    </row>
    <row r="1623" spans="1:14" x14ac:dyDescent="0.25">
      <c r="A1623" s="4" t="s">
        <v>1653</v>
      </c>
      <c r="B1623" s="16" t="str">
        <f t="shared" si="123"/>
        <v>GUDHA ASSOCIATES</v>
      </c>
      <c r="C1623" s="16" t="str">
        <f t="shared" si="124"/>
        <v>Samorakhi / Kolayat / Bikaner</v>
      </c>
      <c r="D1623" s="4" t="s">
        <v>3031</v>
      </c>
      <c r="E1623" s="4" t="s">
        <v>3119</v>
      </c>
      <c r="F1623" s="5">
        <v>46029.999664351853</v>
      </c>
      <c r="G1623" s="16" t="str">
        <f t="shared" si="125"/>
        <v>Silica Sand</v>
      </c>
      <c r="H1623" s="4" t="s">
        <v>2931</v>
      </c>
      <c r="I1623" s="18" t="str" cm="1">
        <f t="array" ref="I1623">_xlfn.LET(_xlpm.text, D1623,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3" s="18" t="str" cm="1">
        <f t="array" ref="J1623">_xlfn.LET(_xlpm.text, E1623,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3" s="14">
        <f t="shared" si="126"/>
        <v>46030</v>
      </c>
      <c r="L1623" s="14">
        <f t="shared" si="127"/>
        <v>46030.624664351853</v>
      </c>
      <c r="N1623" s="12"/>
    </row>
    <row r="1624" spans="1:14" x14ac:dyDescent="0.25">
      <c r="A1624" s="4" t="s">
        <v>1654</v>
      </c>
      <c r="B1624" s="16" t="str">
        <f t="shared" si="123"/>
        <v>GUDHA ASSOCIATES</v>
      </c>
      <c r="C1624" s="16" t="str">
        <f t="shared" si="124"/>
        <v>Samorakhi / Kolayat / Bikaner</v>
      </c>
      <c r="D1624" s="4" t="s">
        <v>3031</v>
      </c>
      <c r="E1624" s="4" t="s">
        <v>3119</v>
      </c>
      <c r="F1624" s="5">
        <v>46029.999664351853</v>
      </c>
      <c r="G1624" s="16" t="str">
        <f t="shared" si="125"/>
        <v>Silica Sand</v>
      </c>
      <c r="H1624" s="4" t="s">
        <v>2931</v>
      </c>
      <c r="I1624" s="18" t="str" cm="1">
        <f t="array" ref="I1624">_xlfn.LET(_xlpm.text, D1624,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4" s="18" t="str" cm="1">
        <f t="array" ref="J1624">_xlfn.LET(_xlpm.text, E1624,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4" s="14">
        <f t="shared" si="126"/>
        <v>46030</v>
      </c>
      <c r="L1624" s="14">
        <f t="shared" si="127"/>
        <v>46030.624664351853</v>
      </c>
      <c r="N1624" s="12"/>
    </row>
    <row r="1625" spans="1:14" x14ac:dyDescent="0.25">
      <c r="A1625" s="4" t="s">
        <v>1655</v>
      </c>
      <c r="B1625" s="16" t="str">
        <f t="shared" si="123"/>
        <v>GUDHA ASSOCIATES</v>
      </c>
      <c r="C1625" s="16" t="str">
        <f t="shared" si="124"/>
        <v>Samorakhi / Kolayat / Bikaner</v>
      </c>
      <c r="D1625" s="4" t="s">
        <v>3031</v>
      </c>
      <c r="E1625" s="4" t="s">
        <v>3119</v>
      </c>
      <c r="F1625" s="5">
        <v>46029.999664351853</v>
      </c>
      <c r="G1625" s="16" t="str">
        <f t="shared" si="125"/>
        <v>Silica Sand</v>
      </c>
      <c r="H1625" s="4" t="s">
        <v>2932</v>
      </c>
      <c r="I1625" s="18" t="str" cm="1">
        <f t="array" ref="I1625">_xlfn.LET(_xlpm.text, D1625,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5" s="18" t="str" cm="1">
        <f t="array" ref="J1625">_xlfn.LET(_xlpm.text, E1625,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5" s="14">
        <f t="shared" si="126"/>
        <v>46030</v>
      </c>
      <c r="L1625" s="14">
        <f t="shared" si="127"/>
        <v>46030.624664351853</v>
      </c>
      <c r="N1625" s="12"/>
    </row>
    <row r="1626" spans="1:14" x14ac:dyDescent="0.25">
      <c r="A1626" s="4" t="s">
        <v>1656</v>
      </c>
      <c r="B1626" s="16" t="str">
        <f t="shared" si="123"/>
        <v>GUDHA ASSOCIATES</v>
      </c>
      <c r="C1626" s="16" t="str">
        <f t="shared" si="124"/>
        <v>Samorakhi / Kolayat / Bikaner</v>
      </c>
      <c r="D1626" s="4" t="s">
        <v>3031</v>
      </c>
      <c r="E1626" s="4" t="s">
        <v>3119</v>
      </c>
      <c r="F1626" s="5">
        <v>46029.999664351853</v>
      </c>
      <c r="G1626" s="16" t="str">
        <f t="shared" si="125"/>
        <v>Silica Sand</v>
      </c>
      <c r="H1626" s="4" t="s">
        <v>2933</v>
      </c>
      <c r="I1626" s="18" t="str" cm="1">
        <f t="array" ref="I1626">_xlfn.LET(_xlpm.text, D1626,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6" s="18" t="str" cm="1">
        <f t="array" ref="J1626">_xlfn.LET(_xlpm.text, E1626,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6" s="14">
        <f t="shared" si="126"/>
        <v>46030</v>
      </c>
      <c r="L1626" s="14">
        <f t="shared" si="127"/>
        <v>46030.624664351853</v>
      </c>
      <c r="N1626" s="12"/>
    </row>
    <row r="1627" spans="1:14" x14ac:dyDescent="0.25">
      <c r="A1627" s="4" t="s">
        <v>1657</v>
      </c>
      <c r="B1627" s="16" t="str">
        <f t="shared" si="123"/>
        <v>GUDHA ASSOCIATES</v>
      </c>
      <c r="C1627" s="16" t="str">
        <f t="shared" si="124"/>
        <v>Samorakhi / Kolayat / Bikaner</v>
      </c>
      <c r="D1627" s="4" t="s">
        <v>3031</v>
      </c>
      <c r="E1627" s="4" t="s">
        <v>3119</v>
      </c>
      <c r="F1627" s="5">
        <v>46029.999664351853</v>
      </c>
      <c r="G1627" s="16" t="str">
        <f t="shared" si="125"/>
        <v>Silica Sand</v>
      </c>
      <c r="H1627" s="4" t="s">
        <v>2934</v>
      </c>
      <c r="I1627" s="18" t="str" cm="1">
        <f t="array" ref="I1627">_xlfn.LET(_xlpm.text, D1627,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7" s="18" t="str" cm="1">
        <f t="array" ref="J1627">_xlfn.LET(_xlpm.text, E1627,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7" s="14">
        <f t="shared" si="126"/>
        <v>46030</v>
      </c>
      <c r="L1627" s="14">
        <f t="shared" si="127"/>
        <v>46030.624664351853</v>
      </c>
      <c r="N1627" s="12"/>
    </row>
    <row r="1628" spans="1:14" x14ac:dyDescent="0.25">
      <c r="A1628" s="4" t="s">
        <v>1658</v>
      </c>
      <c r="B1628" s="16" t="str">
        <f t="shared" si="123"/>
        <v>GUDHA ASSOCIATES</v>
      </c>
      <c r="C1628" s="16" t="str">
        <f t="shared" si="124"/>
        <v>Samorakhi / Kolayat / Bikaner</v>
      </c>
      <c r="D1628" s="4" t="s">
        <v>3031</v>
      </c>
      <c r="E1628" s="4" t="s">
        <v>3119</v>
      </c>
      <c r="F1628" s="5">
        <v>46029.999664351853</v>
      </c>
      <c r="G1628" s="16" t="str">
        <f t="shared" si="125"/>
        <v>Silica Sand</v>
      </c>
      <c r="H1628" s="4" t="s">
        <v>2935</v>
      </c>
      <c r="I1628" s="18" t="str" cm="1">
        <f t="array" ref="I1628">_xlfn.LET(_xlpm.text, D1628,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8" s="18" t="str" cm="1">
        <f t="array" ref="J1628">_xlfn.LET(_xlpm.text, E1628,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8" s="14">
        <f t="shared" si="126"/>
        <v>46030</v>
      </c>
      <c r="L1628" s="14">
        <f t="shared" si="127"/>
        <v>46030.624664351853</v>
      </c>
      <c r="N1628" s="12"/>
    </row>
    <row r="1629" spans="1:14" x14ac:dyDescent="0.25">
      <c r="A1629" s="4" t="s">
        <v>1659</v>
      </c>
      <c r="B1629" s="16" t="str">
        <f t="shared" si="123"/>
        <v>GUDHA ASSOCIATES</v>
      </c>
      <c r="C1629" s="16" t="str">
        <f t="shared" si="124"/>
        <v>Samorakhi / Kolayat / Bikaner</v>
      </c>
      <c r="D1629" s="4" t="s">
        <v>3031</v>
      </c>
      <c r="E1629" s="4" t="s">
        <v>3119</v>
      </c>
      <c r="F1629" s="5">
        <v>46029.999664351853</v>
      </c>
      <c r="G1629" s="16" t="str">
        <f t="shared" si="125"/>
        <v>Silica Sand</v>
      </c>
      <c r="H1629" s="4" t="s">
        <v>2936</v>
      </c>
      <c r="I1629" s="18" t="str" cm="1">
        <f t="array" ref="I1629">_xlfn.LET(_xlpm.text, D1629,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29" s="18" t="str" cm="1">
        <f t="array" ref="J1629">_xlfn.LET(_xlpm.text, E1629,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29" s="14">
        <f t="shared" si="126"/>
        <v>46030</v>
      </c>
      <c r="L1629" s="14">
        <f t="shared" si="127"/>
        <v>46030.624664351853</v>
      </c>
      <c r="N1629" s="12"/>
    </row>
    <row r="1630" spans="1:14" x14ac:dyDescent="0.25">
      <c r="A1630" s="4" t="s">
        <v>1660</v>
      </c>
      <c r="B1630" s="16" t="str">
        <f t="shared" si="123"/>
        <v>GUDHA ASSOCIATES</v>
      </c>
      <c r="C1630" s="16" t="str">
        <f t="shared" si="124"/>
        <v>Samorakhi / Kolayat / Bikaner</v>
      </c>
      <c r="D1630" s="4" t="s">
        <v>3031</v>
      </c>
      <c r="E1630" s="4" t="s">
        <v>3119</v>
      </c>
      <c r="F1630" s="5">
        <v>46029.999664351853</v>
      </c>
      <c r="G1630" s="16" t="str">
        <f t="shared" si="125"/>
        <v>Silica Sand</v>
      </c>
      <c r="H1630" s="4" t="s">
        <v>2937</v>
      </c>
      <c r="I1630" s="18" t="str" cm="1">
        <f t="array" ref="I1630">_xlfn.LET(_xlpm.text, D1630,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30" s="18" t="str" cm="1">
        <f t="array" ref="J1630">_xlfn.LET(_xlpm.text, E1630,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0" s="14">
        <f t="shared" si="126"/>
        <v>46030</v>
      </c>
      <c r="L1630" s="14">
        <f t="shared" si="127"/>
        <v>46030.624664351853</v>
      </c>
      <c r="N1630" s="12"/>
    </row>
    <row r="1631" spans="1:14" x14ac:dyDescent="0.25">
      <c r="A1631" s="4" t="s">
        <v>1661</v>
      </c>
      <c r="B1631" s="16" t="str">
        <f t="shared" si="123"/>
        <v>GUDHA ASSOCIATES</v>
      </c>
      <c r="C1631" s="16" t="str">
        <f t="shared" si="124"/>
        <v>Samorakhi / Kolayat / Bikaner</v>
      </c>
      <c r="D1631" s="4" t="s">
        <v>3031</v>
      </c>
      <c r="E1631" s="4" t="s">
        <v>3119</v>
      </c>
      <c r="F1631" s="5">
        <v>46029.999664351853</v>
      </c>
      <c r="G1631" s="16" t="str">
        <f t="shared" si="125"/>
        <v>Silica Sand</v>
      </c>
      <c r="H1631" s="4" t="s">
        <v>2687</v>
      </c>
      <c r="I1631" s="18" t="str" cm="1">
        <f t="array" ref="I1631">_xlfn.LET(_xlpm.text, D1631,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31" s="18" t="str" cm="1">
        <f t="array" ref="J1631">_xlfn.LET(_xlpm.text, E1631,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1" s="14">
        <f t="shared" si="126"/>
        <v>46030</v>
      </c>
      <c r="L1631" s="14">
        <f t="shared" si="127"/>
        <v>46030.624664351853</v>
      </c>
      <c r="N1631" s="12"/>
    </row>
    <row r="1632" spans="1:14" x14ac:dyDescent="0.25">
      <c r="A1632" s="4" t="s">
        <v>1662</v>
      </c>
      <c r="B1632" s="16" t="str">
        <f t="shared" si="123"/>
        <v>GUDHA ASSOCIATES</v>
      </c>
      <c r="C1632" s="16" t="str">
        <f t="shared" si="124"/>
        <v>Samorakhi / Kolayat / Bikaner</v>
      </c>
      <c r="D1632" s="4" t="s">
        <v>3031</v>
      </c>
      <c r="E1632" s="4" t="s">
        <v>3119</v>
      </c>
      <c r="F1632" s="5">
        <v>46029.999664351853</v>
      </c>
      <c r="G1632" s="16" t="str">
        <f t="shared" si="125"/>
        <v>Silica Sand</v>
      </c>
      <c r="H1632" s="4" t="s">
        <v>2938</v>
      </c>
      <c r="I1632" s="18" t="str" cm="1">
        <f t="array" ref="I1632">_xlfn.LET(_xlpm.text, D1632,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32" s="18" t="str" cm="1">
        <f t="array" ref="J1632">_xlfn.LET(_xlpm.text, E1632,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2" s="14">
        <f t="shared" si="126"/>
        <v>46030</v>
      </c>
      <c r="L1632" s="14">
        <f t="shared" si="127"/>
        <v>46030.624664351853</v>
      </c>
      <c r="N1632" s="12"/>
    </row>
    <row r="1633" spans="1:14" x14ac:dyDescent="0.25">
      <c r="A1633" s="4" t="s">
        <v>1663</v>
      </c>
      <c r="B1633" s="16" t="str">
        <f t="shared" si="123"/>
        <v>GUDHA ASSOCIATES</v>
      </c>
      <c r="C1633" s="16" t="str">
        <f t="shared" si="124"/>
        <v>Samorakhi / Kolayat / Bikaner</v>
      </c>
      <c r="D1633" s="4" t="s">
        <v>3031</v>
      </c>
      <c r="E1633" s="4" t="s">
        <v>3119</v>
      </c>
      <c r="F1633" s="5">
        <v>46029.999664351853</v>
      </c>
      <c r="G1633" s="16" t="str">
        <f t="shared" si="125"/>
        <v>Silica Sand</v>
      </c>
      <c r="H1633" s="4" t="s">
        <v>2939</v>
      </c>
      <c r="I1633" s="18" t="str" cm="1">
        <f t="array" ref="I1633">_xlfn.LET(_xlpm.text, D1633,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33" s="18" t="str" cm="1">
        <f t="array" ref="J1633">_xlfn.LET(_xlpm.text, E1633,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3" s="14">
        <f t="shared" si="126"/>
        <v>46030</v>
      </c>
      <c r="L1633" s="14">
        <f t="shared" si="127"/>
        <v>46030.624664351853</v>
      </c>
      <c r="N1633" s="12"/>
    </row>
    <row r="1634" spans="1:14" x14ac:dyDescent="0.25">
      <c r="A1634" s="4" t="s">
        <v>1664</v>
      </c>
      <c r="B1634" s="16" t="str">
        <f t="shared" si="123"/>
        <v>GUDHA ASSOCIATES</v>
      </c>
      <c r="C1634" s="16" t="str">
        <f t="shared" si="124"/>
        <v>Samorakhi / Kolayat / Bikaner</v>
      </c>
      <c r="D1634" s="4" t="s">
        <v>3031</v>
      </c>
      <c r="E1634" s="4" t="s">
        <v>3119</v>
      </c>
      <c r="F1634" s="5">
        <v>46029.999664351853</v>
      </c>
      <c r="G1634" s="16" t="str">
        <f t="shared" si="125"/>
        <v>Silica Sand</v>
      </c>
      <c r="H1634" s="4" t="s">
        <v>2940</v>
      </c>
      <c r="I1634" s="18" t="str" cm="1">
        <f t="array" ref="I1634">_xlfn.LET(_xlpm.text, D1634,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34" s="18" t="str" cm="1">
        <f t="array" ref="J1634">_xlfn.LET(_xlpm.text, E1634,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4" s="14">
        <f t="shared" si="126"/>
        <v>46030</v>
      </c>
      <c r="L1634" s="14">
        <f t="shared" si="127"/>
        <v>46030.624664351853</v>
      </c>
      <c r="N1634" s="12"/>
    </row>
    <row r="1635" spans="1:14" x14ac:dyDescent="0.25">
      <c r="A1635" s="4" t="s">
        <v>1665</v>
      </c>
      <c r="B1635" s="16" t="str">
        <f t="shared" si="123"/>
        <v>GUDHA ASSOCIATES</v>
      </c>
      <c r="C1635" s="16" t="str">
        <f t="shared" si="124"/>
        <v>Samorakhi / Kolayat / Bikaner</v>
      </c>
      <c r="D1635" s="4" t="s">
        <v>3031</v>
      </c>
      <c r="E1635" s="4" t="s">
        <v>3119</v>
      </c>
      <c r="F1635" s="5">
        <v>46029.999664351853</v>
      </c>
      <c r="G1635" s="16" t="str">
        <f t="shared" si="125"/>
        <v>Silica Sand</v>
      </c>
      <c r="H1635" s="4" t="s">
        <v>2941</v>
      </c>
      <c r="I1635" s="18" t="str" cm="1">
        <f t="array" ref="I1635">_xlfn.LET(_xlpm.text, D1635,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35" s="18" t="str" cm="1">
        <f t="array" ref="J1635">_xlfn.LET(_xlpm.text, E1635,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5" s="14">
        <f t="shared" si="126"/>
        <v>46030</v>
      </c>
      <c r="L1635" s="14">
        <f t="shared" si="127"/>
        <v>46030.624664351853</v>
      </c>
      <c r="N1635" s="12"/>
    </row>
    <row r="1636" spans="1:14" x14ac:dyDescent="0.25">
      <c r="A1636" s="4" t="s">
        <v>1666</v>
      </c>
      <c r="B1636" s="16" t="str">
        <f t="shared" si="123"/>
        <v>MANOJ NAYAK</v>
      </c>
      <c r="C1636" s="16" t="str">
        <f t="shared" si="124"/>
        <v>Gangapura Chak No.7 / Kolayat / Bikaner</v>
      </c>
      <c r="D1636" s="4" t="s">
        <v>3033</v>
      </c>
      <c r="E1636" s="4" t="s">
        <v>3119</v>
      </c>
      <c r="F1636" s="5">
        <v>46029.999664351853</v>
      </c>
      <c r="G1636" s="16" t="str">
        <f t="shared" si="125"/>
        <v>Silica Sand</v>
      </c>
      <c r="H1636" s="4" t="s">
        <v>2942</v>
      </c>
      <c r="I1636" s="18" t="str" cm="1">
        <f t="array" ref="I1636">_xlfn.LET(_xlpm.text, D1636,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36" s="18" t="str" cm="1">
        <f t="array" ref="J1636">_xlfn.LET(_xlpm.text, E1636,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6" s="14">
        <f t="shared" si="126"/>
        <v>46030</v>
      </c>
      <c r="L1636" s="14">
        <f t="shared" si="127"/>
        <v>46030.624664351853</v>
      </c>
      <c r="N1636" s="12"/>
    </row>
    <row r="1637" spans="1:14" x14ac:dyDescent="0.25">
      <c r="A1637" s="4" t="s">
        <v>1667</v>
      </c>
      <c r="B1637" s="16" t="str">
        <f t="shared" si="123"/>
        <v>MANOJ NAYAK</v>
      </c>
      <c r="C1637" s="16" t="str">
        <f t="shared" si="124"/>
        <v>Gangapura Chak No.7 / Kolayat / Bikaner</v>
      </c>
      <c r="D1637" s="4" t="s">
        <v>3033</v>
      </c>
      <c r="E1637" s="4" t="s">
        <v>3119</v>
      </c>
      <c r="F1637" s="5">
        <v>46029.999664351853</v>
      </c>
      <c r="G1637" s="16" t="str">
        <f t="shared" si="125"/>
        <v>Silica Sand</v>
      </c>
      <c r="H1637" s="4" t="s">
        <v>2943</v>
      </c>
      <c r="I1637" s="18" t="str" cm="1">
        <f t="array" ref="I1637">_xlfn.LET(_xlpm.text, D1637,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37" s="18" t="str" cm="1">
        <f t="array" ref="J1637">_xlfn.LET(_xlpm.text, E1637,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7" s="14">
        <f t="shared" si="126"/>
        <v>46030</v>
      </c>
      <c r="L1637" s="14">
        <f t="shared" si="127"/>
        <v>46030.624664351853</v>
      </c>
      <c r="N1637" s="12"/>
    </row>
    <row r="1638" spans="1:14" x14ac:dyDescent="0.25">
      <c r="A1638" s="4" t="s">
        <v>1668</v>
      </c>
      <c r="B1638" s="16" t="str">
        <f t="shared" si="123"/>
        <v>MANOJ NAYAK</v>
      </c>
      <c r="C1638" s="16" t="str">
        <f t="shared" si="124"/>
        <v>Gangapura Chak No.7 / Kolayat / Bikaner</v>
      </c>
      <c r="D1638" s="4" t="s">
        <v>3033</v>
      </c>
      <c r="E1638" s="4" t="s">
        <v>3119</v>
      </c>
      <c r="F1638" s="5">
        <v>46029.999664351853</v>
      </c>
      <c r="G1638" s="16" t="str">
        <f t="shared" si="125"/>
        <v>Silica Sand</v>
      </c>
      <c r="H1638" s="4" t="s">
        <v>2944</v>
      </c>
      <c r="I1638" s="18" t="str" cm="1">
        <f t="array" ref="I1638">_xlfn.LET(_xlpm.text, D1638,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38" s="18" t="str" cm="1">
        <f t="array" ref="J1638">_xlfn.LET(_xlpm.text, E1638,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8" s="14">
        <f t="shared" si="126"/>
        <v>46030</v>
      </c>
      <c r="L1638" s="14">
        <f t="shared" si="127"/>
        <v>46030.624664351853</v>
      </c>
      <c r="N1638" s="12"/>
    </row>
    <row r="1639" spans="1:14" x14ac:dyDescent="0.25">
      <c r="A1639" s="4" t="s">
        <v>1669</v>
      </c>
      <c r="B1639" s="16" t="str">
        <f t="shared" si="123"/>
        <v>MANOJ NAYAK</v>
      </c>
      <c r="C1639" s="16" t="str">
        <f t="shared" si="124"/>
        <v>Gangapura Chak No.7 / Kolayat / Bikaner</v>
      </c>
      <c r="D1639" s="4" t="s">
        <v>3033</v>
      </c>
      <c r="E1639" s="4" t="s">
        <v>3119</v>
      </c>
      <c r="F1639" s="5">
        <v>46029.999664351853</v>
      </c>
      <c r="G1639" s="16" t="str">
        <f t="shared" si="125"/>
        <v>Silica Sand</v>
      </c>
      <c r="H1639" s="4" t="s">
        <v>2945</v>
      </c>
      <c r="I1639" s="18" t="str" cm="1">
        <f t="array" ref="I1639">_xlfn.LET(_xlpm.text, D1639,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39" s="18" t="str" cm="1">
        <f t="array" ref="J1639">_xlfn.LET(_xlpm.text, E1639,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39" s="14">
        <f t="shared" si="126"/>
        <v>46030</v>
      </c>
      <c r="L1639" s="14">
        <f t="shared" si="127"/>
        <v>46030.624664351853</v>
      </c>
      <c r="N1639" s="12"/>
    </row>
    <row r="1640" spans="1:14" x14ac:dyDescent="0.25">
      <c r="A1640" s="4" t="s">
        <v>1670</v>
      </c>
      <c r="B1640" s="16" t="str">
        <f t="shared" si="123"/>
        <v>MANOJ NAYAK</v>
      </c>
      <c r="C1640" s="16" t="str">
        <f t="shared" si="124"/>
        <v>Gangapura Chak No.7 / Kolayat / Bikaner</v>
      </c>
      <c r="D1640" s="4" t="s">
        <v>3033</v>
      </c>
      <c r="E1640" s="4" t="s">
        <v>3119</v>
      </c>
      <c r="F1640" s="5">
        <v>46029.999664351853</v>
      </c>
      <c r="G1640" s="16" t="str">
        <f t="shared" si="125"/>
        <v>Silica Sand</v>
      </c>
      <c r="H1640" s="4" t="s">
        <v>2946</v>
      </c>
      <c r="I1640" s="18" t="str" cm="1">
        <f t="array" ref="I1640">_xlfn.LET(_xlpm.text, D1640,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40" s="18" t="str" cm="1">
        <f t="array" ref="J1640">_xlfn.LET(_xlpm.text, E1640,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0" s="14">
        <f t="shared" si="126"/>
        <v>46030</v>
      </c>
      <c r="L1640" s="14">
        <f t="shared" si="127"/>
        <v>46030.624664351853</v>
      </c>
      <c r="N1640" s="12"/>
    </row>
    <row r="1641" spans="1:14" x14ac:dyDescent="0.25">
      <c r="A1641" s="4" t="s">
        <v>1671</v>
      </c>
      <c r="B1641" s="16" t="str">
        <f t="shared" si="123"/>
        <v>MANOJ NAYAK</v>
      </c>
      <c r="C1641" s="16" t="str">
        <f t="shared" si="124"/>
        <v>Gangapura Chak No.7 / Kolayat / Bikaner</v>
      </c>
      <c r="D1641" s="4" t="s">
        <v>3033</v>
      </c>
      <c r="E1641" s="4" t="s">
        <v>3119</v>
      </c>
      <c r="F1641" s="5">
        <v>46029.999664351853</v>
      </c>
      <c r="G1641" s="16" t="str">
        <f t="shared" si="125"/>
        <v>Silica Sand</v>
      </c>
      <c r="H1641" s="4" t="s">
        <v>2946</v>
      </c>
      <c r="I1641" s="18" t="str" cm="1">
        <f t="array" ref="I1641">_xlfn.LET(_xlpm.text, D1641,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41" s="18" t="str" cm="1">
        <f t="array" ref="J1641">_xlfn.LET(_xlpm.text, E1641,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1" s="14">
        <f t="shared" si="126"/>
        <v>46030</v>
      </c>
      <c r="L1641" s="14">
        <f t="shared" si="127"/>
        <v>46030.624664351853</v>
      </c>
      <c r="N1641" s="12"/>
    </row>
    <row r="1642" spans="1:14" x14ac:dyDescent="0.25">
      <c r="A1642" s="4" t="s">
        <v>1672</v>
      </c>
      <c r="B1642" s="16" t="str">
        <f t="shared" si="123"/>
        <v>MANOJ NAYAK</v>
      </c>
      <c r="C1642" s="16" t="str">
        <f t="shared" si="124"/>
        <v>Gangapura Chak No.7 / Kolayat / Bikaner</v>
      </c>
      <c r="D1642" s="4" t="s">
        <v>3033</v>
      </c>
      <c r="E1642" s="4" t="s">
        <v>3119</v>
      </c>
      <c r="F1642" s="5">
        <v>46029.999664351853</v>
      </c>
      <c r="G1642" s="16" t="str">
        <f t="shared" si="125"/>
        <v>Silica Sand</v>
      </c>
      <c r="H1642" s="4" t="s">
        <v>2947</v>
      </c>
      <c r="I1642" s="18" t="str" cm="1">
        <f t="array" ref="I1642">_xlfn.LET(_xlpm.text, D1642,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42" s="18" t="str" cm="1">
        <f t="array" ref="J1642">_xlfn.LET(_xlpm.text, E1642,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2" s="14">
        <f t="shared" si="126"/>
        <v>46030</v>
      </c>
      <c r="L1642" s="14">
        <f t="shared" si="127"/>
        <v>46030.624664351853</v>
      </c>
      <c r="N1642" s="12"/>
    </row>
    <row r="1643" spans="1:14" x14ac:dyDescent="0.25">
      <c r="A1643" s="4" t="s">
        <v>1673</v>
      </c>
      <c r="B1643" s="16" t="str">
        <f t="shared" si="123"/>
        <v>S.R.MINES AND MINERLS</v>
      </c>
      <c r="C1643" s="16" t="str">
        <f t="shared" si="124"/>
        <v>Indo Ka Bala / Kolayat / Bikaner</v>
      </c>
      <c r="D1643" s="4" t="s">
        <v>3031</v>
      </c>
      <c r="E1643" s="4" t="s">
        <v>3119</v>
      </c>
      <c r="F1643" s="5">
        <v>46030.999664351853</v>
      </c>
      <c r="G1643" s="16" t="str">
        <f t="shared" si="125"/>
        <v>Silica Sand</v>
      </c>
      <c r="H1643" s="4" t="s">
        <v>2948</v>
      </c>
      <c r="I1643" s="18" t="str" cm="1">
        <f t="array" ref="I1643">_xlfn.LET(_xlpm.text, D1643,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3" s="18" t="str" cm="1">
        <f t="array" ref="J1643">_xlfn.LET(_xlpm.text, E1643,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3" s="14">
        <f t="shared" si="126"/>
        <v>46031</v>
      </c>
      <c r="L1643" s="14">
        <f t="shared" si="127"/>
        <v>46031.624664351853</v>
      </c>
      <c r="N1643" s="12"/>
    </row>
    <row r="1644" spans="1:14" x14ac:dyDescent="0.25">
      <c r="A1644" s="4" t="s">
        <v>1674</v>
      </c>
      <c r="B1644" s="16" t="str">
        <f t="shared" si="123"/>
        <v>S.R.MINES AND MINERLS</v>
      </c>
      <c r="C1644" s="16" t="str">
        <f t="shared" si="124"/>
        <v>Indo Ka Bala / Kolayat / Bikaner</v>
      </c>
      <c r="D1644" s="4" t="s">
        <v>3031</v>
      </c>
      <c r="E1644" s="4" t="s">
        <v>3119</v>
      </c>
      <c r="F1644" s="5">
        <v>46030.999664351853</v>
      </c>
      <c r="G1644" s="16" t="str">
        <f t="shared" si="125"/>
        <v>Silica Sand</v>
      </c>
      <c r="H1644" s="4" t="s">
        <v>2949</v>
      </c>
      <c r="I1644" s="18" t="str" cm="1">
        <f t="array" ref="I1644">_xlfn.LET(_xlpm.text, D1644,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4" s="18" t="str" cm="1">
        <f t="array" ref="J1644">_xlfn.LET(_xlpm.text, E1644,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4" s="14">
        <f t="shared" si="126"/>
        <v>46031</v>
      </c>
      <c r="L1644" s="14">
        <f t="shared" si="127"/>
        <v>46031.624664351853</v>
      </c>
      <c r="N1644" s="12"/>
    </row>
    <row r="1645" spans="1:14" x14ac:dyDescent="0.25">
      <c r="A1645" s="4" t="s">
        <v>1675</v>
      </c>
      <c r="B1645" s="16" t="str">
        <f t="shared" si="123"/>
        <v>S.R.MINES AND MINERLS</v>
      </c>
      <c r="C1645" s="16" t="str">
        <f t="shared" si="124"/>
        <v>Indo Ka Bala / Kolayat / Bikaner</v>
      </c>
      <c r="D1645" s="4" t="s">
        <v>3031</v>
      </c>
      <c r="E1645" s="4" t="s">
        <v>3119</v>
      </c>
      <c r="F1645" s="5">
        <v>46030.999664351853</v>
      </c>
      <c r="G1645" s="16" t="str">
        <f t="shared" si="125"/>
        <v>Silica Sand</v>
      </c>
      <c r="H1645" s="4" t="s">
        <v>2950</v>
      </c>
      <c r="I1645" s="18" t="str" cm="1">
        <f t="array" ref="I1645">_xlfn.LET(_xlpm.text, D1645,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5" s="18" t="str" cm="1">
        <f t="array" ref="J1645">_xlfn.LET(_xlpm.text, E1645,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5" s="14">
        <f t="shared" si="126"/>
        <v>46031</v>
      </c>
      <c r="L1645" s="14">
        <f t="shared" si="127"/>
        <v>46031.624664351853</v>
      </c>
      <c r="N1645" s="12"/>
    </row>
    <row r="1646" spans="1:14" x14ac:dyDescent="0.25">
      <c r="A1646" s="4" t="s">
        <v>1676</v>
      </c>
      <c r="B1646" s="16" t="str">
        <f t="shared" si="123"/>
        <v>S.R.MINES AND MINERLS</v>
      </c>
      <c r="C1646" s="16" t="str">
        <f t="shared" si="124"/>
        <v>Indo Ka Bala / Kolayat / Bikaner</v>
      </c>
      <c r="D1646" s="4" t="s">
        <v>3031</v>
      </c>
      <c r="E1646" s="4" t="s">
        <v>3119</v>
      </c>
      <c r="F1646" s="5">
        <v>46030.999664351853</v>
      </c>
      <c r="G1646" s="16" t="str">
        <f t="shared" si="125"/>
        <v>Silica Sand</v>
      </c>
      <c r="H1646" s="4" t="s">
        <v>2951</v>
      </c>
      <c r="I1646" s="18" t="str" cm="1">
        <f t="array" ref="I1646">_xlfn.LET(_xlpm.text, D1646,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6" s="18" t="str" cm="1">
        <f t="array" ref="J1646">_xlfn.LET(_xlpm.text, E1646,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6" s="14">
        <f t="shared" si="126"/>
        <v>46031</v>
      </c>
      <c r="L1646" s="14">
        <f t="shared" si="127"/>
        <v>46031.624664351853</v>
      </c>
      <c r="N1646" s="12"/>
    </row>
    <row r="1647" spans="1:14" x14ac:dyDescent="0.25">
      <c r="A1647" s="4" t="s">
        <v>1677</v>
      </c>
      <c r="B1647" s="16" t="str">
        <f t="shared" si="123"/>
        <v>S.R.MINES AND MINERLS</v>
      </c>
      <c r="C1647" s="16" t="str">
        <f t="shared" si="124"/>
        <v>Indo Ka Bala / Kolayat / Bikaner</v>
      </c>
      <c r="D1647" s="4" t="s">
        <v>3031</v>
      </c>
      <c r="E1647" s="4" t="s">
        <v>3119</v>
      </c>
      <c r="F1647" s="5">
        <v>46030.999664351853</v>
      </c>
      <c r="G1647" s="16" t="str">
        <f t="shared" si="125"/>
        <v>Silica Sand</v>
      </c>
      <c r="H1647" s="4" t="s">
        <v>2952</v>
      </c>
      <c r="I1647" s="18" t="str" cm="1">
        <f t="array" ref="I1647">_xlfn.LET(_xlpm.text, D1647,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7" s="18" t="str" cm="1">
        <f t="array" ref="J1647">_xlfn.LET(_xlpm.text, E1647,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7" s="14">
        <f t="shared" si="126"/>
        <v>46031</v>
      </c>
      <c r="L1647" s="14">
        <f t="shared" si="127"/>
        <v>46031.624664351853</v>
      </c>
      <c r="N1647" s="12"/>
    </row>
    <row r="1648" spans="1:14" x14ac:dyDescent="0.25">
      <c r="A1648" s="4" t="s">
        <v>1678</v>
      </c>
      <c r="B1648" s="16" t="str">
        <f t="shared" si="123"/>
        <v>S.R.MINES AND MINERLS</v>
      </c>
      <c r="C1648" s="16" t="str">
        <f t="shared" si="124"/>
        <v>Indo Ka Bala / Kolayat / Bikaner</v>
      </c>
      <c r="D1648" s="4" t="s">
        <v>3031</v>
      </c>
      <c r="E1648" s="4" t="s">
        <v>3119</v>
      </c>
      <c r="F1648" s="5">
        <v>46030.999664351853</v>
      </c>
      <c r="G1648" s="16" t="str">
        <f t="shared" si="125"/>
        <v>Silica Sand</v>
      </c>
      <c r="H1648" s="4" t="s">
        <v>2953</v>
      </c>
      <c r="I1648" s="18" t="str" cm="1">
        <f t="array" ref="I1648">_xlfn.LET(_xlpm.text, D1648,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8" s="18" t="str" cm="1">
        <f t="array" ref="J1648">_xlfn.LET(_xlpm.text, E1648,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8" s="14">
        <f t="shared" si="126"/>
        <v>46031</v>
      </c>
      <c r="L1648" s="14">
        <f t="shared" si="127"/>
        <v>46031.624664351853</v>
      </c>
      <c r="N1648" s="12"/>
    </row>
    <row r="1649" spans="1:14" x14ac:dyDescent="0.25">
      <c r="A1649" s="4" t="s">
        <v>1679</v>
      </c>
      <c r="B1649" s="16" t="str">
        <f t="shared" si="123"/>
        <v>S.R.MINES AND MINERLS</v>
      </c>
      <c r="C1649" s="16" t="str">
        <f t="shared" si="124"/>
        <v>Indo Ka Bala / Kolayat / Bikaner</v>
      </c>
      <c r="D1649" s="4" t="s">
        <v>3031</v>
      </c>
      <c r="E1649" s="4" t="s">
        <v>3119</v>
      </c>
      <c r="F1649" s="5">
        <v>46030.999664351853</v>
      </c>
      <c r="G1649" s="16" t="str">
        <f t="shared" si="125"/>
        <v>Silica Sand</v>
      </c>
      <c r="H1649" s="4" t="s">
        <v>2954</v>
      </c>
      <c r="I1649" s="18" t="str" cm="1">
        <f t="array" ref="I1649">_xlfn.LET(_xlpm.text, D1649,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49" s="18" t="str" cm="1">
        <f t="array" ref="J1649">_xlfn.LET(_xlpm.text, E1649,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49" s="14">
        <f t="shared" si="126"/>
        <v>46031</v>
      </c>
      <c r="L1649" s="14">
        <f t="shared" si="127"/>
        <v>46031.624664351853</v>
      </c>
      <c r="N1649" s="12"/>
    </row>
    <row r="1650" spans="1:14" x14ac:dyDescent="0.25">
      <c r="A1650" s="4" t="s">
        <v>1680</v>
      </c>
      <c r="B1650" s="16" t="str">
        <f t="shared" si="123"/>
        <v>S.R.MINES AND MINERLS</v>
      </c>
      <c r="C1650" s="16" t="str">
        <f t="shared" si="124"/>
        <v>Indo Ka Bala / Kolayat / Bikaner</v>
      </c>
      <c r="D1650" s="4" t="s">
        <v>3031</v>
      </c>
      <c r="E1650" s="4" t="s">
        <v>3119</v>
      </c>
      <c r="F1650" s="5">
        <v>46030.999664351853</v>
      </c>
      <c r="G1650" s="16" t="str">
        <f t="shared" si="125"/>
        <v>Silica Sand</v>
      </c>
      <c r="H1650" s="4" t="s">
        <v>2955</v>
      </c>
      <c r="I1650" s="18" t="str" cm="1">
        <f t="array" ref="I1650">_xlfn.LET(_xlpm.text, D1650,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650" s="18" t="str" cm="1">
        <f t="array" ref="J1650">_xlfn.LET(_xlpm.text, E1650,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0" s="14">
        <f t="shared" si="126"/>
        <v>46031</v>
      </c>
      <c r="L1650" s="14">
        <f t="shared" si="127"/>
        <v>46031.624664351853</v>
      </c>
      <c r="N1650" s="12"/>
    </row>
    <row r="1651" spans="1:14" x14ac:dyDescent="0.25">
      <c r="A1651" s="4" t="s">
        <v>1681</v>
      </c>
      <c r="B1651" s="16" t="str">
        <f t="shared" si="123"/>
        <v>M/s SHREE VISHNU MINERALS</v>
      </c>
      <c r="C1651" s="16" t="str">
        <f t="shared" si="124"/>
        <v>Mokha Charnan / Kolayat / Bikaner</v>
      </c>
      <c r="D1651" s="4" t="s">
        <v>3032</v>
      </c>
      <c r="E1651" s="4" t="s">
        <v>3119</v>
      </c>
      <c r="F1651" s="5">
        <v>46030.999664351853</v>
      </c>
      <c r="G1651" s="16" t="str">
        <f t="shared" si="125"/>
        <v>Silica Sand</v>
      </c>
      <c r="H1651" s="4" t="s">
        <v>2661</v>
      </c>
      <c r="I1651" s="18" t="str" cm="1">
        <f t="array" ref="I1651">_xlfn.LET(_xlpm.text, D1651,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51" s="18" t="str" cm="1">
        <f t="array" ref="J1651">_xlfn.LET(_xlpm.text, E1651,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1" s="14">
        <f t="shared" si="126"/>
        <v>46031</v>
      </c>
      <c r="L1651" s="14">
        <f t="shared" si="127"/>
        <v>46031.624664351853</v>
      </c>
      <c r="N1651" s="12"/>
    </row>
    <row r="1652" spans="1:14" x14ac:dyDescent="0.25">
      <c r="A1652" s="4" t="s">
        <v>1682</v>
      </c>
      <c r="B1652" s="16" t="str">
        <f t="shared" si="123"/>
        <v>MANOJ NAYAK</v>
      </c>
      <c r="C1652" s="16" t="str">
        <f t="shared" si="124"/>
        <v>Gangapura Chak No.7 / Kolayat / Bikaner</v>
      </c>
      <c r="D1652" s="4" t="s">
        <v>3033</v>
      </c>
      <c r="E1652" s="4" t="s">
        <v>3119</v>
      </c>
      <c r="F1652" s="5">
        <v>46030.999664351853</v>
      </c>
      <c r="G1652" s="16" t="str">
        <f t="shared" si="125"/>
        <v>Silica Sand</v>
      </c>
      <c r="H1652" s="4" t="s">
        <v>2956</v>
      </c>
      <c r="I1652" s="18" t="str" cm="1">
        <f t="array" ref="I1652">_xlfn.LET(_xlpm.text, D1652,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652" s="18" t="str" cm="1">
        <f t="array" ref="J1652">_xlfn.LET(_xlpm.text, E1652,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2" s="14">
        <f t="shared" si="126"/>
        <v>46031</v>
      </c>
      <c r="L1652" s="14">
        <f t="shared" si="127"/>
        <v>46031.624664351853</v>
      </c>
      <c r="N1652" s="12"/>
    </row>
    <row r="1653" spans="1:14" x14ac:dyDescent="0.25">
      <c r="A1653" s="4" t="s">
        <v>1683</v>
      </c>
      <c r="B1653" s="16" t="str">
        <f t="shared" si="123"/>
        <v>M/s SHREE VISHNU MINERALS</v>
      </c>
      <c r="C1653" s="16" t="str">
        <f t="shared" si="124"/>
        <v>Mokha Charnan / Kolayat / Bikaner</v>
      </c>
      <c r="D1653" s="4" t="s">
        <v>3032</v>
      </c>
      <c r="E1653" s="4" t="s">
        <v>3119</v>
      </c>
      <c r="F1653" s="5">
        <v>46031.999664351853</v>
      </c>
      <c r="G1653" s="16" t="str">
        <f t="shared" si="125"/>
        <v>Silica Sand</v>
      </c>
      <c r="H1653" s="4" t="s">
        <v>2661</v>
      </c>
      <c r="I1653" s="18" t="str" cm="1">
        <f t="array" ref="I1653">_xlfn.LET(_xlpm.text, D1653,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53" s="18" t="str" cm="1">
        <f t="array" ref="J1653">_xlfn.LET(_xlpm.text, E1653,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3" s="14">
        <f t="shared" si="126"/>
        <v>46032</v>
      </c>
      <c r="L1653" s="14">
        <f t="shared" si="127"/>
        <v>46032.624664351853</v>
      </c>
      <c r="N1653" s="12"/>
    </row>
    <row r="1654" spans="1:14" x14ac:dyDescent="0.25">
      <c r="A1654" s="4" t="s">
        <v>1684</v>
      </c>
      <c r="B1654" s="16" t="str">
        <f t="shared" si="123"/>
        <v>M/s SHREE VISHNU MINERALS</v>
      </c>
      <c r="C1654" s="16" t="str">
        <f t="shared" si="124"/>
        <v>Mokha Charnan / Kolayat / Bikaner</v>
      </c>
      <c r="D1654" s="4" t="s">
        <v>3032</v>
      </c>
      <c r="E1654" s="4" t="s">
        <v>3119</v>
      </c>
      <c r="F1654" s="5">
        <v>46031.999664351853</v>
      </c>
      <c r="G1654" s="16" t="str">
        <f t="shared" si="125"/>
        <v>Silica Sand</v>
      </c>
      <c r="H1654" s="4" t="s">
        <v>2661</v>
      </c>
      <c r="I1654" s="18" t="str" cm="1">
        <f t="array" ref="I1654">_xlfn.LET(_xlpm.text, D1654,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54" s="18" t="str" cm="1">
        <f t="array" ref="J1654">_xlfn.LET(_xlpm.text, E1654,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4" s="14">
        <f t="shared" si="126"/>
        <v>46032</v>
      </c>
      <c r="L1654" s="14">
        <f t="shared" si="127"/>
        <v>46032.624664351853</v>
      </c>
      <c r="N1654" s="12"/>
    </row>
    <row r="1655" spans="1:14" x14ac:dyDescent="0.25">
      <c r="A1655" s="4" t="s">
        <v>1685</v>
      </c>
      <c r="B1655" s="16" t="str">
        <f t="shared" si="123"/>
        <v>M/s SHREE VISHNU MINERALS</v>
      </c>
      <c r="C1655" s="16" t="str">
        <f t="shared" si="124"/>
        <v>Mokha Charnan / Kolayat / Bikaner</v>
      </c>
      <c r="D1655" s="4" t="s">
        <v>3032</v>
      </c>
      <c r="E1655" s="4" t="s">
        <v>3119</v>
      </c>
      <c r="F1655" s="5">
        <v>46032.999664351853</v>
      </c>
      <c r="G1655" s="16" t="str">
        <f t="shared" si="125"/>
        <v>Silica Sand</v>
      </c>
      <c r="H1655" s="4" t="s">
        <v>2661</v>
      </c>
      <c r="I1655" s="18" t="str" cm="1">
        <f t="array" ref="I1655">_xlfn.LET(_xlpm.text, D1655,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655" s="18" t="str" cm="1">
        <f t="array" ref="J1655">_xlfn.LET(_xlpm.text, E1655,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5" s="14">
        <f t="shared" si="126"/>
        <v>46033</v>
      </c>
      <c r="L1655" s="14">
        <f t="shared" si="127"/>
        <v>46033.624664351853</v>
      </c>
      <c r="N1655" s="12"/>
    </row>
    <row r="1656" spans="1:14" x14ac:dyDescent="0.25">
      <c r="A1656" s="4" t="s">
        <v>1686</v>
      </c>
      <c r="B1656" s="16" t="str">
        <f t="shared" si="123"/>
        <v>M/s SHREE VISHNU MINERALS</v>
      </c>
      <c r="C1656" s="16" t="str">
        <f t="shared" si="124"/>
        <v>Mokha Charnan / Kolayat / Bikaner</v>
      </c>
      <c r="D1656" s="4" t="s">
        <v>3034</v>
      </c>
      <c r="E1656" s="4" t="s">
        <v>3119</v>
      </c>
      <c r="F1656" s="5">
        <v>46026.999664351853</v>
      </c>
      <c r="G1656" s="16" t="str">
        <f t="shared" si="125"/>
        <v>Silica Sand</v>
      </c>
      <c r="H1656" s="4" t="s">
        <v>2882</v>
      </c>
      <c r="I1656" s="18" t="str" cm="1">
        <f t="array" ref="I1656">_xlfn.LET(_xlpm.text, D1656,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56" s="18" t="str" cm="1">
        <f t="array" ref="J1656">_xlfn.LET(_xlpm.text, E1656,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6" s="14">
        <f t="shared" si="126"/>
        <v>46027</v>
      </c>
      <c r="L1656" s="14">
        <f t="shared" si="127"/>
        <v>46027.624664351853</v>
      </c>
      <c r="N1656" s="12"/>
    </row>
    <row r="1657" spans="1:14" x14ac:dyDescent="0.25">
      <c r="A1657" s="4" t="s">
        <v>1687</v>
      </c>
      <c r="B1657" s="16" t="str">
        <f t="shared" si="123"/>
        <v>M/s SHREE VISHNU MINERALS</v>
      </c>
      <c r="C1657" s="16" t="str">
        <f t="shared" si="124"/>
        <v>Mokha Charnan / Kolayat / Bikaner</v>
      </c>
      <c r="D1657" s="4" t="s">
        <v>3034</v>
      </c>
      <c r="E1657" s="4" t="s">
        <v>3119</v>
      </c>
      <c r="F1657" s="5">
        <v>46029.999664351853</v>
      </c>
      <c r="G1657" s="16" t="str">
        <f t="shared" si="125"/>
        <v>Silica Sand</v>
      </c>
      <c r="H1657" s="4" t="s">
        <v>2882</v>
      </c>
      <c r="I1657" s="18" t="str" cm="1">
        <f t="array" ref="I1657">_xlfn.LET(_xlpm.text, D1657,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57" s="18" t="str" cm="1">
        <f t="array" ref="J1657">_xlfn.LET(_xlpm.text, E1657,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7" s="14">
        <f t="shared" si="126"/>
        <v>46030</v>
      </c>
      <c r="L1657" s="14">
        <f t="shared" si="127"/>
        <v>46030.624664351853</v>
      </c>
      <c r="N1657" s="12"/>
    </row>
    <row r="1658" spans="1:14" x14ac:dyDescent="0.25">
      <c r="A1658" s="4" t="s">
        <v>1688</v>
      </c>
      <c r="B1658" s="16" t="str">
        <f t="shared" si="123"/>
        <v>M/s SHREE VISHNU MINERALS</v>
      </c>
      <c r="C1658" s="16" t="str">
        <f t="shared" si="124"/>
        <v>Mokha Charnan / Kolayat / Bikaner</v>
      </c>
      <c r="D1658" s="4" t="s">
        <v>3034</v>
      </c>
      <c r="E1658" s="4" t="s">
        <v>3119</v>
      </c>
      <c r="F1658" s="5">
        <v>46028.999664351853</v>
      </c>
      <c r="G1658" s="16" t="str">
        <f t="shared" si="125"/>
        <v>Silica Sand</v>
      </c>
      <c r="H1658" s="4" t="s">
        <v>2893</v>
      </c>
      <c r="I1658" s="18" t="str" cm="1">
        <f t="array" ref="I1658">_xlfn.LET(_xlpm.text, D1658,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58" s="18" t="str" cm="1">
        <f t="array" ref="J1658">_xlfn.LET(_xlpm.text, E1658,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8" s="14">
        <f t="shared" si="126"/>
        <v>46029</v>
      </c>
      <c r="L1658" s="14">
        <f t="shared" si="127"/>
        <v>46029.624664351853</v>
      </c>
      <c r="N1658" s="12"/>
    </row>
    <row r="1659" spans="1:14" x14ac:dyDescent="0.25">
      <c r="A1659" s="4" t="s">
        <v>1689</v>
      </c>
      <c r="B1659" s="16" t="str">
        <f t="shared" si="123"/>
        <v>M/s SHREE VISHNU MINERALS</v>
      </c>
      <c r="C1659" s="16" t="str">
        <f t="shared" si="124"/>
        <v>Mokha Charnan / Kolayat / Bikaner</v>
      </c>
      <c r="D1659" s="4" t="s">
        <v>3034</v>
      </c>
      <c r="E1659" s="4" t="s">
        <v>3119</v>
      </c>
      <c r="F1659" s="5">
        <v>46028.999664351853</v>
      </c>
      <c r="G1659" s="16" t="str">
        <f t="shared" si="125"/>
        <v>Silica Sand</v>
      </c>
      <c r="H1659" s="4" t="s">
        <v>2624</v>
      </c>
      <c r="I1659" s="18" t="str" cm="1">
        <f t="array" ref="I1659">_xlfn.LET(_xlpm.text, D1659,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59" s="18" t="str" cm="1">
        <f t="array" ref="J1659">_xlfn.LET(_xlpm.text, E1659,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59" s="14">
        <f t="shared" si="126"/>
        <v>46029</v>
      </c>
      <c r="L1659" s="14">
        <f t="shared" si="127"/>
        <v>46029.624664351853</v>
      </c>
      <c r="N1659" s="12"/>
    </row>
    <row r="1660" spans="1:14" x14ac:dyDescent="0.25">
      <c r="A1660" s="4" t="s">
        <v>1690</v>
      </c>
      <c r="B1660" s="16" t="str">
        <f t="shared" si="123"/>
        <v>M/s SHREE VISHNU MINERALS</v>
      </c>
      <c r="C1660" s="16" t="str">
        <f t="shared" si="124"/>
        <v>Mokha Charnan / Kolayat / Bikaner</v>
      </c>
      <c r="D1660" s="4" t="s">
        <v>3034</v>
      </c>
      <c r="E1660" s="4" t="s">
        <v>3119</v>
      </c>
      <c r="F1660" s="5">
        <v>46028.999664351853</v>
      </c>
      <c r="G1660" s="16" t="str">
        <f t="shared" si="125"/>
        <v>Silica Sand</v>
      </c>
      <c r="H1660" s="4" t="s">
        <v>2957</v>
      </c>
      <c r="I1660" s="18" t="str" cm="1">
        <f t="array" ref="I1660">_xlfn.LET(_xlpm.text, D1660,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0" s="18" t="str" cm="1">
        <f t="array" ref="J1660">_xlfn.LET(_xlpm.text, E1660,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0" s="14">
        <f t="shared" si="126"/>
        <v>46029</v>
      </c>
      <c r="L1660" s="14">
        <f t="shared" si="127"/>
        <v>46029.624664351853</v>
      </c>
      <c r="N1660" s="12"/>
    </row>
    <row r="1661" spans="1:14" x14ac:dyDescent="0.25">
      <c r="A1661" s="4" t="s">
        <v>1691</v>
      </c>
      <c r="B1661" s="16" t="str">
        <f t="shared" si="123"/>
        <v>M/s SHREE VISHNU MINERALS</v>
      </c>
      <c r="C1661" s="16" t="str">
        <f t="shared" si="124"/>
        <v>Mokha Charnan / Kolayat / Bikaner</v>
      </c>
      <c r="D1661" s="4" t="s">
        <v>3034</v>
      </c>
      <c r="E1661" s="4" t="s">
        <v>3119</v>
      </c>
      <c r="F1661" s="5">
        <v>46028.999664351853</v>
      </c>
      <c r="G1661" s="16" t="str">
        <f t="shared" si="125"/>
        <v>Silica Sand</v>
      </c>
      <c r="H1661" s="4" t="s">
        <v>2766</v>
      </c>
      <c r="I1661" s="18" t="str" cm="1">
        <f t="array" ref="I1661">_xlfn.LET(_xlpm.text, D1661,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1" s="18" t="str" cm="1">
        <f t="array" ref="J1661">_xlfn.LET(_xlpm.text, E1661,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1" s="14">
        <f t="shared" si="126"/>
        <v>46029</v>
      </c>
      <c r="L1661" s="14">
        <f t="shared" si="127"/>
        <v>46029.624664351853</v>
      </c>
      <c r="N1661" s="12"/>
    </row>
    <row r="1662" spans="1:14" x14ac:dyDescent="0.25">
      <c r="A1662" s="4" t="s">
        <v>1692</v>
      </c>
      <c r="B1662" s="16" t="str">
        <f t="shared" si="123"/>
        <v>M/s SHREE VISHNU MINERALS</v>
      </c>
      <c r="C1662" s="16" t="str">
        <f t="shared" si="124"/>
        <v>Mokha Charnan / Kolayat / Bikaner</v>
      </c>
      <c r="D1662" s="4" t="s">
        <v>3034</v>
      </c>
      <c r="E1662" s="4" t="s">
        <v>3119</v>
      </c>
      <c r="F1662" s="5">
        <v>46029.999664351853</v>
      </c>
      <c r="G1662" s="16" t="str">
        <f t="shared" si="125"/>
        <v>Silica Sand</v>
      </c>
      <c r="H1662" s="4" t="s">
        <v>2958</v>
      </c>
      <c r="I1662" s="18" t="str" cm="1">
        <f t="array" ref="I1662">_xlfn.LET(_xlpm.text, D1662,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2" s="18" t="str" cm="1">
        <f t="array" ref="J1662">_xlfn.LET(_xlpm.text, E1662,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2" s="14">
        <f t="shared" si="126"/>
        <v>46030</v>
      </c>
      <c r="L1662" s="14">
        <f t="shared" si="127"/>
        <v>46030.624664351853</v>
      </c>
      <c r="N1662" s="12"/>
    </row>
    <row r="1663" spans="1:14" x14ac:dyDescent="0.25">
      <c r="A1663" s="4" t="s">
        <v>1693</v>
      </c>
      <c r="B1663" s="16" t="str">
        <f t="shared" si="123"/>
        <v>M/s SHREE VISHNU MINERALS</v>
      </c>
      <c r="C1663" s="16" t="str">
        <f t="shared" si="124"/>
        <v>Mokha Charnan / Kolayat / Bikaner</v>
      </c>
      <c r="D1663" s="4" t="s">
        <v>3034</v>
      </c>
      <c r="E1663" s="4" t="s">
        <v>3119</v>
      </c>
      <c r="F1663" s="5">
        <v>46028.999664351853</v>
      </c>
      <c r="G1663" s="16" t="str">
        <f t="shared" si="125"/>
        <v>Silica Sand</v>
      </c>
      <c r="H1663" s="4" t="s">
        <v>2926</v>
      </c>
      <c r="I1663" s="18" t="str" cm="1">
        <f t="array" ref="I1663">_xlfn.LET(_xlpm.text, D1663,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3" s="18" t="str" cm="1">
        <f t="array" ref="J1663">_xlfn.LET(_xlpm.text, E1663,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3" s="14">
        <f t="shared" si="126"/>
        <v>46029</v>
      </c>
      <c r="L1663" s="14">
        <f t="shared" si="127"/>
        <v>46029.624664351853</v>
      </c>
      <c r="N1663" s="12"/>
    </row>
    <row r="1664" spans="1:14" x14ac:dyDescent="0.25">
      <c r="A1664" s="4" t="s">
        <v>1694</v>
      </c>
      <c r="B1664" s="16" t="str">
        <f t="shared" si="123"/>
        <v>M/s SHREE VISHNU MINERALS</v>
      </c>
      <c r="C1664" s="16" t="str">
        <f t="shared" si="124"/>
        <v>Mokha Charnan / Kolayat / Bikaner</v>
      </c>
      <c r="D1664" s="4" t="s">
        <v>3034</v>
      </c>
      <c r="E1664" s="4" t="s">
        <v>3119</v>
      </c>
      <c r="F1664" s="5">
        <v>46028.999664351853</v>
      </c>
      <c r="G1664" s="16" t="str">
        <f t="shared" si="125"/>
        <v>Silica Sand</v>
      </c>
      <c r="H1664" s="4" t="s">
        <v>2582</v>
      </c>
      <c r="I1664" s="18" t="str" cm="1">
        <f t="array" ref="I1664">_xlfn.LET(_xlpm.text, D1664,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4" s="18" t="str" cm="1">
        <f t="array" ref="J1664">_xlfn.LET(_xlpm.text, E1664,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4" s="14">
        <f t="shared" si="126"/>
        <v>46029</v>
      </c>
      <c r="L1664" s="14">
        <f t="shared" si="127"/>
        <v>46029.624664351853</v>
      </c>
      <c r="N1664" s="12"/>
    </row>
    <row r="1665" spans="1:14" x14ac:dyDescent="0.25">
      <c r="A1665" s="4" t="s">
        <v>1695</v>
      </c>
      <c r="B1665" s="16" t="str">
        <f t="shared" si="123"/>
        <v>S.R.MINES AND MINERLS</v>
      </c>
      <c r="C1665" s="16" t="str">
        <f t="shared" si="124"/>
        <v>Indo Ka Bala / Kolayat / Bikaner</v>
      </c>
      <c r="D1665" s="4" t="s">
        <v>3034</v>
      </c>
      <c r="E1665" s="4" t="s">
        <v>3119</v>
      </c>
      <c r="F1665" s="5">
        <v>46023.999664351853</v>
      </c>
      <c r="G1665" s="16" t="str">
        <f t="shared" si="125"/>
        <v>Silica Sand</v>
      </c>
      <c r="H1665" s="4" t="s">
        <v>411</v>
      </c>
      <c r="I1665" s="18" t="str" cm="1">
        <f t="array" ref="I1665">_xlfn.LET(_xlpm.text, D1665,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5" s="18" t="str" cm="1">
        <f t="array" ref="J1665">_xlfn.LET(_xlpm.text, E1665,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5" s="14">
        <f t="shared" si="126"/>
        <v>46024</v>
      </c>
      <c r="L1665" s="14">
        <f t="shared" si="127"/>
        <v>46024.624664351853</v>
      </c>
      <c r="N1665" s="12"/>
    </row>
    <row r="1666" spans="1:14" x14ac:dyDescent="0.25">
      <c r="A1666" s="4" t="s">
        <v>1696</v>
      </c>
      <c r="B1666" s="16" t="str">
        <f t="shared" ref="B1666:B1729" si="128">VLOOKUP(LEFT($A1666,4)&amp;"*",$O$3:$R$17, 2, FALSE)</f>
        <v>M/s SHREE VISHNU MINERALS</v>
      </c>
      <c r="C1666" s="16" t="str">
        <f t="shared" ref="C1666:C1729" si="129">VLOOKUP(LEFT($A1666,4)&amp;"*",$O$3:$R$17, 3, FALSE)</f>
        <v>Mokha Charnan / Kolayat / Bikaner</v>
      </c>
      <c r="D1666" s="4" t="s">
        <v>3034</v>
      </c>
      <c r="E1666" s="4" t="s">
        <v>3119</v>
      </c>
      <c r="F1666" s="5">
        <v>46025.999664351853</v>
      </c>
      <c r="G1666" s="16" t="str">
        <f t="shared" ref="G1666:G1729" si="130">VLOOKUP(LEFT($A1666,4)&amp;"*",$O$3:$R$17, 4, FALSE)</f>
        <v>Silica Sand</v>
      </c>
      <c r="H1666" s="4" t="s">
        <v>2882</v>
      </c>
      <c r="I1666" s="18" t="str" cm="1">
        <f t="array" ref="I1666">_xlfn.LET(_xlpm.text, D1666,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6" s="18" t="str" cm="1">
        <f t="array" ref="J1666">_xlfn.LET(_xlpm.text, E1666,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6" s="14">
        <f t="shared" si="126"/>
        <v>46026</v>
      </c>
      <c r="L1666" s="14">
        <f t="shared" si="127"/>
        <v>46026.624664351853</v>
      </c>
      <c r="N1666" s="12"/>
    </row>
    <row r="1667" spans="1:14" x14ac:dyDescent="0.25">
      <c r="A1667" s="4" t="s">
        <v>1697</v>
      </c>
      <c r="B1667" s="16" t="str">
        <f t="shared" si="128"/>
        <v>M/s SHREE VISHNU MINERALS</v>
      </c>
      <c r="C1667" s="16" t="str">
        <f t="shared" si="129"/>
        <v>Mokha Charnan / Kolayat / Bikaner</v>
      </c>
      <c r="D1667" s="4" t="s">
        <v>3034</v>
      </c>
      <c r="E1667" s="4" t="s">
        <v>3119</v>
      </c>
      <c r="F1667" s="5">
        <v>46024.999664351853</v>
      </c>
      <c r="G1667" s="16" t="str">
        <f t="shared" si="130"/>
        <v>Silica Sand</v>
      </c>
      <c r="H1667" s="4" t="s">
        <v>2882</v>
      </c>
      <c r="I1667" s="18" t="str" cm="1">
        <f t="array" ref="I1667">_xlfn.LET(_xlpm.text, D1667,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7" s="18" t="str" cm="1">
        <f t="array" ref="J1667">_xlfn.LET(_xlpm.text, E1667,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7" s="14">
        <f t="shared" ref="K1667:K1730" si="131">F1667+(29/86400)</f>
        <v>46025</v>
      </c>
      <c r="L1667" s="14">
        <f t="shared" ref="L1667:L1730" si="132">F1667+(15/24)</f>
        <v>46025.624664351853</v>
      </c>
      <c r="N1667" s="12"/>
    </row>
    <row r="1668" spans="1:14" x14ac:dyDescent="0.25">
      <c r="A1668" s="4" t="s">
        <v>1698</v>
      </c>
      <c r="B1668" s="16" t="str">
        <f t="shared" si="128"/>
        <v>M/s SHREE VISHNU MINERALS</v>
      </c>
      <c r="C1668" s="16" t="str">
        <f t="shared" si="129"/>
        <v>Mokha Charnan / Kolayat / Bikaner</v>
      </c>
      <c r="D1668" s="4" t="s">
        <v>3034</v>
      </c>
      <c r="E1668" s="4" t="s">
        <v>3119</v>
      </c>
      <c r="F1668" s="5">
        <v>46024.999664351853</v>
      </c>
      <c r="G1668" s="16" t="str">
        <f t="shared" si="130"/>
        <v>Silica Sand</v>
      </c>
      <c r="H1668" s="4" t="s">
        <v>2959</v>
      </c>
      <c r="I1668" s="18" t="str" cm="1">
        <f t="array" ref="I1668">_xlfn.LET(_xlpm.text, D1668,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8" s="18" t="str" cm="1">
        <f t="array" ref="J1668">_xlfn.LET(_xlpm.text, E1668,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8" s="14">
        <f t="shared" si="131"/>
        <v>46025</v>
      </c>
      <c r="L1668" s="14">
        <f t="shared" si="132"/>
        <v>46025.624664351853</v>
      </c>
      <c r="N1668" s="12"/>
    </row>
    <row r="1669" spans="1:14" x14ac:dyDescent="0.25">
      <c r="A1669" s="4" t="s">
        <v>1699</v>
      </c>
      <c r="B1669" s="16" t="str">
        <f t="shared" si="128"/>
        <v>M/s SHREE VISHNU MINERALS</v>
      </c>
      <c r="C1669" s="16" t="str">
        <f t="shared" si="129"/>
        <v>Mokha Charnan / Kolayat / Bikaner</v>
      </c>
      <c r="D1669" s="4" t="s">
        <v>3034</v>
      </c>
      <c r="E1669" s="4" t="s">
        <v>3119</v>
      </c>
      <c r="F1669" s="5">
        <v>46024.999664351853</v>
      </c>
      <c r="G1669" s="16" t="str">
        <f t="shared" si="130"/>
        <v>Silica Sand</v>
      </c>
      <c r="H1669" s="4" t="s">
        <v>2926</v>
      </c>
      <c r="I1669" s="18" t="str" cm="1">
        <f t="array" ref="I1669">_xlfn.LET(_xlpm.text, D1669,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69" s="18" t="str" cm="1">
        <f t="array" ref="J1669">_xlfn.LET(_xlpm.text, E1669,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69" s="14">
        <f t="shared" si="131"/>
        <v>46025</v>
      </c>
      <c r="L1669" s="14">
        <f t="shared" si="132"/>
        <v>46025.624664351853</v>
      </c>
      <c r="N1669" s="12"/>
    </row>
    <row r="1670" spans="1:14" x14ac:dyDescent="0.25">
      <c r="A1670" s="4" t="s">
        <v>1700</v>
      </c>
      <c r="B1670" s="16" t="str">
        <f t="shared" si="128"/>
        <v>M/s SHREE VISHNU MINERALS</v>
      </c>
      <c r="C1670" s="16" t="str">
        <f t="shared" si="129"/>
        <v>Mokha Charnan / Kolayat / Bikaner</v>
      </c>
      <c r="D1670" s="4" t="s">
        <v>3034</v>
      </c>
      <c r="E1670" s="4" t="s">
        <v>3119</v>
      </c>
      <c r="F1670" s="5">
        <v>46023.999664351853</v>
      </c>
      <c r="G1670" s="16" t="str">
        <f t="shared" si="130"/>
        <v>Silica Sand</v>
      </c>
      <c r="H1670" s="4" t="s">
        <v>2582</v>
      </c>
      <c r="I1670" s="18" t="str" cm="1">
        <f t="array" ref="I1670">_xlfn.LET(_xlpm.text, D1670,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0" s="18" t="str" cm="1">
        <f t="array" ref="J1670">_xlfn.LET(_xlpm.text, E1670,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0" s="14">
        <f t="shared" si="131"/>
        <v>46024</v>
      </c>
      <c r="L1670" s="14">
        <f t="shared" si="132"/>
        <v>46024.624664351853</v>
      </c>
      <c r="N1670" s="12"/>
    </row>
    <row r="1671" spans="1:14" x14ac:dyDescent="0.25">
      <c r="A1671" s="4" t="s">
        <v>1701</v>
      </c>
      <c r="B1671" s="16" t="str">
        <f t="shared" si="128"/>
        <v>M/s SHREE VISHNU MINERALS</v>
      </c>
      <c r="C1671" s="16" t="str">
        <f t="shared" si="129"/>
        <v>Mokha Charnan / Kolayat / Bikaner</v>
      </c>
      <c r="D1671" s="4" t="s">
        <v>3034</v>
      </c>
      <c r="E1671" s="4" t="s">
        <v>3119</v>
      </c>
      <c r="F1671" s="5">
        <v>46024.999664351853</v>
      </c>
      <c r="G1671" s="16" t="str">
        <f t="shared" si="130"/>
        <v>Silica Sand</v>
      </c>
      <c r="H1671" s="4" t="s">
        <v>2960</v>
      </c>
      <c r="I1671" s="18" t="str" cm="1">
        <f t="array" ref="I1671">_xlfn.LET(_xlpm.text, D1671,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1" s="18" t="str" cm="1">
        <f t="array" ref="J1671">_xlfn.LET(_xlpm.text, E1671,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1" s="14">
        <f t="shared" si="131"/>
        <v>46025</v>
      </c>
      <c r="L1671" s="14">
        <f t="shared" si="132"/>
        <v>46025.624664351853</v>
      </c>
      <c r="N1671" s="12"/>
    </row>
    <row r="1672" spans="1:14" x14ac:dyDescent="0.25">
      <c r="A1672" s="4" t="s">
        <v>1702</v>
      </c>
      <c r="B1672" s="16" t="str">
        <f t="shared" si="128"/>
        <v>M/s SHREE VISHNU MINERALS</v>
      </c>
      <c r="C1672" s="16" t="str">
        <f t="shared" si="129"/>
        <v>Mokha Charnan / Kolayat / Bikaner</v>
      </c>
      <c r="D1672" s="4" t="s">
        <v>3034</v>
      </c>
      <c r="E1672" s="4" t="s">
        <v>3119</v>
      </c>
      <c r="F1672" s="5">
        <v>46023.999664351853</v>
      </c>
      <c r="G1672" s="16" t="str">
        <f t="shared" si="130"/>
        <v>Silica Sand</v>
      </c>
      <c r="H1672" s="4" t="s">
        <v>2555</v>
      </c>
      <c r="I1672" s="18" t="str" cm="1">
        <f t="array" ref="I1672">_xlfn.LET(_xlpm.text, D1672,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2" s="18" t="str" cm="1">
        <f t="array" ref="J1672">_xlfn.LET(_xlpm.text, E1672,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2" s="14">
        <f t="shared" si="131"/>
        <v>46024</v>
      </c>
      <c r="L1672" s="14">
        <f t="shared" si="132"/>
        <v>46024.624664351853</v>
      </c>
      <c r="N1672" s="12"/>
    </row>
    <row r="1673" spans="1:14" x14ac:dyDescent="0.25">
      <c r="A1673" s="4" t="s">
        <v>1703</v>
      </c>
      <c r="B1673" s="16" t="str">
        <f t="shared" si="128"/>
        <v>M/s SHREE VISHNU MINERALS</v>
      </c>
      <c r="C1673" s="16" t="str">
        <f t="shared" si="129"/>
        <v>Mokha Charnan / Kolayat / Bikaner</v>
      </c>
      <c r="D1673" s="4" t="s">
        <v>3034</v>
      </c>
      <c r="E1673" s="4" t="s">
        <v>3119</v>
      </c>
      <c r="F1673" s="5">
        <v>46024.999664351853</v>
      </c>
      <c r="G1673" s="16" t="str">
        <f t="shared" si="130"/>
        <v>Silica Sand</v>
      </c>
      <c r="H1673" s="4" t="s">
        <v>2611</v>
      </c>
      <c r="I1673" s="18" t="str" cm="1">
        <f t="array" ref="I1673">_xlfn.LET(_xlpm.text, D1673,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3" s="18" t="str" cm="1">
        <f t="array" ref="J1673">_xlfn.LET(_xlpm.text, E1673,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3" s="14">
        <f t="shared" si="131"/>
        <v>46025</v>
      </c>
      <c r="L1673" s="14">
        <f t="shared" si="132"/>
        <v>46025.624664351853</v>
      </c>
      <c r="N1673" s="12"/>
    </row>
    <row r="1674" spans="1:14" x14ac:dyDescent="0.25">
      <c r="A1674" s="4" t="s">
        <v>1704</v>
      </c>
      <c r="B1674" s="16" t="str">
        <f t="shared" si="128"/>
        <v>M/s SHREE VISHNU MINERALS</v>
      </c>
      <c r="C1674" s="16" t="str">
        <f t="shared" si="129"/>
        <v>Mokha Charnan / Kolayat / Bikaner</v>
      </c>
      <c r="D1674" s="4" t="s">
        <v>3034</v>
      </c>
      <c r="E1674" s="4" t="s">
        <v>3119</v>
      </c>
      <c r="F1674" s="5">
        <v>46025.999664351853</v>
      </c>
      <c r="G1674" s="16" t="str">
        <f t="shared" si="130"/>
        <v>Silica Sand</v>
      </c>
      <c r="H1674" s="4" t="s">
        <v>2582</v>
      </c>
      <c r="I1674" s="18" t="str" cm="1">
        <f t="array" ref="I1674">_xlfn.LET(_xlpm.text, D1674,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4" s="18" t="str" cm="1">
        <f t="array" ref="J1674">_xlfn.LET(_xlpm.text, E1674,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4" s="14">
        <f t="shared" si="131"/>
        <v>46026</v>
      </c>
      <c r="L1674" s="14">
        <f t="shared" si="132"/>
        <v>46026.624664351853</v>
      </c>
      <c r="N1674" s="12"/>
    </row>
    <row r="1675" spans="1:14" x14ac:dyDescent="0.25">
      <c r="A1675" s="4" t="s">
        <v>1705</v>
      </c>
      <c r="B1675" s="16" t="str">
        <f t="shared" si="128"/>
        <v>M/s SHREE VISHNU MINERALS</v>
      </c>
      <c r="C1675" s="16" t="str">
        <f t="shared" si="129"/>
        <v>Mokha Charnan / Kolayat / Bikaner</v>
      </c>
      <c r="D1675" s="4" t="s">
        <v>3034</v>
      </c>
      <c r="E1675" s="4" t="s">
        <v>3119</v>
      </c>
      <c r="F1675" s="5">
        <v>46025.999664351853</v>
      </c>
      <c r="G1675" s="16" t="str">
        <f t="shared" si="130"/>
        <v>Silica Sand</v>
      </c>
      <c r="H1675" s="4" t="s">
        <v>2315</v>
      </c>
      <c r="I1675" s="18" t="str" cm="1">
        <f t="array" ref="I1675">_xlfn.LET(_xlpm.text, D1675,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5" s="18" t="str" cm="1">
        <f t="array" ref="J1675">_xlfn.LET(_xlpm.text, E1675,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5" s="14">
        <f t="shared" si="131"/>
        <v>46026</v>
      </c>
      <c r="L1675" s="14">
        <f t="shared" si="132"/>
        <v>46026.624664351853</v>
      </c>
      <c r="N1675" s="12"/>
    </row>
    <row r="1676" spans="1:14" x14ac:dyDescent="0.25">
      <c r="A1676" s="4" t="s">
        <v>1706</v>
      </c>
      <c r="B1676" s="16" t="str">
        <f t="shared" si="128"/>
        <v>S.R.MINES AND MINERLS</v>
      </c>
      <c r="C1676" s="16" t="str">
        <f t="shared" si="129"/>
        <v>Indo Ka Bala / Kolayat / Bikaner</v>
      </c>
      <c r="D1676" s="4" t="s">
        <v>3034</v>
      </c>
      <c r="E1676" s="4" t="s">
        <v>3119</v>
      </c>
      <c r="F1676" s="5">
        <v>46022.999664351853</v>
      </c>
      <c r="G1676" s="16" t="str">
        <f t="shared" si="130"/>
        <v>Silica Sand</v>
      </c>
      <c r="H1676" s="4" t="s">
        <v>2893</v>
      </c>
      <c r="I1676" s="18" t="str" cm="1">
        <f t="array" ref="I1676">_xlfn.LET(_xlpm.text, D1676,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6" s="18" t="str" cm="1">
        <f t="array" ref="J1676">_xlfn.LET(_xlpm.text, E1676,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6" s="14">
        <f t="shared" si="131"/>
        <v>46023</v>
      </c>
      <c r="L1676" s="14">
        <f t="shared" si="132"/>
        <v>46023.624664351853</v>
      </c>
      <c r="N1676" s="12"/>
    </row>
    <row r="1677" spans="1:14" x14ac:dyDescent="0.25">
      <c r="A1677" s="4" t="s">
        <v>1707</v>
      </c>
      <c r="B1677" s="16" t="str">
        <f t="shared" si="128"/>
        <v>S.R.MINES AND MINERLS</v>
      </c>
      <c r="C1677" s="16" t="str">
        <f t="shared" si="129"/>
        <v>Indo Ka Bala / Kolayat / Bikaner</v>
      </c>
      <c r="D1677" s="4" t="s">
        <v>3034</v>
      </c>
      <c r="E1677" s="4" t="s">
        <v>3119</v>
      </c>
      <c r="F1677" s="5">
        <v>46016.999664351853</v>
      </c>
      <c r="G1677" s="16" t="str">
        <f t="shared" si="130"/>
        <v>Silica Sand</v>
      </c>
      <c r="H1677" s="4" t="s">
        <v>2961</v>
      </c>
      <c r="I1677" s="18" t="str" cm="1">
        <f t="array" ref="I1677">_xlfn.LET(_xlpm.text, D1677,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7" s="18" t="str" cm="1">
        <f t="array" ref="J1677">_xlfn.LET(_xlpm.text, E1677,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7" s="14">
        <f t="shared" si="131"/>
        <v>46017</v>
      </c>
      <c r="L1677" s="14">
        <f t="shared" si="132"/>
        <v>46017.624664351853</v>
      </c>
      <c r="N1677" s="12"/>
    </row>
    <row r="1678" spans="1:14" x14ac:dyDescent="0.25">
      <c r="A1678" s="4" t="s">
        <v>1708</v>
      </c>
      <c r="B1678" s="16" t="str">
        <f t="shared" si="128"/>
        <v>S.R.MINES AND MINERLS</v>
      </c>
      <c r="C1678" s="16" t="str">
        <f t="shared" si="129"/>
        <v>Indo Ka Bala / Kolayat / Bikaner</v>
      </c>
      <c r="D1678" s="4" t="s">
        <v>3034</v>
      </c>
      <c r="E1678" s="4" t="s">
        <v>3119</v>
      </c>
      <c r="F1678" s="5">
        <v>46019.999664351853</v>
      </c>
      <c r="G1678" s="16" t="str">
        <f t="shared" si="130"/>
        <v>Silica Sand</v>
      </c>
      <c r="H1678" s="4" t="s">
        <v>2881</v>
      </c>
      <c r="I1678" s="18" t="str" cm="1">
        <f t="array" ref="I1678">_xlfn.LET(_xlpm.text, D1678,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8" s="18" t="str" cm="1">
        <f t="array" ref="J1678">_xlfn.LET(_xlpm.text, E1678,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8" s="14">
        <f t="shared" si="131"/>
        <v>46020</v>
      </c>
      <c r="L1678" s="14">
        <f t="shared" si="132"/>
        <v>46020.624664351853</v>
      </c>
      <c r="N1678" s="12"/>
    </row>
    <row r="1679" spans="1:14" x14ac:dyDescent="0.25">
      <c r="A1679" s="4" t="s">
        <v>1709</v>
      </c>
      <c r="B1679" s="16" t="str">
        <f t="shared" si="128"/>
        <v>M/s SHREE VISHNU MINERALS</v>
      </c>
      <c r="C1679" s="16" t="str">
        <f t="shared" si="129"/>
        <v>Mokha Charnan / Kolayat / Bikaner</v>
      </c>
      <c r="D1679" s="4" t="s">
        <v>3034</v>
      </c>
      <c r="E1679" s="4" t="s">
        <v>3119</v>
      </c>
      <c r="F1679" s="5">
        <v>46016.999664351853</v>
      </c>
      <c r="G1679" s="16" t="str">
        <f t="shared" si="130"/>
        <v>Silica Sand</v>
      </c>
      <c r="H1679" s="4" t="s">
        <v>2882</v>
      </c>
      <c r="I1679" s="18" t="str" cm="1">
        <f t="array" ref="I1679">_xlfn.LET(_xlpm.text, D1679,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79" s="18" t="str" cm="1">
        <f t="array" ref="J1679">_xlfn.LET(_xlpm.text, E1679,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79" s="14">
        <f t="shared" si="131"/>
        <v>46017</v>
      </c>
      <c r="L1679" s="14">
        <f t="shared" si="132"/>
        <v>46017.624664351853</v>
      </c>
      <c r="N1679" s="12"/>
    </row>
    <row r="1680" spans="1:14" x14ac:dyDescent="0.25">
      <c r="A1680" s="4" t="s">
        <v>1710</v>
      </c>
      <c r="B1680" s="16" t="str">
        <f t="shared" si="128"/>
        <v>S.R.MINES AND MINERLS</v>
      </c>
      <c r="C1680" s="16" t="str">
        <f t="shared" si="129"/>
        <v>Indo Ka Bala / Kolayat / Bikaner</v>
      </c>
      <c r="D1680" s="4" t="s">
        <v>3034</v>
      </c>
      <c r="E1680" s="4" t="s">
        <v>3119</v>
      </c>
      <c r="F1680" s="5">
        <v>46020.999664351853</v>
      </c>
      <c r="G1680" s="16" t="str">
        <f t="shared" si="130"/>
        <v>Silica Sand</v>
      </c>
      <c r="H1680" s="4" t="s">
        <v>2961</v>
      </c>
      <c r="I1680" s="18" t="str" cm="1">
        <f t="array" ref="I1680">_xlfn.LET(_xlpm.text, D1680,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0" s="18" t="str" cm="1">
        <f t="array" ref="J1680">_xlfn.LET(_xlpm.text, E1680,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0" s="14">
        <f t="shared" si="131"/>
        <v>46021</v>
      </c>
      <c r="L1680" s="14">
        <f t="shared" si="132"/>
        <v>46021.624664351853</v>
      </c>
      <c r="N1680" s="12"/>
    </row>
    <row r="1681" spans="1:14" x14ac:dyDescent="0.25">
      <c r="A1681" s="4" t="s">
        <v>1711</v>
      </c>
      <c r="B1681" s="16" t="str">
        <f t="shared" si="128"/>
        <v>M/s SHREE VISHNU MINERALS</v>
      </c>
      <c r="C1681" s="16" t="str">
        <f t="shared" si="129"/>
        <v>Mokha Charnan / Kolayat / Bikaner</v>
      </c>
      <c r="D1681" s="4" t="s">
        <v>3034</v>
      </c>
      <c r="E1681" s="4" t="s">
        <v>3119</v>
      </c>
      <c r="F1681" s="5">
        <v>46020.999664351853</v>
      </c>
      <c r="G1681" s="16" t="str">
        <f t="shared" si="130"/>
        <v>Silica Sand</v>
      </c>
      <c r="H1681" s="4" t="s">
        <v>2882</v>
      </c>
      <c r="I1681" s="18" t="str" cm="1">
        <f t="array" ref="I1681">_xlfn.LET(_xlpm.text, D1681,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1" s="18" t="str" cm="1">
        <f t="array" ref="J1681">_xlfn.LET(_xlpm.text, E1681,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1" s="14">
        <f t="shared" si="131"/>
        <v>46021</v>
      </c>
      <c r="L1681" s="14">
        <f t="shared" si="132"/>
        <v>46021.624664351853</v>
      </c>
      <c r="N1681" s="12"/>
    </row>
    <row r="1682" spans="1:14" x14ac:dyDescent="0.25">
      <c r="A1682" s="4" t="s">
        <v>1712</v>
      </c>
      <c r="B1682" s="16" t="str">
        <f t="shared" si="128"/>
        <v>M/s SHREE VISHNU MINERALS</v>
      </c>
      <c r="C1682" s="16" t="str">
        <f t="shared" si="129"/>
        <v>Mokha Charnan / Kolayat / Bikaner</v>
      </c>
      <c r="D1682" s="4" t="s">
        <v>3034</v>
      </c>
      <c r="E1682" s="4" t="s">
        <v>3119</v>
      </c>
      <c r="F1682" s="5">
        <v>46020.999664351853</v>
      </c>
      <c r="G1682" s="16" t="str">
        <f t="shared" si="130"/>
        <v>Silica Sand</v>
      </c>
      <c r="H1682" s="4" t="s">
        <v>2617</v>
      </c>
      <c r="I1682" s="18" t="str" cm="1">
        <f t="array" ref="I1682">_xlfn.LET(_xlpm.text, D1682,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2" s="18" t="str" cm="1">
        <f t="array" ref="J1682">_xlfn.LET(_xlpm.text, E1682,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2" s="14">
        <f t="shared" si="131"/>
        <v>46021</v>
      </c>
      <c r="L1682" s="14">
        <f t="shared" si="132"/>
        <v>46021.624664351853</v>
      </c>
      <c r="N1682" s="12"/>
    </row>
    <row r="1683" spans="1:14" x14ac:dyDescent="0.25">
      <c r="A1683" s="4" t="s">
        <v>1713</v>
      </c>
      <c r="B1683" s="16" t="str">
        <f t="shared" si="128"/>
        <v>M/s SHREE VISHNU MINERALS</v>
      </c>
      <c r="C1683" s="16" t="str">
        <f t="shared" si="129"/>
        <v>Mokha Charnan / Kolayat / Bikaner</v>
      </c>
      <c r="D1683" s="4" t="s">
        <v>3034</v>
      </c>
      <c r="E1683" s="4" t="s">
        <v>3119</v>
      </c>
      <c r="F1683" s="5">
        <v>46014.999664351853</v>
      </c>
      <c r="G1683" s="16" t="str">
        <f t="shared" si="130"/>
        <v>Silica Sand</v>
      </c>
      <c r="H1683" s="4" t="s">
        <v>2926</v>
      </c>
      <c r="I1683" s="18" t="str" cm="1">
        <f t="array" ref="I1683">_xlfn.LET(_xlpm.text, D1683,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3" s="18" t="str" cm="1">
        <f t="array" ref="J1683">_xlfn.LET(_xlpm.text, E1683,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3" s="14">
        <f t="shared" si="131"/>
        <v>46015</v>
      </c>
      <c r="L1683" s="14">
        <f t="shared" si="132"/>
        <v>46015.624664351853</v>
      </c>
      <c r="N1683" s="12"/>
    </row>
    <row r="1684" spans="1:14" x14ac:dyDescent="0.25">
      <c r="A1684" s="4" t="s">
        <v>1714</v>
      </c>
      <c r="B1684" s="16" t="str">
        <f t="shared" si="128"/>
        <v>M/s SHREE VISHNU MINERALS</v>
      </c>
      <c r="C1684" s="16" t="str">
        <f t="shared" si="129"/>
        <v>Mokha Charnan / Kolayat / Bikaner</v>
      </c>
      <c r="D1684" s="4" t="s">
        <v>3034</v>
      </c>
      <c r="E1684" s="4" t="s">
        <v>3119</v>
      </c>
      <c r="F1684" s="5">
        <v>46020.999664351853</v>
      </c>
      <c r="G1684" s="16" t="str">
        <f t="shared" si="130"/>
        <v>Silica Sand</v>
      </c>
      <c r="H1684" s="4" t="s">
        <v>2399</v>
      </c>
      <c r="I1684" s="18" t="str" cm="1">
        <f t="array" ref="I1684">_xlfn.LET(_xlpm.text, D1684,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4" s="18" t="str" cm="1">
        <f t="array" ref="J1684">_xlfn.LET(_xlpm.text, E1684,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4" s="14">
        <f t="shared" si="131"/>
        <v>46021</v>
      </c>
      <c r="L1684" s="14">
        <f t="shared" si="132"/>
        <v>46021.624664351853</v>
      </c>
      <c r="N1684" s="12"/>
    </row>
    <row r="1685" spans="1:14" x14ac:dyDescent="0.25">
      <c r="A1685" s="4" t="s">
        <v>1715</v>
      </c>
      <c r="B1685" s="16" t="str">
        <f t="shared" si="128"/>
        <v>M/s SHREE VISHNU MINERALS</v>
      </c>
      <c r="C1685" s="16" t="str">
        <f t="shared" si="129"/>
        <v>Mokha Charnan / Kolayat / Bikaner</v>
      </c>
      <c r="D1685" s="4" t="s">
        <v>3034</v>
      </c>
      <c r="E1685" s="4" t="s">
        <v>3119</v>
      </c>
      <c r="F1685" s="5">
        <v>46015.999664351853</v>
      </c>
      <c r="G1685" s="16" t="str">
        <f t="shared" si="130"/>
        <v>Silica Sand</v>
      </c>
      <c r="H1685" s="4" t="s">
        <v>2766</v>
      </c>
      <c r="I1685" s="18" t="str" cm="1">
        <f t="array" ref="I1685">_xlfn.LET(_xlpm.text, D1685,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5" s="18" t="str" cm="1">
        <f t="array" ref="J1685">_xlfn.LET(_xlpm.text, E1685,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5" s="14">
        <f t="shared" si="131"/>
        <v>46016</v>
      </c>
      <c r="L1685" s="14">
        <f t="shared" si="132"/>
        <v>46016.624664351853</v>
      </c>
      <c r="N1685" s="12"/>
    </row>
    <row r="1686" spans="1:14" x14ac:dyDescent="0.25">
      <c r="A1686" s="4" t="s">
        <v>1716</v>
      </c>
      <c r="B1686" s="16" t="str">
        <f t="shared" si="128"/>
        <v>M/s SHREE VISHNU MINERALS</v>
      </c>
      <c r="C1686" s="16" t="str">
        <f t="shared" si="129"/>
        <v>Mokha Charnan / Kolayat / Bikaner</v>
      </c>
      <c r="D1686" s="4" t="s">
        <v>3034</v>
      </c>
      <c r="E1686" s="4" t="s">
        <v>3119</v>
      </c>
      <c r="F1686" s="5">
        <v>46015.999664351853</v>
      </c>
      <c r="G1686" s="16" t="str">
        <f t="shared" si="130"/>
        <v>Silica Sand</v>
      </c>
      <c r="H1686" s="4" t="s">
        <v>2903</v>
      </c>
      <c r="I1686" s="18" t="str" cm="1">
        <f t="array" ref="I1686">_xlfn.LET(_xlpm.text, D1686,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6" s="18" t="str" cm="1">
        <f t="array" ref="J1686">_xlfn.LET(_xlpm.text, E1686,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6" s="14">
        <f t="shared" si="131"/>
        <v>46016</v>
      </c>
      <c r="L1686" s="14">
        <f t="shared" si="132"/>
        <v>46016.624664351853</v>
      </c>
      <c r="N1686" s="12"/>
    </row>
    <row r="1687" spans="1:14" x14ac:dyDescent="0.25">
      <c r="A1687" s="4" t="s">
        <v>1717</v>
      </c>
      <c r="B1687" s="16" t="str">
        <f t="shared" si="128"/>
        <v>M/s SHREE VISHNU MINERALS</v>
      </c>
      <c r="C1687" s="16" t="str">
        <f t="shared" si="129"/>
        <v>Mokha Charnan / Kolayat / Bikaner</v>
      </c>
      <c r="D1687" s="4" t="s">
        <v>3034</v>
      </c>
      <c r="E1687" s="4" t="s">
        <v>3119</v>
      </c>
      <c r="F1687" s="5">
        <v>46015.999664351853</v>
      </c>
      <c r="G1687" s="16" t="str">
        <f t="shared" si="130"/>
        <v>Silica Sand</v>
      </c>
      <c r="H1687" s="4" t="s">
        <v>2901</v>
      </c>
      <c r="I1687" s="18" t="str" cm="1">
        <f t="array" ref="I1687">_xlfn.LET(_xlpm.text, D1687,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7" s="18" t="str" cm="1">
        <f t="array" ref="J1687">_xlfn.LET(_xlpm.text, E1687,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7" s="14">
        <f t="shared" si="131"/>
        <v>46016</v>
      </c>
      <c r="L1687" s="14">
        <f t="shared" si="132"/>
        <v>46016.624664351853</v>
      </c>
      <c r="N1687" s="12"/>
    </row>
    <row r="1688" spans="1:14" x14ac:dyDescent="0.25">
      <c r="A1688" s="4" t="s">
        <v>1718</v>
      </c>
      <c r="B1688" s="16" t="str">
        <f t="shared" si="128"/>
        <v>M/s SHREE VISHNU MINERALS</v>
      </c>
      <c r="C1688" s="16" t="str">
        <f t="shared" si="129"/>
        <v>Mokha Charnan / Kolayat / Bikaner</v>
      </c>
      <c r="D1688" s="4" t="s">
        <v>3034</v>
      </c>
      <c r="E1688" s="4" t="s">
        <v>3119</v>
      </c>
      <c r="F1688" s="5">
        <v>46016.999664351853</v>
      </c>
      <c r="G1688" s="16" t="str">
        <f t="shared" si="130"/>
        <v>Silica Sand</v>
      </c>
      <c r="H1688" s="4" t="s">
        <v>2617</v>
      </c>
      <c r="I1688" s="18" t="str" cm="1">
        <f t="array" ref="I1688">_xlfn.LET(_xlpm.text, D1688,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8" s="18" t="str" cm="1">
        <f t="array" ref="J1688">_xlfn.LET(_xlpm.text, E1688,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8" s="14">
        <f t="shared" si="131"/>
        <v>46017</v>
      </c>
      <c r="L1688" s="14">
        <f t="shared" si="132"/>
        <v>46017.624664351853</v>
      </c>
      <c r="N1688" s="12"/>
    </row>
    <row r="1689" spans="1:14" x14ac:dyDescent="0.25">
      <c r="A1689" s="4" t="s">
        <v>1719</v>
      </c>
      <c r="B1689" s="16" t="str">
        <f t="shared" si="128"/>
        <v>M/s SHREE VISHNU MINERALS</v>
      </c>
      <c r="C1689" s="16" t="str">
        <f t="shared" si="129"/>
        <v>Mokha Charnan / Kolayat / Bikaner</v>
      </c>
      <c r="D1689" s="4" t="s">
        <v>3034</v>
      </c>
      <c r="E1689" s="4" t="s">
        <v>3119</v>
      </c>
      <c r="F1689" s="5">
        <v>46016.999664351853</v>
      </c>
      <c r="G1689" s="16" t="str">
        <f t="shared" si="130"/>
        <v>Silica Sand</v>
      </c>
      <c r="H1689" s="4" t="s">
        <v>2602</v>
      </c>
      <c r="I1689" s="18" t="str" cm="1">
        <f t="array" ref="I1689">_xlfn.LET(_xlpm.text, D1689,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89" s="18" t="str" cm="1">
        <f t="array" ref="J1689">_xlfn.LET(_xlpm.text, E1689,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89" s="14">
        <f t="shared" si="131"/>
        <v>46017</v>
      </c>
      <c r="L1689" s="14">
        <f t="shared" si="132"/>
        <v>46017.624664351853</v>
      </c>
      <c r="N1689" s="12"/>
    </row>
    <row r="1690" spans="1:14" x14ac:dyDescent="0.25">
      <c r="A1690" s="4" t="s">
        <v>1720</v>
      </c>
      <c r="B1690" s="16" t="str">
        <f t="shared" si="128"/>
        <v>M/s SHREE VISHNU MINERALS</v>
      </c>
      <c r="C1690" s="16" t="str">
        <f t="shared" si="129"/>
        <v>Mokha Charnan / Kolayat / Bikaner</v>
      </c>
      <c r="D1690" s="4" t="s">
        <v>3034</v>
      </c>
      <c r="E1690" s="4" t="s">
        <v>3119</v>
      </c>
      <c r="F1690" s="5">
        <v>46016.999664351853</v>
      </c>
      <c r="G1690" s="16" t="str">
        <f t="shared" si="130"/>
        <v>Silica Sand</v>
      </c>
      <c r="H1690" s="4" t="s">
        <v>2850</v>
      </c>
      <c r="I1690" s="18" t="str" cm="1">
        <f t="array" ref="I1690">_xlfn.LET(_xlpm.text, D1690,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0" s="18" t="str" cm="1">
        <f t="array" ref="J1690">_xlfn.LET(_xlpm.text, E1690,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0" s="14">
        <f t="shared" si="131"/>
        <v>46017</v>
      </c>
      <c r="L1690" s="14">
        <f t="shared" si="132"/>
        <v>46017.624664351853</v>
      </c>
      <c r="N1690" s="12"/>
    </row>
    <row r="1691" spans="1:14" x14ac:dyDescent="0.25">
      <c r="A1691" s="4" t="s">
        <v>1721</v>
      </c>
      <c r="B1691" s="16" t="str">
        <f t="shared" si="128"/>
        <v>M/s SHREE VISHNU MINERALS</v>
      </c>
      <c r="C1691" s="16" t="str">
        <f t="shared" si="129"/>
        <v>Mokha Charnan / Kolayat / Bikaner</v>
      </c>
      <c r="D1691" s="4" t="s">
        <v>3034</v>
      </c>
      <c r="E1691" s="4" t="s">
        <v>3119</v>
      </c>
      <c r="F1691" s="5">
        <v>46019.999664351853</v>
      </c>
      <c r="G1691" s="16" t="str">
        <f t="shared" si="130"/>
        <v>Silica Sand</v>
      </c>
      <c r="H1691" s="4" t="s">
        <v>2582</v>
      </c>
      <c r="I1691" s="18" t="str" cm="1">
        <f t="array" ref="I1691">_xlfn.LET(_xlpm.text, D1691,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1" s="18" t="str" cm="1">
        <f t="array" ref="J1691">_xlfn.LET(_xlpm.text, E1691,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1" s="14">
        <f t="shared" si="131"/>
        <v>46020</v>
      </c>
      <c r="L1691" s="14">
        <f t="shared" si="132"/>
        <v>46020.624664351853</v>
      </c>
      <c r="N1691" s="12"/>
    </row>
    <row r="1692" spans="1:14" x14ac:dyDescent="0.25">
      <c r="A1692" s="4" t="s">
        <v>1722</v>
      </c>
      <c r="B1692" s="16" t="str">
        <f t="shared" si="128"/>
        <v>M/s SHREE VISHNU MINERALS</v>
      </c>
      <c r="C1692" s="16" t="str">
        <f t="shared" si="129"/>
        <v>Mokha Charnan / Kolayat / Bikaner</v>
      </c>
      <c r="D1692" s="4" t="s">
        <v>3034</v>
      </c>
      <c r="E1692" s="4" t="s">
        <v>3119</v>
      </c>
      <c r="F1692" s="5">
        <v>46020.999664351853</v>
      </c>
      <c r="G1692" s="16" t="str">
        <f t="shared" si="130"/>
        <v>Silica Sand</v>
      </c>
      <c r="H1692" s="4" t="s">
        <v>2617</v>
      </c>
      <c r="I1692" s="18" t="str" cm="1">
        <f t="array" ref="I1692">_xlfn.LET(_xlpm.text, D1692,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2" s="18" t="str" cm="1">
        <f t="array" ref="J1692">_xlfn.LET(_xlpm.text, E1692,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2" s="14">
        <f t="shared" si="131"/>
        <v>46021</v>
      </c>
      <c r="L1692" s="14">
        <f t="shared" si="132"/>
        <v>46021.624664351853</v>
      </c>
      <c r="N1692" s="12"/>
    </row>
    <row r="1693" spans="1:14" x14ac:dyDescent="0.25">
      <c r="A1693" s="4" t="s">
        <v>1723</v>
      </c>
      <c r="B1693" s="16" t="str">
        <f t="shared" si="128"/>
        <v>M/s SHREE VISHNU MINERALS</v>
      </c>
      <c r="C1693" s="16" t="str">
        <f t="shared" si="129"/>
        <v>Mokha Charnan / Kolayat / Bikaner</v>
      </c>
      <c r="D1693" s="4" t="s">
        <v>3034</v>
      </c>
      <c r="E1693" s="4" t="s">
        <v>3119</v>
      </c>
      <c r="F1693" s="5">
        <v>46030.999664351853</v>
      </c>
      <c r="G1693" s="16" t="str">
        <f t="shared" si="130"/>
        <v>Silica Sand</v>
      </c>
      <c r="H1693" s="4" t="s">
        <v>2611</v>
      </c>
      <c r="I1693" s="18" t="str" cm="1">
        <f t="array" ref="I1693">_xlfn.LET(_xlpm.text, D1693,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3" s="18" t="str" cm="1">
        <f t="array" ref="J1693">_xlfn.LET(_xlpm.text, E1693,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3" s="14">
        <f t="shared" si="131"/>
        <v>46031</v>
      </c>
      <c r="L1693" s="14">
        <f t="shared" si="132"/>
        <v>46031.624664351853</v>
      </c>
      <c r="N1693" s="12"/>
    </row>
    <row r="1694" spans="1:14" x14ac:dyDescent="0.25">
      <c r="A1694" s="4" t="s">
        <v>1724</v>
      </c>
      <c r="B1694" s="16" t="str">
        <f t="shared" si="128"/>
        <v>M/s SHREE VISHNU MINERALS</v>
      </c>
      <c r="C1694" s="16" t="str">
        <f t="shared" si="129"/>
        <v>Mokha Charnan / Kolayat / Bikaner</v>
      </c>
      <c r="D1694" s="4" t="s">
        <v>3034</v>
      </c>
      <c r="E1694" s="4" t="s">
        <v>3119</v>
      </c>
      <c r="F1694" s="5">
        <v>46031.999664351853</v>
      </c>
      <c r="G1694" s="16" t="str">
        <f t="shared" si="130"/>
        <v>Silica Sand</v>
      </c>
      <c r="H1694" s="4" t="s">
        <v>2882</v>
      </c>
      <c r="I1694" s="18" t="str" cm="1">
        <f t="array" ref="I1694">_xlfn.LET(_xlpm.text, D1694,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4" s="18" t="str" cm="1">
        <f t="array" ref="J1694">_xlfn.LET(_xlpm.text, E1694,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4" s="14">
        <f t="shared" si="131"/>
        <v>46032</v>
      </c>
      <c r="L1694" s="14">
        <f t="shared" si="132"/>
        <v>46032.624664351853</v>
      </c>
      <c r="N1694" s="12"/>
    </row>
    <row r="1695" spans="1:14" x14ac:dyDescent="0.25">
      <c r="A1695" s="4" t="s">
        <v>1725</v>
      </c>
      <c r="B1695" s="16" t="str">
        <f t="shared" si="128"/>
        <v>M/s SHREE VISHNU MINERALS</v>
      </c>
      <c r="C1695" s="16" t="str">
        <f t="shared" si="129"/>
        <v>Mokha Charnan / Kolayat / Bikaner</v>
      </c>
      <c r="D1695" s="4" t="s">
        <v>3034</v>
      </c>
      <c r="E1695" s="4" t="s">
        <v>3119</v>
      </c>
      <c r="F1695" s="5">
        <v>46032.999664351853</v>
      </c>
      <c r="G1695" s="16" t="str">
        <f t="shared" si="130"/>
        <v>Silica Sand</v>
      </c>
      <c r="H1695" s="4" t="s">
        <v>2882</v>
      </c>
      <c r="I1695" s="18" t="str" cm="1">
        <f t="array" ref="I1695">_xlfn.LET(_xlpm.text, D1695,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5" s="18" t="str" cm="1">
        <f t="array" ref="J1695">_xlfn.LET(_xlpm.text, E1695,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5" s="14">
        <f t="shared" si="131"/>
        <v>46033</v>
      </c>
      <c r="L1695" s="14">
        <f t="shared" si="132"/>
        <v>46033.624664351853</v>
      </c>
      <c r="N1695" s="12"/>
    </row>
    <row r="1696" spans="1:14" x14ac:dyDescent="0.25">
      <c r="A1696" s="4" t="s">
        <v>1726</v>
      </c>
      <c r="B1696" s="16" t="str">
        <f t="shared" si="128"/>
        <v>S.R.MINES AND MINERLS</v>
      </c>
      <c r="C1696" s="16" t="str">
        <f t="shared" si="129"/>
        <v>Indo Ka Bala / Kolayat / Bikaner</v>
      </c>
      <c r="D1696" s="4" t="s">
        <v>3034</v>
      </c>
      <c r="E1696" s="4" t="s">
        <v>3119</v>
      </c>
      <c r="F1696" s="5">
        <v>46027.999664351853</v>
      </c>
      <c r="G1696" s="16" t="str">
        <f t="shared" si="130"/>
        <v>Silica Sand</v>
      </c>
      <c r="H1696" s="4" t="s">
        <v>2962</v>
      </c>
      <c r="I1696" s="18" t="str" cm="1">
        <f t="array" ref="I1696">_xlfn.LET(_xlpm.text, D1696,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6" s="18" t="str" cm="1">
        <f t="array" ref="J1696">_xlfn.LET(_xlpm.text, E1696,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6" s="14">
        <f t="shared" si="131"/>
        <v>46028</v>
      </c>
      <c r="L1696" s="14">
        <f t="shared" si="132"/>
        <v>46028.624664351853</v>
      </c>
      <c r="N1696" s="12"/>
    </row>
    <row r="1697" spans="1:14" x14ac:dyDescent="0.25">
      <c r="A1697" s="4" t="s">
        <v>1727</v>
      </c>
      <c r="B1697" s="16" t="str">
        <f t="shared" si="128"/>
        <v>S.R.MINES AND MINERLS</v>
      </c>
      <c r="C1697" s="16" t="str">
        <f t="shared" si="129"/>
        <v>Indo Ka Bala / Kolayat / Bikaner</v>
      </c>
      <c r="D1697" s="4" t="s">
        <v>3034</v>
      </c>
      <c r="E1697" s="4" t="s">
        <v>3119</v>
      </c>
      <c r="F1697" s="5">
        <v>46030.999664351853</v>
      </c>
      <c r="G1697" s="16" t="str">
        <f t="shared" si="130"/>
        <v>Silica Sand</v>
      </c>
      <c r="H1697" s="4" t="s">
        <v>2904</v>
      </c>
      <c r="I1697" s="18" t="str" cm="1">
        <f t="array" ref="I1697">_xlfn.LET(_xlpm.text, D1697,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7" s="18" t="str" cm="1">
        <f t="array" ref="J1697">_xlfn.LET(_xlpm.text, E1697,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7" s="14">
        <f t="shared" si="131"/>
        <v>46031</v>
      </c>
      <c r="L1697" s="14">
        <f t="shared" si="132"/>
        <v>46031.624664351853</v>
      </c>
      <c r="N1697" s="12"/>
    </row>
    <row r="1698" spans="1:14" x14ac:dyDescent="0.25">
      <c r="A1698" s="4" t="s">
        <v>1728</v>
      </c>
      <c r="B1698" s="16" t="str">
        <f t="shared" si="128"/>
        <v>S.R.MINES AND MINERLS</v>
      </c>
      <c r="C1698" s="16" t="str">
        <f t="shared" si="129"/>
        <v>Indo Ka Bala / Kolayat / Bikaner</v>
      </c>
      <c r="D1698" s="4" t="s">
        <v>3034</v>
      </c>
      <c r="E1698" s="4" t="s">
        <v>3119</v>
      </c>
      <c r="F1698" s="5">
        <v>46030.999664351853</v>
      </c>
      <c r="G1698" s="16" t="str">
        <f t="shared" si="130"/>
        <v>Silica Sand</v>
      </c>
      <c r="H1698" s="4" t="s">
        <v>2963</v>
      </c>
      <c r="I1698" s="18" t="str" cm="1">
        <f t="array" ref="I1698">_xlfn.LET(_xlpm.text, D1698,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8" s="18" t="str" cm="1">
        <f t="array" ref="J1698">_xlfn.LET(_xlpm.text, E1698,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8" s="14">
        <f t="shared" si="131"/>
        <v>46031</v>
      </c>
      <c r="L1698" s="14">
        <f t="shared" si="132"/>
        <v>46031.624664351853</v>
      </c>
      <c r="N1698" s="12"/>
    </row>
    <row r="1699" spans="1:14" x14ac:dyDescent="0.25">
      <c r="A1699" s="4" t="s">
        <v>1729</v>
      </c>
      <c r="B1699" s="16" t="str">
        <f t="shared" si="128"/>
        <v>S.R.MINES AND MINERLS</v>
      </c>
      <c r="C1699" s="16" t="str">
        <f t="shared" si="129"/>
        <v>Indo Ka Bala / Kolayat / Bikaner</v>
      </c>
      <c r="D1699" s="4" t="s">
        <v>3034</v>
      </c>
      <c r="E1699" s="4" t="s">
        <v>3119</v>
      </c>
      <c r="F1699" s="5">
        <v>46031.999664351853</v>
      </c>
      <c r="G1699" s="16" t="str">
        <f t="shared" si="130"/>
        <v>Silica Sand</v>
      </c>
      <c r="H1699" s="4" t="s">
        <v>2574</v>
      </c>
      <c r="I1699" s="18" t="str" cm="1">
        <f t="array" ref="I1699">_xlfn.LET(_xlpm.text, D1699,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699" s="18" t="str" cm="1">
        <f t="array" ref="J1699">_xlfn.LET(_xlpm.text, E1699,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699" s="14">
        <f t="shared" si="131"/>
        <v>46032</v>
      </c>
      <c r="L1699" s="14">
        <f t="shared" si="132"/>
        <v>46032.624664351853</v>
      </c>
      <c r="N1699" s="12"/>
    </row>
    <row r="1700" spans="1:14" x14ac:dyDescent="0.25">
      <c r="A1700" s="4" t="s">
        <v>1730</v>
      </c>
      <c r="B1700" s="16" t="str">
        <f t="shared" si="128"/>
        <v>M/s SHREE VISHNU MINERALS</v>
      </c>
      <c r="C1700" s="16" t="str">
        <f t="shared" si="129"/>
        <v>Mokha Charnan / Kolayat / Bikaner</v>
      </c>
      <c r="D1700" s="4" t="s">
        <v>3034</v>
      </c>
      <c r="E1700" s="4" t="s">
        <v>3119</v>
      </c>
      <c r="F1700" s="5">
        <v>46032.999664351853</v>
      </c>
      <c r="G1700" s="16" t="str">
        <f t="shared" si="130"/>
        <v>Silica Sand</v>
      </c>
      <c r="H1700" s="4" t="s">
        <v>2903</v>
      </c>
      <c r="I1700" s="18" t="str" cm="1">
        <f t="array" ref="I1700">_xlfn.LET(_xlpm.text, D1700,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0" s="18" t="str" cm="1">
        <f t="array" ref="J1700">_xlfn.LET(_xlpm.text, E1700,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0" s="14">
        <f t="shared" si="131"/>
        <v>46033</v>
      </c>
      <c r="L1700" s="14">
        <f t="shared" si="132"/>
        <v>46033.624664351853</v>
      </c>
      <c r="N1700" s="12"/>
    </row>
    <row r="1701" spans="1:14" x14ac:dyDescent="0.25">
      <c r="A1701" s="4" t="s">
        <v>1731</v>
      </c>
      <c r="B1701" s="16" t="str">
        <f t="shared" si="128"/>
        <v>M/s SHREE VISHNU MINERALS</v>
      </c>
      <c r="C1701" s="16" t="str">
        <f t="shared" si="129"/>
        <v>Mokha Charnan / Kolayat / Bikaner</v>
      </c>
      <c r="D1701" s="4" t="s">
        <v>3034</v>
      </c>
      <c r="E1701" s="4" t="s">
        <v>3119</v>
      </c>
      <c r="F1701" s="5">
        <v>46030.999664351853</v>
      </c>
      <c r="G1701" s="16" t="str">
        <f t="shared" si="130"/>
        <v>Silica Sand</v>
      </c>
      <c r="H1701" s="4" t="s">
        <v>2611</v>
      </c>
      <c r="I1701" s="18" t="str" cm="1">
        <f t="array" ref="I1701">_xlfn.LET(_xlpm.text, D1701,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1" s="18" t="str" cm="1">
        <f t="array" ref="J1701">_xlfn.LET(_xlpm.text, E1701,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1" s="14">
        <f t="shared" si="131"/>
        <v>46031</v>
      </c>
      <c r="L1701" s="14">
        <f t="shared" si="132"/>
        <v>46031.624664351853</v>
      </c>
      <c r="N1701" s="12"/>
    </row>
    <row r="1702" spans="1:14" x14ac:dyDescent="0.25">
      <c r="A1702" s="4" t="s">
        <v>1732</v>
      </c>
      <c r="B1702" s="16" t="str">
        <f t="shared" si="128"/>
        <v>M/s SHREE VISHNU MINERALS</v>
      </c>
      <c r="C1702" s="16" t="str">
        <f t="shared" si="129"/>
        <v>Mokha Charnan / Kolayat / Bikaner</v>
      </c>
      <c r="D1702" s="4" t="s">
        <v>3034</v>
      </c>
      <c r="E1702" s="4" t="s">
        <v>3119</v>
      </c>
      <c r="F1702" s="5">
        <v>46029.999664351853</v>
      </c>
      <c r="G1702" s="16" t="str">
        <f t="shared" si="130"/>
        <v>Silica Sand</v>
      </c>
      <c r="H1702" s="4" t="s">
        <v>2766</v>
      </c>
      <c r="I1702" s="18" t="str" cm="1">
        <f t="array" ref="I1702">_xlfn.LET(_xlpm.text, D1702,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2" s="18" t="str" cm="1">
        <f t="array" ref="J1702">_xlfn.LET(_xlpm.text, E1702,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2" s="14">
        <f t="shared" si="131"/>
        <v>46030</v>
      </c>
      <c r="L1702" s="14">
        <f t="shared" si="132"/>
        <v>46030.624664351853</v>
      </c>
      <c r="N1702" s="12"/>
    </row>
    <row r="1703" spans="1:14" x14ac:dyDescent="0.25">
      <c r="A1703" s="4" t="s">
        <v>1733</v>
      </c>
      <c r="B1703" s="16" t="str">
        <f t="shared" si="128"/>
        <v>M/s SHREE VISHNU MINERALS</v>
      </c>
      <c r="C1703" s="16" t="str">
        <f t="shared" si="129"/>
        <v>Mokha Charnan / Kolayat / Bikaner</v>
      </c>
      <c r="D1703" s="4" t="s">
        <v>3034</v>
      </c>
      <c r="E1703" s="4" t="s">
        <v>3119</v>
      </c>
      <c r="F1703" s="5">
        <v>46029.999664351853</v>
      </c>
      <c r="G1703" s="16" t="str">
        <f t="shared" si="130"/>
        <v>Silica Sand</v>
      </c>
      <c r="H1703" s="4" t="s">
        <v>2926</v>
      </c>
      <c r="I1703" s="18" t="str" cm="1">
        <f t="array" ref="I1703">_xlfn.LET(_xlpm.text, D1703,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3" s="18" t="str" cm="1">
        <f t="array" ref="J1703">_xlfn.LET(_xlpm.text, E1703,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3" s="14">
        <f t="shared" si="131"/>
        <v>46030</v>
      </c>
      <c r="L1703" s="14">
        <f t="shared" si="132"/>
        <v>46030.624664351853</v>
      </c>
      <c r="N1703" s="12"/>
    </row>
    <row r="1704" spans="1:14" x14ac:dyDescent="0.25">
      <c r="A1704" s="4" t="s">
        <v>1734</v>
      </c>
      <c r="B1704" s="16" t="str">
        <f t="shared" si="128"/>
        <v>M/s SHREE VISHNU MINERALS</v>
      </c>
      <c r="C1704" s="16" t="str">
        <f t="shared" si="129"/>
        <v>Mokha Charnan / Kolayat / Bikaner</v>
      </c>
      <c r="D1704" s="4" t="s">
        <v>3034</v>
      </c>
      <c r="E1704" s="4" t="s">
        <v>3119</v>
      </c>
      <c r="F1704" s="5">
        <v>46030.999664351853</v>
      </c>
      <c r="G1704" s="16" t="str">
        <f t="shared" si="130"/>
        <v>Silica Sand</v>
      </c>
      <c r="H1704" s="4" t="s">
        <v>2582</v>
      </c>
      <c r="I1704" s="18" t="str" cm="1">
        <f t="array" ref="I1704">_xlfn.LET(_xlpm.text, D1704,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4" s="18" t="str" cm="1">
        <f t="array" ref="J1704">_xlfn.LET(_xlpm.text, E1704,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4" s="14">
        <f t="shared" si="131"/>
        <v>46031</v>
      </c>
      <c r="L1704" s="14">
        <f t="shared" si="132"/>
        <v>46031.624664351853</v>
      </c>
      <c r="N1704" s="12"/>
    </row>
    <row r="1705" spans="1:14" x14ac:dyDescent="0.25">
      <c r="A1705" s="4" t="s">
        <v>1735</v>
      </c>
      <c r="B1705" s="16" t="str">
        <f t="shared" si="128"/>
        <v>M/s SHREE VISHNU MINERALS</v>
      </c>
      <c r="C1705" s="16" t="str">
        <f t="shared" si="129"/>
        <v>Mokha Charnan / Kolayat / Bikaner</v>
      </c>
      <c r="D1705" s="4" t="s">
        <v>3034</v>
      </c>
      <c r="E1705" s="4" t="s">
        <v>3119</v>
      </c>
      <c r="F1705" s="5">
        <v>46030.999664351853</v>
      </c>
      <c r="G1705" s="16" t="str">
        <f t="shared" si="130"/>
        <v>Silica Sand</v>
      </c>
      <c r="H1705" s="4" t="s">
        <v>2882</v>
      </c>
      <c r="I1705" s="18" t="str" cm="1">
        <f t="array" ref="I1705">_xlfn.LET(_xlpm.text, D1705,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5" s="18" t="str" cm="1">
        <f t="array" ref="J1705">_xlfn.LET(_xlpm.text, E1705,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5" s="14">
        <f t="shared" si="131"/>
        <v>46031</v>
      </c>
      <c r="L1705" s="14">
        <f t="shared" si="132"/>
        <v>46031.624664351853</v>
      </c>
      <c r="N1705" s="12"/>
    </row>
    <row r="1706" spans="1:14" x14ac:dyDescent="0.25">
      <c r="A1706" s="4" t="s">
        <v>1736</v>
      </c>
      <c r="B1706" s="16" t="str">
        <f t="shared" si="128"/>
        <v>M/s SHREE VISHNU MINERALS</v>
      </c>
      <c r="C1706" s="16" t="str">
        <f t="shared" si="129"/>
        <v>Mokha Charnan / Kolayat / Bikaner</v>
      </c>
      <c r="D1706" s="4" t="s">
        <v>3034</v>
      </c>
      <c r="E1706" s="4" t="s">
        <v>3119</v>
      </c>
      <c r="F1706" s="5">
        <v>46031.999664351853</v>
      </c>
      <c r="G1706" s="16" t="str">
        <f t="shared" si="130"/>
        <v>Silica Sand</v>
      </c>
      <c r="H1706" s="4" t="s">
        <v>2897</v>
      </c>
      <c r="I1706" s="18" t="str" cm="1">
        <f t="array" ref="I1706">_xlfn.LET(_xlpm.text, D1706,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6" s="18" t="str" cm="1">
        <f t="array" ref="J1706">_xlfn.LET(_xlpm.text, E1706,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6" s="14">
        <f t="shared" si="131"/>
        <v>46032</v>
      </c>
      <c r="L1706" s="14">
        <f t="shared" si="132"/>
        <v>46032.624664351853</v>
      </c>
      <c r="N1706" s="12"/>
    </row>
    <row r="1707" spans="1:14" x14ac:dyDescent="0.25">
      <c r="A1707" s="4" t="s">
        <v>1737</v>
      </c>
      <c r="B1707" s="16" t="str">
        <f t="shared" si="128"/>
        <v>M/s SHREE VISHNU MINERALS</v>
      </c>
      <c r="C1707" s="16" t="str">
        <f t="shared" si="129"/>
        <v>Mokha Charnan / Kolayat / Bikaner</v>
      </c>
      <c r="D1707" s="4" t="s">
        <v>3034</v>
      </c>
      <c r="E1707" s="4" t="s">
        <v>3119</v>
      </c>
      <c r="F1707" s="5">
        <v>46031.999664351853</v>
      </c>
      <c r="G1707" s="16" t="str">
        <f t="shared" si="130"/>
        <v>Silica Sand</v>
      </c>
      <c r="H1707" s="4" t="s">
        <v>2604</v>
      </c>
      <c r="I1707" s="18" t="str" cm="1">
        <f t="array" ref="I1707">_xlfn.LET(_xlpm.text, D1707,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7" s="18" t="str" cm="1">
        <f t="array" ref="J1707">_xlfn.LET(_xlpm.text, E1707,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7" s="14">
        <f t="shared" si="131"/>
        <v>46032</v>
      </c>
      <c r="L1707" s="14">
        <f t="shared" si="132"/>
        <v>46032.624664351853</v>
      </c>
      <c r="N1707" s="12"/>
    </row>
    <row r="1708" spans="1:14" x14ac:dyDescent="0.25">
      <c r="A1708" s="4" t="s">
        <v>1738</v>
      </c>
      <c r="B1708" s="16" t="str">
        <f t="shared" si="128"/>
        <v>M/s SHREE VISHNU MINERALS</v>
      </c>
      <c r="C1708" s="16" t="str">
        <f t="shared" si="129"/>
        <v>Mokha Charnan / Kolayat / Bikaner</v>
      </c>
      <c r="D1708" s="4" t="s">
        <v>3034</v>
      </c>
      <c r="E1708" s="4" t="s">
        <v>3119</v>
      </c>
      <c r="F1708" s="5">
        <v>46031.999664351853</v>
      </c>
      <c r="G1708" s="16" t="str">
        <f t="shared" si="130"/>
        <v>Silica Sand</v>
      </c>
      <c r="H1708" s="4" t="s">
        <v>2964</v>
      </c>
      <c r="I1708" s="18" t="str" cm="1">
        <f t="array" ref="I1708">_xlfn.LET(_xlpm.text, D1708,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8" s="18" t="str" cm="1">
        <f t="array" ref="J1708">_xlfn.LET(_xlpm.text, E1708,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8" s="14">
        <f t="shared" si="131"/>
        <v>46032</v>
      </c>
      <c r="L1708" s="14">
        <f t="shared" si="132"/>
        <v>46032.624664351853</v>
      </c>
      <c r="N1708" s="12"/>
    </row>
    <row r="1709" spans="1:14" x14ac:dyDescent="0.25">
      <c r="A1709" s="4" t="s">
        <v>1739</v>
      </c>
      <c r="B1709" s="16" t="str">
        <f t="shared" si="128"/>
        <v>M/s SHREE VISHNU MINERALS</v>
      </c>
      <c r="C1709" s="16" t="str">
        <f t="shared" si="129"/>
        <v>Mokha Charnan / Kolayat / Bikaner</v>
      </c>
      <c r="D1709" s="4" t="s">
        <v>3034</v>
      </c>
      <c r="E1709" s="4" t="s">
        <v>3119</v>
      </c>
      <c r="F1709" s="5">
        <v>46031.999664351853</v>
      </c>
      <c r="G1709" s="16" t="str">
        <f t="shared" si="130"/>
        <v>Silica Sand</v>
      </c>
      <c r="H1709" s="4" t="s">
        <v>344</v>
      </c>
      <c r="I1709" s="18" t="str" cm="1">
        <f t="array" ref="I1709">_xlfn.LET(_xlpm.text, D1709,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09" s="18" t="str" cm="1">
        <f t="array" ref="J1709">_xlfn.LET(_xlpm.text, E1709,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09" s="14">
        <f t="shared" si="131"/>
        <v>46032</v>
      </c>
      <c r="L1709" s="14">
        <f t="shared" si="132"/>
        <v>46032.624664351853</v>
      </c>
      <c r="N1709" s="12"/>
    </row>
    <row r="1710" spans="1:14" x14ac:dyDescent="0.25">
      <c r="A1710" s="4" t="s">
        <v>1740</v>
      </c>
      <c r="B1710" s="16" t="str">
        <f t="shared" si="128"/>
        <v>M/s SHREE VISHNU MINERALS</v>
      </c>
      <c r="C1710" s="16" t="str">
        <f t="shared" si="129"/>
        <v>Mokha Charnan / Kolayat / Bikaner</v>
      </c>
      <c r="D1710" s="4" t="s">
        <v>3034</v>
      </c>
      <c r="E1710" s="4" t="s">
        <v>3119</v>
      </c>
      <c r="F1710" s="5">
        <v>46032.999664351853</v>
      </c>
      <c r="G1710" s="16" t="str">
        <f t="shared" si="130"/>
        <v>Silica Sand</v>
      </c>
      <c r="H1710" s="4" t="s">
        <v>2918</v>
      </c>
      <c r="I1710" s="18" t="str" cm="1">
        <f t="array" ref="I1710">_xlfn.LET(_xlpm.text, D1710,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10" s="18" t="str" cm="1">
        <f t="array" ref="J1710">_xlfn.LET(_xlpm.text, E1710,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0" s="14">
        <f t="shared" si="131"/>
        <v>46033</v>
      </c>
      <c r="L1710" s="14">
        <f t="shared" si="132"/>
        <v>46033.624664351853</v>
      </c>
      <c r="N1710" s="12"/>
    </row>
    <row r="1711" spans="1:14" x14ac:dyDescent="0.25">
      <c r="A1711" s="4" t="s">
        <v>1741</v>
      </c>
      <c r="B1711" s="16" t="str">
        <f t="shared" si="128"/>
        <v>M/s SHREE VISHNU MINERALS</v>
      </c>
      <c r="C1711" s="16" t="str">
        <f t="shared" si="129"/>
        <v>Mokha Charnan / Kolayat / Bikaner</v>
      </c>
      <c r="D1711" s="4" t="s">
        <v>3034</v>
      </c>
      <c r="E1711" s="4" t="s">
        <v>3119</v>
      </c>
      <c r="F1711" s="5">
        <v>46032.999664351853</v>
      </c>
      <c r="G1711" s="16" t="str">
        <f t="shared" si="130"/>
        <v>Silica Sand</v>
      </c>
      <c r="H1711" s="4" t="s">
        <v>2399</v>
      </c>
      <c r="I1711" s="18" t="str" cm="1">
        <f t="array" ref="I1711">_xlfn.LET(_xlpm.text, D1711,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11" s="18" t="str" cm="1">
        <f t="array" ref="J1711">_xlfn.LET(_xlpm.text, E1711,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1" s="14">
        <f t="shared" si="131"/>
        <v>46033</v>
      </c>
      <c r="L1711" s="14">
        <f t="shared" si="132"/>
        <v>46033.624664351853</v>
      </c>
      <c r="N1711" s="12"/>
    </row>
    <row r="1712" spans="1:14" x14ac:dyDescent="0.25">
      <c r="A1712" s="4" t="s">
        <v>1742</v>
      </c>
      <c r="B1712" s="16" t="str">
        <f t="shared" si="128"/>
        <v>M/s SHREE VISHNU MINERALS</v>
      </c>
      <c r="C1712" s="16" t="str">
        <f t="shared" si="129"/>
        <v>Mokha Charnan / Kolayat / Bikaner</v>
      </c>
      <c r="D1712" s="4" t="s">
        <v>3034</v>
      </c>
      <c r="E1712" s="4" t="s">
        <v>3119</v>
      </c>
      <c r="F1712" s="5">
        <v>46032.999664351853</v>
      </c>
      <c r="G1712" s="16" t="str">
        <f t="shared" si="130"/>
        <v>Silica Sand</v>
      </c>
      <c r="H1712" s="4" t="s">
        <v>2926</v>
      </c>
      <c r="I1712" s="18" t="str" cm="1">
        <f t="array" ref="I1712">_xlfn.LET(_xlpm.text, D1712,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12" s="18" t="str" cm="1">
        <f t="array" ref="J1712">_xlfn.LET(_xlpm.text, E1712,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2" s="14">
        <f t="shared" si="131"/>
        <v>46033</v>
      </c>
      <c r="L1712" s="14">
        <f t="shared" si="132"/>
        <v>46033.624664351853</v>
      </c>
      <c r="N1712" s="12"/>
    </row>
    <row r="1713" spans="1:14" x14ac:dyDescent="0.25">
      <c r="A1713" s="4" t="s">
        <v>1743</v>
      </c>
      <c r="B1713" s="16" t="str">
        <f t="shared" si="128"/>
        <v>M/s SHREE VISHNU MINERALS</v>
      </c>
      <c r="C1713" s="16" t="str">
        <f t="shared" si="129"/>
        <v>Mokha Charnan / Kolayat / Bikaner</v>
      </c>
      <c r="D1713" s="4" t="s">
        <v>3034</v>
      </c>
      <c r="E1713" s="4" t="s">
        <v>3119</v>
      </c>
      <c r="F1713" s="5">
        <v>46032.999664351853</v>
      </c>
      <c r="G1713" s="16" t="str">
        <f t="shared" si="130"/>
        <v>Silica Sand</v>
      </c>
      <c r="H1713" s="4" t="s">
        <v>2907</v>
      </c>
      <c r="I1713" s="18" t="str" cm="1">
        <f t="array" ref="I1713">_xlfn.LET(_xlpm.text, D1713,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13" s="18" t="str" cm="1">
        <f t="array" ref="J1713">_xlfn.LET(_xlpm.text, E1713,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3" s="14">
        <f t="shared" si="131"/>
        <v>46033</v>
      </c>
      <c r="L1713" s="14">
        <f t="shared" si="132"/>
        <v>46033.624664351853</v>
      </c>
      <c r="N1713" s="12"/>
    </row>
    <row r="1714" spans="1:14" x14ac:dyDescent="0.25">
      <c r="A1714" s="4" t="s">
        <v>1744</v>
      </c>
      <c r="B1714" s="16" t="str">
        <f t="shared" si="128"/>
        <v>MANOJ NAYAK</v>
      </c>
      <c r="C1714" s="16" t="str">
        <f t="shared" si="129"/>
        <v>Gangapura Chak No.7 / Kolayat / Bikaner</v>
      </c>
      <c r="D1714" s="4" t="s">
        <v>3033</v>
      </c>
      <c r="E1714" s="4" t="s">
        <v>3119</v>
      </c>
      <c r="F1714" s="5">
        <v>46029.999664351853</v>
      </c>
      <c r="G1714" s="16" t="str">
        <f t="shared" si="130"/>
        <v>Silica Sand</v>
      </c>
      <c r="H1714" s="4" t="s">
        <v>2886</v>
      </c>
      <c r="I1714" s="18" t="str" cm="1">
        <f t="array" ref="I1714">_xlfn.LET(_xlpm.text, D1714,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14" s="18" t="str" cm="1">
        <f t="array" ref="J1714">_xlfn.LET(_xlpm.text, E1714,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4" s="14">
        <f t="shared" si="131"/>
        <v>46030</v>
      </c>
      <c r="L1714" s="14">
        <f t="shared" si="132"/>
        <v>46030.624664351853</v>
      </c>
      <c r="N1714" s="12"/>
    </row>
    <row r="1715" spans="1:14" x14ac:dyDescent="0.25">
      <c r="A1715" s="4" t="s">
        <v>1745</v>
      </c>
      <c r="B1715" s="16" t="str">
        <f t="shared" si="128"/>
        <v>MANOJ NAYAK</v>
      </c>
      <c r="C1715" s="16" t="str">
        <f t="shared" si="129"/>
        <v>Gangapura Chak No.7 / Kolayat / Bikaner</v>
      </c>
      <c r="D1715" s="4" t="s">
        <v>3033</v>
      </c>
      <c r="E1715" s="4" t="s">
        <v>3119</v>
      </c>
      <c r="F1715" s="5">
        <v>46029.999664351853</v>
      </c>
      <c r="G1715" s="16" t="str">
        <f t="shared" si="130"/>
        <v>Silica Sand</v>
      </c>
      <c r="H1715" s="4" t="s">
        <v>2916</v>
      </c>
      <c r="I1715" s="18" t="str" cm="1">
        <f t="array" ref="I1715">_xlfn.LET(_xlpm.text, D1715,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15" s="18" t="str" cm="1">
        <f t="array" ref="J1715">_xlfn.LET(_xlpm.text, E1715,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5" s="14">
        <f t="shared" si="131"/>
        <v>46030</v>
      </c>
      <c r="L1715" s="14">
        <f t="shared" si="132"/>
        <v>46030.624664351853</v>
      </c>
      <c r="N1715" s="12"/>
    </row>
    <row r="1716" spans="1:14" x14ac:dyDescent="0.25">
      <c r="A1716" s="4" t="s">
        <v>1746</v>
      </c>
      <c r="B1716" s="16" t="str">
        <f t="shared" si="128"/>
        <v>MANOJ NAYAK</v>
      </c>
      <c r="C1716" s="16" t="str">
        <f t="shared" si="129"/>
        <v>Gangapura Chak No.7 / Kolayat / Bikaner</v>
      </c>
      <c r="D1716" s="4" t="s">
        <v>3033</v>
      </c>
      <c r="E1716" s="4" t="s">
        <v>3119</v>
      </c>
      <c r="F1716" s="5">
        <v>46028.999664351853</v>
      </c>
      <c r="G1716" s="16" t="str">
        <f t="shared" si="130"/>
        <v>Silica Sand</v>
      </c>
      <c r="H1716" s="4" t="s">
        <v>2885</v>
      </c>
      <c r="I1716" s="18" t="str" cm="1">
        <f t="array" ref="I1716">_xlfn.LET(_xlpm.text, D1716,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16" s="18" t="str" cm="1">
        <f t="array" ref="J1716">_xlfn.LET(_xlpm.text, E1716,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6" s="14">
        <f t="shared" si="131"/>
        <v>46029</v>
      </c>
      <c r="L1716" s="14">
        <f t="shared" si="132"/>
        <v>46029.624664351853</v>
      </c>
      <c r="N1716" s="12"/>
    </row>
    <row r="1717" spans="1:14" x14ac:dyDescent="0.25">
      <c r="A1717" s="4" t="s">
        <v>1747</v>
      </c>
      <c r="B1717" s="16" t="str">
        <f t="shared" si="128"/>
        <v>MANOJ NAYAK</v>
      </c>
      <c r="C1717" s="16" t="str">
        <f t="shared" si="129"/>
        <v>Gangapura Chak No.7 / Kolayat / Bikaner</v>
      </c>
      <c r="D1717" s="4" t="s">
        <v>3033</v>
      </c>
      <c r="E1717" s="4" t="s">
        <v>3119</v>
      </c>
      <c r="F1717" s="5">
        <v>46028.999664351853</v>
      </c>
      <c r="G1717" s="16" t="str">
        <f t="shared" si="130"/>
        <v>Silica Sand</v>
      </c>
      <c r="H1717" s="4" t="s">
        <v>2885</v>
      </c>
      <c r="I1717" s="18" t="str" cm="1">
        <f t="array" ref="I1717">_xlfn.LET(_xlpm.text, D1717,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17" s="18" t="str" cm="1">
        <f t="array" ref="J1717">_xlfn.LET(_xlpm.text, E1717,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7" s="14">
        <f t="shared" si="131"/>
        <v>46029</v>
      </c>
      <c r="L1717" s="14">
        <f t="shared" si="132"/>
        <v>46029.624664351853</v>
      </c>
      <c r="N1717" s="12"/>
    </row>
    <row r="1718" spans="1:14" x14ac:dyDescent="0.25">
      <c r="A1718" s="4" t="s">
        <v>1748</v>
      </c>
      <c r="B1718" s="16" t="str">
        <f t="shared" si="128"/>
        <v>MANOJ NAYAK</v>
      </c>
      <c r="C1718" s="16" t="str">
        <f t="shared" si="129"/>
        <v>Gangapura Chak No.7 / Kolayat / Bikaner</v>
      </c>
      <c r="D1718" s="4" t="s">
        <v>3033</v>
      </c>
      <c r="E1718" s="4" t="s">
        <v>3119</v>
      </c>
      <c r="F1718" s="5">
        <v>46028.999664351853</v>
      </c>
      <c r="G1718" s="16" t="str">
        <f t="shared" si="130"/>
        <v>Silica Sand</v>
      </c>
      <c r="H1718" s="4" t="s">
        <v>2965</v>
      </c>
      <c r="I1718" s="18" t="str" cm="1">
        <f t="array" ref="I1718">_xlfn.LET(_xlpm.text, D1718,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18" s="18" t="str" cm="1">
        <f t="array" ref="J1718">_xlfn.LET(_xlpm.text, E1718,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8" s="14">
        <f t="shared" si="131"/>
        <v>46029</v>
      </c>
      <c r="L1718" s="14">
        <f t="shared" si="132"/>
        <v>46029.624664351853</v>
      </c>
      <c r="N1718" s="12"/>
    </row>
    <row r="1719" spans="1:14" x14ac:dyDescent="0.25">
      <c r="A1719" s="4" t="s">
        <v>1749</v>
      </c>
      <c r="B1719" s="16" t="str">
        <f t="shared" si="128"/>
        <v>MANOJ NAYAK</v>
      </c>
      <c r="C1719" s="16" t="str">
        <f t="shared" si="129"/>
        <v>Gangapura Chak No.7 / Kolayat / Bikaner</v>
      </c>
      <c r="D1719" s="4" t="s">
        <v>3033</v>
      </c>
      <c r="E1719" s="4" t="s">
        <v>3119</v>
      </c>
      <c r="F1719" s="5">
        <v>46030.999664351853</v>
      </c>
      <c r="G1719" s="16" t="str">
        <f t="shared" si="130"/>
        <v>Silica Sand</v>
      </c>
      <c r="H1719" s="4" t="s">
        <v>2966</v>
      </c>
      <c r="I1719" s="18" t="str" cm="1">
        <f t="array" ref="I1719">_xlfn.LET(_xlpm.text, D1719,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19" s="18" t="str" cm="1">
        <f t="array" ref="J1719">_xlfn.LET(_xlpm.text, E1719,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19" s="14">
        <f t="shared" si="131"/>
        <v>46031</v>
      </c>
      <c r="L1719" s="14">
        <f t="shared" si="132"/>
        <v>46031.624664351853</v>
      </c>
      <c r="N1719" s="12"/>
    </row>
    <row r="1720" spans="1:14" x14ac:dyDescent="0.25">
      <c r="A1720" s="4" t="s">
        <v>1750</v>
      </c>
      <c r="B1720" s="16" t="str">
        <f t="shared" si="128"/>
        <v>MANOJ NAYAK</v>
      </c>
      <c r="C1720" s="16" t="str">
        <f t="shared" si="129"/>
        <v>Gangapura Chak No.7 / Kolayat / Bikaner</v>
      </c>
      <c r="D1720" s="4" t="s">
        <v>3033</v>
      </c>
      <c r="E1720" s="4" t="s">
        <v>3119</v>
      </c>
      <c r="F1720" s="5">
        <v>46028.999664351853</v>
      </c>
      <c r="G1720" s="16" t="str">
        <f t="shared" si="130"/>
        <v>Silica Sand</v>
      </c>
      <c r="H1720" s="4" t="s">
        <v>2967</v>
      </c>
      <c r="I1720" s="18" t="str" cm="1">
        <f t="array" ref="I1720">_xlfn.LET(_xlpm.text, D1720,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0" s="18" t="str" cm="1">
        <f t="array" ref="J1720">_xlfn.LET(_xlpm.text, E1720,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0" s="14">
        <f t="shared" si="131"/>
        <v>46029</v>
      </c>
      <c r="L1720" s="14">
        <f t="shared" si="132"/>
        <v>46029.624664351853</v>
      </c>
      <c r="N1720" s="12"/>
    </row>
    <row r="1721" spans="1:14" x14ac:dyDescent="0.25">
      <c r="A1721" s="4" t="s">
        <v>1751</v>
      </c>
      <c r="B1721" s="16" t="str">
        <f t="shared" si="128"/>
        <v>MANOJ NAYAK</v>
      </c>
      <c r="C1721" s="16" t="str">
        <f t="shared" si="129"/>
        <v>Gangapura Chak No.7 / Kolayat / Bikaner</v>
      </c>
      <c r="D1721" s="4" t="s">
        <v>3033</v>
      </c>
      <c r="E1721" s="4" t="s">
        <v>3119</v>
      </c>
      <c r="F1721" s="5">
        <v>46014.999664351853</v>
      </c>
      <c r="G1721" s="16" t="str">
        <f t="shared" si="130"/>
        <v>Silica Sand</v>
      </c>
      <c r="H1721" s="4" t="s">
        <v>2968</v>
      </c>
      <c r="I1721" s="18" t="str" cm="1">
        <f t="array" ref="I1721">_xlfn.LET(_xlpm.text, D1721,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1" s="18" t="str" cm="1">
        <f t="array" ref="J1721">_xlfn.LET(_xlpm.text, E1721,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1" s="14">
        <f t="shared" si="131"/>
        <v>46015</v>
      </c>
      <c r="L1721" s="14">
        <f t="shared" si="132"/>
        <v>46015.624664351853</v>
      </c>
      <c r="N1721" s="12"/>
    </row>
    <row r="1722" spans="1:14" x14ac:dyDescent="0.25">
      <c r="A1722" s="4" t="s">
        <v>1752</v>
      </c>
      <c r="B1722" s="16" t="str">
        <f t="shared" si="128"/>
        <v>MANOJ NAYAK</v>
      </c>
      <c r="C1722" s="16" t="str">
        <f t="shared" si="129"/>
        <v>Gangapura Chak No.7 / Kolayat / Bikaner</v>
      </c>
      <c r="D1722" s="4" t="s">
        <v>3033</v>
      </c>
      <c r="E1722" s="4" t="s">
        <v>3119</v>
      </c>
      <c r="F1722" s="5">
        <v>46030.999664351853</v>
      </c>
      <c r="G1722" s="16" t="str">
        <f t="shared" si="130"/>
        <v>Silica Sand</v>
      </c>
      <c r="H1722" s="4" t="s">
        <v>2969</v>
      </c>
      <c r="I1722" s="18" t="str" cm="1">
        <f t="array" ref="I1722">_xlfn.LET(_xlpm.text, D1722,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2" s="18" t="str" cm="1">
        <f t="array" ref="J1722">_xlfn.LET(_xlpm.text, E1722,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2" s="14">
        <f t="shared" si="131"/>
        <v>46031</v>
      </c>
      <c r="L1722" s="14">
        <f t="shared" si="132"/>
        <v>46031.624664351853</v>
      </c>
      <c r="N1722" s="12"/>
    </row>
    <row r="1723" spans="1:14" x14ac:dyDescent="0.25">
      <c r="A1723" s="4" t="s">
        <v>1753</v>
      </c>
      <c r="B1723" s="16" t="str">
        <f t="shared" si="128"/>
        <v>MANOJ NAYAK</v>
      </c>
      <c r="C1723" s="16" t="str">
        <f t="shared" si="129"/>
        <v>Gangapura Chak No.7 / Kolayat / Bikaner</v>
      </c>
      <c r="D1723" s="4" t="s">
        <v>3033</v>
      </c>
      <c r="E1723" s="4" t="s">
        <v>3119</v>
      </c>
      <c r="F1723" s="5">
        <v>46014.999664351853</v>
      </c>
      <c r="G1723" s="16" t="str">
        <f t="shared" si="130"/>
        <v>Silica Sand</v>
      </c>
      <c r="H1723" s="4" t="s">
        <v>2970</v>
      </c>
      <c r="I1723" s="18" t="str" cm="1">
        <f t="array" ref="I1723">_xlfn.LET(_xlpm.text, D1723,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3" s="18" t="str" cm="1">
        <f t="array" ref="J1723">_xlfn.LET(_xlpm.text, E1723,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3" s="14">
        <f t="shared" si="131"/>
        <v>46015</v>
      </c>
      <c r="L1723" s="14">
        <f t="shared" si="132"/>
        <v>46015.624664351853</v>
      </c>
      <c r="N1723" s="12"/>
    </row>
    <row r="1724" spans="1:14" x14ac:dyDescent="0.25">
      <c r="A1724" s="4" t="s">
        <v>1754</v>
      </c>
      <c r="B1724" s="16" t="str">
        <f t="shared" si="128"/>
        <v>MANOJ NAYAK</v>
      </c>
      <c r="C1724" s="16" t="str">
        <f t="shared" si="129"/>
        <v>Gangapura Chak No.7 / Kolayat / Bikaner</v>
      </c>
      <c r="D1724" s="4" t="s">
        <v>3033</v>
      </c>
      <c r="E1724" s="4" t="s">
        <v>3119</v>
      </c>
      <c r="F1724" s="5">
        <v>46014.999664351853</v>
      </c>
      <c r="G1724" s="16" t="str">
        <f t="shared" si="130"/>
        <v>Silica Sand</v>
      </c>
      <c r="H1724" s="4" t="s">
        <v>2945</v>
      </c>
      <c r="I1724" s="18" t="str" cm="1">
        <f t="array" ref="I1724">_xlfn.LET(_xlpm.text, D1724,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4" s="18" t="str" cm="1">
        <f t="array" ref="J1724">_xlfn.LET(_xlpm.text, E1724,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4" s="14">
        <f t="shared" si="131"/>
        <v>46015</v>
      </c>
      <c r="L1724" s="14">
        <f t="shared" si="132"/>
        <v>46015.624664351853</v>
      </c>
      <c r="N1724" s="12"/>
    </row>
    <row r="1725" spans="1:14" x14ac:dyDescent="0.25">
      <c r="A1725" s="4" t="s">
        <v>1755</v>
      </c>
      <c r="B1725" s="16" t="str">
        <f t="shared" si="128"/>
        <v>MANOJ NAYAK</v>
      </c>
      <c r="C1725" s="16" t="str">
        <f t="shared" si="129"/>
        <v>Gangapura Chak No.7 / Kolayat / Bikaner</v>
      </c>
      <c r="D1725" s="4" t="s">
        <v>3033</v>
      </c>
      <c r="E1725" s="4" t="s">
        <v>3119</v>
      </c>
      <c r="F1725" s="5">
        <v>46015.999664351853</v>
      </c>
      <c r="G1725" s="16" t="str">
        <f t="shared" si="130"/>
        <v>Silica Sand</v>
      </c>
      <c r="H1725" s="4" t="s">
        <v>2946</v>
      </c>
      <c r="I1725" s="18" t="str" cm="1">
        <f t="array" ref="I1725">_xlfn.LET(_xlpm.text, D1725,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5" s="18" t="str" cm="1">
        <f t="array" ref="J1725">_xlfn.LET(_xlpm.text, E1725,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5" s="14">
        <f t="shared" si="131"/>
        <v>46016</v>
      </c>
      <c r="L1725" s="14">
        <f t="shared" si="132"/>
        <v>46016.624664351853</v>
      </c>
      <c r="N1725" s="12"/>
    </row>
    <row r="1726" spans="1:14" x14ac:dyDescent="0.25">
      <c r="A1726" s="4" t="s">
        <v>1756</v>
      </c>
      <c r="B1726" s="16" t="str">
        <f t="shared" si="128"/>
        <v>MANOJ NAYAK</v>
      </c>
      <c r="C1726" s="16" t="str">
        <f t="shared" si="129"/>
        <v>Gangapura Chak No.7 / Kolayat / Bikaner</v>
      </c>
      <c r="D1726" s="4" t="s">
        <v>3033</v>
      </c>
      <c r="E1726" s="4" t="s">
        <v>3119</v>
      </c>
      <c r="F1726" s="5">
        <v>46014.999664351853</v>
      </c>
      <c r="G1726" s="16" t="str">
        <f t="shared" si="130"/>
        <v>Silica Sand</v>
      </c>
      <c r="H1726" s="4" t="s">
        <v>2965</v>
      </c>
      <c r="I1726" s="18" t="str" cm="1">
        <f t="array" ref="I1726">_xlfn.LET(_xlpm.text, D1726,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26" s="18" t="str" cm="1">
        <f t="array" ref="J1726">_xlfn.LET(_xlpm.text, E1726,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6" s="14">
        <f t="shared" si="131"/>
        <v>46015</v>
      </c>
      <c r="L1726" s="14">
        <f t="shared" si="132"/>
        <v>46015.624664351853</v>
      </c>
      <c r="N1726" s="12"/>
    </row>
    <row r="1727" spans="1:14" x14ac:dyDescent="0.25">
      <c r="A1727" s="4" t="s">
        <v>1757</v>
      </c>
      <c r="B1727" s="16" t="str">
        <f t="shared" si="128"/>
        <v>M/s SHREE VISHNU MINERALS</v>
      </c>
      <c r="C1727" s="16" t="str">
        <f t="shared" si="129"/>
        <v>Mokha Charnan / Kolayat / Bikaner</v>
      </c>
      <c r="D1727" s="4" t="s">
        <v>3032</v>
      </c>
      <c r="E1727" s="4" t="s">
        <v>3119</v>
      </c>
      <c r="F1727" s="5">
        <v>46036.999664351853</v>
      </c>
      <c r="G1727" s="16" t="str">
        <f t="shared" si="130"/>
        <v>Silica Sand</v>
      </c>
      <c r="H1727" s="4" t="s">
        <v>2661</v>
      </c>
      <c r="I1727" s="18" t="str" cm="1">
        <f t="array" ref="I1727">_xlfn.LET(_xlpm.text, D1727,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27" s="18" t="str" cm="1">
        <f t="array" ref="J1727">_xlfn.LET(_xlpm.text, E1727,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7" s="14">
        <f t="shared" si="131"/>
        <v>46037</v>
      </c>
      <c r="L1727" s="14">
        <f t="shared" si="132"/>
        <v>46037.624664351853</v>
      </c>
      <c r="N1727" s="12"/>
    </row>
    <row r="1728" spans="1:14" x14ac:dyDescent="0.25">
      <c r="A1728" s="4" t="s">
        <v>1758</v>
      </c>
      <c r="B1728" s="16" t="str">
        <f t="shared" si="128"/>
        <v>M/s SHREE VISHNU MINERALS</v>
      </c>
      <c r="C1728" s="16" t="str">
        <f t="shared" si="129"/>
        <v>Mokha Charnan / Kolayat / Bikaner</v>
      </c>
      <c r="D1728" s="4" t="s">
        <v>3032</v>
      </c>
      <c r="E1728" s="4" t="s">
        <v>3119</v>
      </c>
      <c r="F1728" s="5">
        <v>46033.999664351853</v>
      </c>
      <c r="G1728" s="16" t="str">
        <f t="shared" si="130"/>
        <v>Silica Sand</v>
      </c>
      <c r="H1728" s="4" t="s">
        <v>2908</v>
      </c>
      <c r="I1728" s="18" t="str" cm="1">
        <f t="array" ref="I1728">_xlfn.LET(_xlpm.text, D1728,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28" s="18" t="str" cm="1">
        <f t="array" ref="J1728">_xlfn.LET(_xlpm.text, E1728,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8" s="14">
        <f t="shared" si="131"/>
        <v>46034</v>
      </c>
      <c r="L1728" s="14">
        <f t="shared" si="132"/>
        <v>46034.624664351853</v>
      </c>
      <c r="N1728" s="12"/>
    </row>
    <row r="1729" spans="1:14" x14ac:dyDescent="0.25">
      <c r="A1729" s="4" t="s">
        <v>1759</v>
      </c>
      <c r="B1729" s="16" t="str">
        <f t="shared" si="128"/>
        <v>M/s SHREE VISHNU MINERALS</v>
      </c>
      <c r="C1729" s="16" t="str">
        <f t="shared" si="129"/>
        <v>Mokha Charnan / Kolayat / Bikaner</v>
      </c>
      <c r="D1729" s="4" t="s">
        <v>3032</v>
      </c>
      <c r="E1729" s="4" t="s">
        <v>3119</v>
      </c>
      <c r="F1729" s="5">
        <v>46031.999664351853</v>
      </c>
      <c r="G1729" s="16" t="str">
        <f t="shared" si="130"/>
        <v>Silica Sand</v>
      </c>
      <c r="H1729" s="4" t="s">
        <v>2582</v>
      </c>
      <c r="I1729" s="18" t="str" cm="1">
        <f t="array" ref="I1729">_xlfn.LET(_xlpm.text, D1729,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29" s="18" t="str" cm="1">
        <f t="array" ref="J1729">_xlfn.LET(_xlpm.text, E1729,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29" s="14">
        <f t="shared" si="131"/>
        <v>46032</v>
      </c>
      <c r="L1729" s="14">
        <f t="shared" si="132"/>
        <v>46032.624664351853</v>
      </c>
      <c r="N1729" s="12"/>
    </row>
    <row r="1730" spans="1:14" x14ac:dyDescent="0.25">
      <c r="A1730" s="4" t="s">
        <v>1760</v>
      </c>
      <c r="B1730" s="16" t="str">
        <f t="shared" ref="B1730:B1793" si="133">VLOOKUP(LEFT($A1730,4)&amp;"*",$O$3:$R$17, 2, FALSE)</f>
        <v>M/s SHREE VISHNU MINERALS</v>
      </c>
      <c r="C1730" s="16" t="str">
        <f t="shared" ref="C1730:C1793" si="134">VLOOKUP(LEFT($A1730,4)&amp;"*",$O$3:$R$17, 3, FALSE)</f>
        <v>Mokha Charnan / Kolayat / Bikaner</v>
      </c>
      <c r="D1730" s="4" t="s">
        <v>3032</v>
      </c>
      <c r="E1730" s="4" t="s">
        <v>3119</v>
      </c>
      <c r="F1730" s="5">
        <v>46032.999664351853</v>
      </c>
      <c r="G1730" s="16" t="str">
        <f t="shared" ref="G1730:G1793" si="135">VLOOKUP(LEFT($A1730,4)&amp;"*",$O$3:$R$17, 4, FALSE)</f>
        <v>Silica Sand</v>
      </c>
      <c r="H1730" s="4" t="s">
        <v>2899</v>
      </c>
      <c r="I1730" s="18" t="str" cm="1">
        <f t="array" ref="I1730">_xlfn.LET(_xlpm.text, D1730,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0" s="18" t="str" cm="1">
        <f t="array" ref="J1730">_xlfn.LET(_xlpm.text, E1730,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0" s="14">
        <f t="shared" si="131"/>
        <v>46033</v>
      </c>
      <c r="L1730" s="14">
        <f t="shared" si="132"/>
        <v>46033.624664351853</v>
      </c>
      <c r="N1730" s="12"/>
    </row>
    <row r="1731" spans="1:14" x14ac:dyDescent="0.25">
      <c r="A1731" s="4" t="s">
        <v>1761</v>
      </c>
      <c r="B1731" s="16" t="str">
        <f t="shared" si="133"/>
        <v>M/s SHREE VISHNU MINERALS</v>
      </c>
      <c r="C1731" s="16" t="str">
        <f t="shared" si="134"/>
        <v>Mokha Charnan / Kolayat / Bikaner</v>
      </c>
      <c r="D1731" s="4" t="s">
        <v>3032</v>
      </c>
      <c r="E1731" s="4" t="s">
        <v>3119</v>
      </c>
      <c r="F1731" s="5">
        <v>46033.999664351853</v>
      </c>
      <c r="G1731" s="16" t="str">
        <f t="shared" si="135"/>
        <v>Silica Sand</v>
      </c>
      <c r="H1731" s="4" t="s">
        <v>2315</v>
      </c>
      <c r="I1731" s="18" t="str" cm="1">
        <f t="array" ref="I1731">_xlfn.LET(_xlpm.text, D1731,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1" s="18" t="str" cm="1">
        <f t="array" ref="J1731">_xlfn.LET(_xlpm.text, E1731,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1" s="14">
        <f t="shared" ref="K1731:K1794" si="136">F1731+(29/86400)</f>
        <v>46034</v>
      </c>
      <c r="L1731" s="14">
        <f t="shared" ref="L1731:L1794" si="137">F1731+(15/24)</f>
        <v>46034.624664351853</v>
      </c>
      <c r="N1731" s="12"/>
    </row>
    <row r="1732" spans="1:14" x14ac:dyDescent="0.25">
      <c r="A1732" s="4" t="s">
        <v>1762</v>
      </c>
      <c r="B1732" s="16" t="str">
        <f t="shared" si="133"/>
        <v>M/s SHREE VISHNU MINERALS</v>
      </c>
      <c r="C1732" s="16" t="str">
        <f t="shared" si="134"/>
        <v>Mokha Charnan / Kolayat / Bikaner</v>
      </c>
      <c r="D1732" s="4" t="s">
        <v>3032</v>
      </c>
      <c r="E1732" s="4" t="s">
        <v>3119</v>
      </c>
      <c r="F1732" s="5">
        <v>46032.999664351853</v>
      </c>
      <c r="G1732" s="16" t="str">
        <f t="shared" si="135"/>
        <v>Silica Sand</v>
      </c>
      <c r="H1732" s="4" t="s">
        <v>2926</v>
      </c>
      <c r="I1732" s="18" t="str" cm="1">
        <f t="array" ref="I1732">_xlfn.LET(_xlpm.text, D1732,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2" s="18" t="str" cm="1">
        <f t="array" ref="J1732">_xlfn.LET(_xlpm.text, E1732,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2" s="14">
        <f t="shared" si="136"/>
        <v>46033</v>
      </c>
      <c r="L1732" s="14">
        <f t="shared" si="137"/>
        <v>46033.624664351853</v>
      </c>
      <c r="N1732" s="12"/>
    </row>
    <row r="1733" spans="1:14" x14ac:dyDescent="0.25">
      <c r="A1733" s="4" t="s">
        <v>1763</v>
      </c>
      <c r="B1733" s="16" t="str">
        <f t="shared" si="133"/>
        <v>M/s SHREE VISHNU MINERALS</v>
      </c>
      <c r="C1733" s="16" t="str">
        <f t="shared" si="134"/>
        <v>Mokha Charnan / Kolayat / Bikaner</v>
      </c>
      <c r="D1733" s="4" t="s">
        <v>3032</v>
      </c>
      <c r="E1733" s="4" t="s">
        <v>3119</v>
      </c>
      <c r="F1733" s="5">
        <v>46031.999664351853</v>
      </c>
      <c r="G1733" s="16" t="str">
        <f t="shared" si="135"/>
        <v>Silica Sand</v>
      </c>
      <c r="H1733" s="4" t="s">
        <v>2908</v>
      </c>
      <c r="I1733" s="18" t="str" cm="1">
        <f t="array" ref="I1733">_xlfn.LET(_xlpm.text, D1733,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3" s="18" t="str" cm="1">
        <f t="array" ref="J1733">_xlfn.LET(_xlpm.text, E1733,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3" s="14">
        <f t="shared" si="136"/>
        <v>46032</v>
      </c>
      <c r="L1733" s="14">
        <f t="shared" si="137"/>
        <v>46032.624664351853</v>
      </c>
      <c r="N1733" s="12"/>
    </row>
    <row r="1734" spans="1:14" x14ac:dyDescent="0.25">
      <c r="A1734" s="4" t="s">
        <v>1764</v>
      </c>
      <c r="B1734" s="16" t="str">
        <f t="shared" si="133"/>
        <v>M/s SHREE VISHNU MINERALS</v>
      </c>
      <c r="C1734" s="16" t="str">
        <f t="shared" si="134"/>
        <v>Mokha Charnan / Kolayat / Bikaner</v>
      </c>
      <c r="D1734" s="4" t="s">
        <v>3032</v>
      </c>
      <c r="E1734" s="4" t="s">
        <v>3119</v>
      </c>
      <c r="F1734" s="5">
        <v>46032.999664351853</v>
      </c>
      <c r="G1734" s="16" t="str">
        <f t="shared" si="135"/>
        <v>Silica Sand</v>
      </c>
      <c r="H1734" s="4" t="s">
        <v>2766</v>
      </c>
      <c r="I1734" s="18" t="str" cm="1">
        <f t="array" ref="I1734">_xlfn.LET(_xlpm.text, D1734,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4" s="18" t="str" cm="1">
        <f t="array" ref="J1734">_xlfn.LET(_xlpm.text, E1734,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4" s="14">
        <f t="shared" si="136"/>
        <v>46033</v>
      </c>
      <c r="L1734" s="14">
        <f t="shared" si="137"/>
        <v>46033.624664351853</v>
      </c>
      <c r="N1734" s="12"/>
    </row>
    <row r="1735" spans="1:14" x14ac:dyDescent="0.25">
      <c r="A1735" s="4" t="s">
        <v>1765</v>
      </c>
      <c r="B1735" s="16" t="str">
        <f t="shared" si="133"/>
        <v>M/s SHREE VISHNU MINERALS</v>
      </c>
      <c r="C1735" s="16" t="str">
        <f t="shared" si="134"/>
        <v>Mokha Charnan / Kolayat / Bikaner</v>
      </c>
      <c r="D1735" s="4" t="s">
        <v>3032</v>
      </c>
      <c r="E1735" s="4" t="s">
        <v>3119</v>
      </c>
      <c r="F1735" s="5">
        <v>46037.999664351853</v>
      </c>
      <c r="G1735" s="16" t="str">
        <f t="shared" si="135"/>
        <v>Silica Sand</v>
      </c>
      <c r="H1735" s="4" t="s">
        <v>2661</v>
      </c>
      <c r="I1735" s="18" t="str" cm="1">
        <f t="array" ref="I1735">_xlfn.LET(_xlpm.text, D1735,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5" s="18" t="str" cm="1">
        <f t="array" ref="J1735">_xlfn.LET(_xlpm.text, E1735,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5" s="14">
        <f t="shared" si="136"/>
        <v>46038</v>
      </c>
      <c r="L1735" s="14">
        <f t="shared" si="137"/>
        <v>46038.624664351853</v>
      </c>
      <c r="N1735" s="12"/>
    </row>
    <row r="1736" spans="1:14" x14ac:dyDescent="0.25">
      <c r="A1736" s="4" t="s">
        <v>1766</v>
      </c>
      <c r="B1736" s="16" t="str">
        <f t="shared" si="133"/>
        <v>M/s SHREE VISHNU MINERALS</v>
      </c>
      <c r="C1736" s="16" t="str">
        <f t="shared" si="134"/>
        <v>Mokha Charnan / Kolayat / Bikaner</v>
      </c>
      <c r="D1736" s="4" t="s">
        <v>3032</v>
      </c>
      <c r="E1736" s="4" t="s">
        <v>3119</v>
      </c>
      <c r="F1736" s="5">
        <v>46023.999664351853</v>
      </c>
      <c r="G1736" s="16" t="str">
        <f t="shared" si="135"/>
        <v>Silica Sand</v>
      </c>
      <c r="H1736" s="4" t="s">
        <v>2661</v>
      </c>
      <c r="I1736" s="18" t="str" cm="1">
        <f t="array" ref="I1736">_xlfn.LET(_xlpm.text, D1736,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36" s="18" t="str" cm="1">
        <f t="array" ref="J1736">_xlfn.LET(_xlpm.text, E1736,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6" s="14">
        <f t="shared" si="136"/>
        <v>46024</v>
      </c>
      <c r="L1736" s="14">
        <f t="shared" si="137"/>
        <v>46024.624664351853</v>
      </c>
      <c r="N1736" s="12"/>
    </row>
    <row r="1737" spans="1:14" x14ac:dyDescent="0.25">
      <c r="A1737" s="4" t="s">
        <v>1767</v>
      </c>
      <c r="B1737" s="16" t="str">
        <f t="shared" si="133"/>
        <v>M/s SHREE VISHNU MINERALS</v>
      </c>
      <c r="C1737" s="16" t="str">
        <f t="shared" si="134"/>
        <v>Mokha Charnan / Kolayat / Bikaner</v>
      </c>
      <c r="D1737" s="4" t="s">
        <v>3034</v>
      </c>
      <c r="E1737" s="4" t="s">
        <v>3119</v>
      </c>
      <c r="F1737" s="5">
        <v>46036.999664351853</v>
      </c>
      <c r="G1737" s="16" t="str">
        <f t="shared" si="135"/>
        <v>Silica Sand</v>
      </c>
      <c r="H1737" s="4" t="s">
        <v>2882</v>
      </c>
      <c r="I1737" s="18" t="str" cm="1">
        <f t="array" ref="I1737">_xlfn.LET(_xlpm.text, D1737,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37" s="18" t="str" cm="1">
        <f t="array" ref="J1737">_xlfn.LET(_xlpm.text, E1737,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7" s="14">
        <f t="shared" si="136"/>
        <v>46037</v>
      </c>
      <c r="L1737" s="14">
        <f t="shared" si="137"/>
        <v>46037.624664351853</v>
      </c>
      <c r="N1737" s="12"/>
    </row>
    <row r="1738" spans="1:14" x14ac:dyDescent="0.25">
      <c r="A1738" s="4" t="s">
        <v>1768</v>
      </c>
      <c r="B1738" s="16" t="str">
        <f t="shared" si="133"/>
        <v>M/s SHREE VISHNU MINERALS</v>
      </c>
      <c r="C1738" s="16" t="str">
        <f t="shared" si="134"/>
        <v>Mokha Charnan / Kolayat / Bikaner</v>
      </c>
      <c r="D1738" s="4" t="s">
        <v>3034</v>
      </c>
      <c r="E1738" s="4" t="s">
        <v>3119</v>
      </c>
      <c r="F1738" s="5">
        <v>46037.999664351853</v>
      </c>
      <c r="G1738" s="16" t="str">
        <f t="shared" si="135"/>
        <v>Silica Sand</v>
      </c>
      <c r="H1738" s="4" t="s">
        <v>2882</v>
      </c>
      <c r="I1738" s="18" t="str" cm="1">
        <f t="array" ref="I1738">_xlfn.LET(_xlpm.text, D1738,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38" s="18" t="str" cm="1">
        <f t="array" ref="J1738">_xlfn.LET(_xlpm.text, E1738,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8" s="14">
        <f t="shared" si="136"/>
        <v>46038</v>
      </c>
      <c r="L1738" s="14">
        <f t="shared" si="137"/>
        <v>46038.624664351853</v>
      </c>
      <c r="N1738" s="12"/>
    </row>
    <row r="1739" spans="1:14" x14ac:dyDescent="0.25">
      <c r="A1739" s="4" t="s">
        <v>1769</v>
      </c>
      <c r="B1739" s="16" t="str">
        <f t="shared" si="133"/>
        <v>GUDHA ASSOCIATES</v>
      </c>
      <c r="C1739" s="16" t="str">
        <f t="shared" si="134"/>
        <v>Samorakhi / Kolayat / Bikaner</v>
      </c>
      <c r="D1739" s="4" t="s">
        <v>3031</v>
      </c>
      <c r="E1739" s="4" t="s">
        <v>3119</v>
      </c>
      <c r="F1739" s="5">
        <v>46031.999664351853</v>
      </c>
      <c r="G1739" s="16" t="str">
        <f t="shared" si="135"/>
        <v>Silica Sand</v>
      </c>
      <c r="H1739" s="4" t="s">
        <v>2971</v>
      </c>
      <c r="I1739" s="18" t="str" cm="1">
        <f t="array" ref="I1739">_xlfn.LET(_xlpm.text, D1739,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739" s="18" t="str" cm="1">
        <f t="array" ref="J1739">_xlfn.LET(_xlpm.text, E1739,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39" s="14">
        <f t="shared" si="136"/>
        <v>46032</v>
      </c>
      <c r="L1739" s="14">
        <f t="shared" si="137"/>
        <v>46032.624664351853</v>
      </c>
      <c r="N1739" s="12"/>
    </row>
    <row r="1740" spans="1:14" x14ac:dyDescent="0.25">
      <c r="A1740" s="4" t="s">
        <v>1770</v>
      </c>
      <c r="B1740" s="16" t="str">
        <f t="shared" si="133"/>
        <v>GUDHA ASSOCIATES</v>
      </c>
      <c r="C1740" s="16" t="str">
        <f t="shared" si="134"/>
        <v>Samorakhi / Kolayat / Bikaner</v>
      </c>
      <c r="D1740" s="4" t="s">
        <v>3031</v>
      </c>
      <c r="E1740" s="4" t="s">
        <v>3119</v>
      </c>
      <c r="F1740" s="5">
        <v>46033.999664351853</v>
      </c>
      <c r="G1740" s="16" t="str">
        <f t="shared" si="135"/>
        <v>Silica Sand</v>
      </c>
      <c r="H1740" s="4" t="s">
        <v>411</v>
      </c>
      <c r="I1740" s="18" t="str" cm="1">
        <f t="array" ref="I1740">_xlfn.LET(_xlpm.text, D1740,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740" s="18" t="str" cm="1">
        <f t="array" ref="J1740">_xlfn.LET(_xlpm.text, E1740,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0" s="14">
        <f t="shared" si="136"/>
        <v>46034</v>
      </c>
      <c r="L1740" s="14">
        <f t="shared" si="137"/>
        <v>46034.624664351853</v>
      </c>
      <c r="N1740" s="12"/>
    </row>
    <row r="1741" spans="1:14" x14ac:dyDescent="0.25">
      <c r="A1741" s="4" t="s">
        <v>1771</v>
      </c>
      <c r="B1741" s="16" t="str">
        <f t="shared" si="133"/>
        <v>GUDHA ASSOCIATES</v>
      </c>
      <c r="C1741" s="16" t="str">
        <f t="shared" si="134"/>
        <v>Samorakhi / Kolayat / Bikaner</v>
      </c>
      <c r="D1741" s="4" t="s">
        <v>3031</v>
      </c>
      <c r="E1741" s="4" t="s">
        <v>3119</v>
      </c>
      <c r="F1741" s="5">
        <v>46031.999664351853</v>
      </c>
      <c r="G1741" s="16" t="str">
        <f t="shared" si="135"/>
        <v>Silica Sand</v>
      </c>
      <c r="H1741" s="4" t="s">
        <v>410</v>
      </c>
      <c r="I1741" s="18" t="str" cm="1">
        <f t="array" ref="I1741">_xlfn.LET(_xlpm.text, D1741,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741" s="18" t="str" cm="1">
        <f t="array" ref="J1741">_xlfn.LET(_xlpm.text, E1741,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1" s="14">
        <f t="shared" si="136"/>
        <v>46032</v>
      </c>
      <c r="L1741" s="14">
        <f t="shared" si="137"/>
        <v>46032.624664351853</v>
      </c>
      <c r="N1741" s="12"/>
    </row>
    <row r="1742" spans="1:14" x14ac:dyDescent="0.25">
      <c r="A1742" s="4" t="s">
        <v>1772</v>
      </c>
      <c r="B1742" s="16" t="str">
        <f t="shared" si="133"/>
        <v>GUDHA ASSOCIATES</v>
      </c>
      <c r="C1742" s="16" t="str">
        <f t="shared" si="134"/>
        <v>Samorakhi / Kolayat / Bikaner</v>
      </c>
      <c r="D1742" s="4" t="s">
        <v>3031</v>
      </c>
      <c r="E1742" s="4" t="s">
        <v>3119</v>
      </c>
      <c r="F1742" s="5">
        <v>46029.999664351853</v>
      </c>
      <c r="G1742" s="16" t="str">
        <f t="shared" si="135"/>
        <v>Silica Sand</v>
      </c>
      <c r="H1742" s="4" t="s">
        <v>2881</v>
      </c>
      <c r="I1742" s="18" t="str" cm="1">
        <f t="array" ref="I1742">_xlfn.LET(_xlpm.text, D1742,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1742" s="18" t="str" cm="1">
        <f t="array" ref="J1742">_xlfn.LET(_xlpm.text, E1742,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2" s="14">
        <f t="shared" si="136"/>
        <v>46030</v>
      </c>
      <c r="L1742" s="14">
        <f t="shared" si="137"/>
        <v>46030.624664351853</v>
      </c>
      <c r="N1742" s="12"/>
    </row>
    <row r="1743" spans="1:14" x14ac:dyDescent="0.25">
      <c r="A1743" s="4" t="s">
        <v>1773</v>
      </c>
      <c r="B1743" s="16" t="str">
        <f t="shared" si="133"/>
        <v>M/s SHREE VISHNU MINERALS</v>
      </c>
      <c r="C1743" s="16" t="str">
        <f t="shared" si="134"/>
        <v>Mokha Charnan / Kolayat / Bikaner</v>
      </c>
      <c r="D1743" s="4" t="s">
        <v>3034</v>
      </c>
      <c r="E1743" s="4" t="s">
        <v>3119</v>
      </c>
      <c r="F1743" s="5">
        <v>46040.999664351853</v>
      </c>
      <c r="G1743" s="16" t="str">
        <f t="shared" si="135"/>
        <v>Silica Sand</v>
      </c>
      <c r="H1743" s="4" t="s">
        <v>2611</v>
      </c>
      <c r="I1743" s="18" t="str" cm="1">
        <f t="array" ref="I1743">_xlfn.LET(_xlpm.text, D1743,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3" s="18" t="str" cm="1">
        <f t="array" ref="J1743">_xlfn.LET(_xlpm.text, E1743,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3" s="14">
        <f t="shared" si="136"/>
        <v>46041</v>
      </c>
      <c r="L1743" s="14">
        <f t="shared" si="137"/>
        <v>46041.624664351853</v>
      </c>
      <c r="N1743" s="12"/>
    </row>
    <row r="1744" spans="1:14" x14ac:dyDescent="0.25">
      <c r="A1744" s="4" t="s">
        <v>1774</v>
      </c>
      <c r="B1744" s="16" t="str">
        <f t="shared" si="133"/>
        <v>M/s SHREE VISHNU MINERALS</v>
      </c>
      <c r="C1744" s="16" t="str">
        <f t="shared" si="134"/>
        <v>Mokha Charnan / Kolayat / Bikaner</v>
      </c>
      <c r="D1744" s="4" t="s">
        <v>3034</v>
      </c>
      <c r="E1744" s="4" t="s">
        <v>3119</v>
      </c>
      <c r="F1744" s="5">
        <v>46040.999664351853</v>
      </c>
      <c r="G1744" s="16" t="str">
        <f t="shared" si="135"/>
        <v>Silica Sand</v>
      </c>
      <c r="H1744" s="4" t="s">
        <v>2611</v>
      </c>
      <c r="I1744" s="18" t="str" cm="1">
        <f t="array" ref="I1744">_xlfn.LET(_xlpm.text, D1744,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4" s="18" t="str" cm="1">
        <f t="array" ref="J1744">_xlfn.LET(_xlpm.text, E1744,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4" s="14">
        <f t="shared" si="136"/>
        <v>46041</v>
      </c>
      <c r="L1744" s="14">
        <f t="shared" si="137"/>
        <v>46041.624664351853</v>
      </c>
      <c r="N1744" s="12"/>
    </row>
    <row r="1745" spans="1:14" x14ac:dyDescent="0.25">
      <c r="A1745" s="4" t="s">
        <v>1775</v>
      </c>
      <c r="B1745" s="16" t="str">
        <f t="shared" si="133"/>
        <v>M/s SHREE VISHNU MINERALS</v>
      </c>
      <c r="C1745" s="16" t="str">
        <f t="shared" si="134"/>
        <v>Mokha Charnan / Kolayat / Bikaner</v>
      </c>
      <c r="D1745" s="4" t="s">
        <v>3034</v>
      </c>
      <c r="E1745" s="4" t="s">
        <v>3119</v>
      </c>
      <c r="F1745" s="5">
        <v>46041.999664351853</v>
      </c>
      <c r="G1745" s="16" t="str">
        <f t="shared" si="135"/>
        <v>Silica Sand</v>
      </c>
      <c r="H1745" s="4" t="s">
        <v>2972</v>
      </c>
      <c r="I1745" s="18" t="str" cm="1">
        <f t="array" ref="I1745">_xlfn.LET(_xlpm.text, D1745,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5" s="18" t="str" cm="1">
        <f t="array" ref="J1745">_xlfn.LET(_xlpm.text, E1745,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5" s="14">
        <f t="shared" si="136"/>
        <v>46042</v>
      </c>
      <c r="L1745" s="14">
        <f t="shared" si="137"/>
        <v>46042.624664351853</v>
      </c>
      <c r="N1745" s="12"/>
    </row>
    <row r="1746" spans="1:14" x14ac:dyDescent="0.25">
      <c r="A1746" s="4" t="s">
        <v>1776</v>
      </c>
      <c r="B1746" s="16" t="str">
        <f t="shared" si="133"/>
        <v>M/s SHREE VISHNU MINERALS</v>
      </c>
      <c r="C1746" s="16" t="str">
        <f t="shared" si="134"/>
        <v>Mokha Charnan / Kolayat / Bikaner</v>
      </c>
      <c r="D1746" s="4" t="s">
        <v>3034</v>
      </c>
      <c r="E1746" s="4" t="s">
        <v>3119</v>
      </c>
      <c r="F1746" s="5">
        <v>46040.999664351853</v>
      </c>
      <c r="G1746" s="16" t="str">
        <f t="shared" si="135"/>
        <v>Silica Sand</v>
      </c>
      <c r="H1746" s="4" t="s">
        <v>2926</v>
      </c>
      <c r="I1746" s="18" t="str" cm="1">
        <f t="array" ref="I1746">_xlfn.LET(_xlpm.text, D1746,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6" s="18" t="str" cm="1">
        <f t="array" ref="J1746">_xlfn.LET(_xlpm.text, E1746,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6" s="14">
        <f t="shared" si="136"/>
        <v>46041</v>
      </c>
      <c r="L1746" s="14">
        <f t="shared" si="137"/>
        <v>46041.624664351853</v>
      </c>
      <c r="N1746" s="12"/>
    </row>
    <row r="1747" spans="1:14" x14ac:dyDescent="0.25">
      <c r="A1747" s="4" t="s">
        <v>1777</v>
      </c>
      <c r="B1747" s="16" t="str">
        <f t="shared" si="133"/>
        <v>M/s SHREE VISHNU MINERALS</v>
      </c>
      <c r="C1747" s="16" t="str">
        <f t="shared" si="134"/>
        <v>Mokha Charnan / Kolayat / Bikaner</v>
      </c>
      <c r="D1747" s="4" t="s">
        <v>3034</v>
      </c>
      <c r="E1747" s="4" t="s">
        <v>3119</v>
      </c>
      <c r="F1747" s="5">
        <v>46040.999664351853</v>
      </c>
      <c r="G1747" s="16" t="str">
        <f t="shared" si="135"/>
        <v>Silica Sand</v>
      </c>
      <c r="H1747" s="4" t="s">
        <v>2895</v>
      </c>
      <c r="I1747" s="18" t="str" cm="1">
        <f t="array" ref="I1747">_xlfn.LET(_xlpm.text, D1747,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7" s="18" t="str" cm="1">
        <f t="array" ref="J1747">_xlfn.LET(_xlpm.text, E1747,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7" s="14">
        <f t="shared" si="136"/>
        <v>46041</v>
      </c>
      <c r="L1747" s="14">
        <f t="shared" si="137"/>
        <v>46041.624664351853</v>
      </c>
      <c r="N1747" s="12"/>
    </row>
    <row r="1748" spans="1:14" x14ac:dyDescent="0.25">
      <c r="A1748" s="4" t="s">
        <v>1778</v>
      </c>
      <c r="B1748" s="16" t="str">
        <f t="shared" si="133"/>
        <v>M/s SHREE VISHNU MINERALS</v>
      </c>
      <c r="C1748" s="16" t="str">
        <f t="shared" si="134"/>
        <v>Mokha Charnan / Kolayat / Bikaner</v>
      </c>
      <c r="D1748" s="4" t="s">
        <v>3034</v>
      </c>
      <c r="E1748" s="4" t="s">
        <v>3119</v>
      </c>
      <c r="F1748" s="5">
        <v>46040.999664351853</v>
      </c>
      <c r="G1748" s="16" t="str">
        <f t="shared" si="135"/>
        <v>Silica Sand</v>
      </c>
      <c r="H1748" s="4" t="s">
        <v>2582</v>
      </c>
      <c r="I1748" s="18" t="str" cm="1">
        <f t="array" ref="I1748">_xlfn.LET(_xlpm.text, D1748,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8" s="18" t="str" cm="1">
        <f t="array" ref="J1748">_xlfn.LET(_xlpm.text, E1748,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8" s="14">
        <f t="shared" si="136"/>
        <v>46041</v>
      </c>
      <c r="L1748" s="14">
        <f t="shared" si="137"/>
        <v>46041.624664351853</v>
      </c>
      <c r="N1748" s="12"/>
    </row>
    <row r="1749" spans="1:14" x14ac:dyDescent="0.25">
      <c r="A1749" s="4" t="s">
        <v>1779</v>
      </c>
      <c r="B1749" s="16" t="str">
        <f t="shared" si="133"/>
        <v>M/s SHREE VISHNU MINERALS</v>
      </c>
      <c r="C1749" s="16" t="str">
        <f t="shared" si="134"/>
        <v>Mokha Charnan / Kolayat / Bikaner</v>
      </c>
      <c r="D1749" s="4" t="s">
        <v>3034</v>
      </c>
      <c r="E1749" s="4" t="s">
        <v>3119</v>
      </c>
      <c r="F1749" s="5">
        <v>46040.999664351853</v>
      </c>
      <c r="G1749" s="16" t="str">
        <f t="shared" si="135"/>
        <v>Silica Sand</v>
      </c>
      <c r="H1749" s="4" t="s">
        <v>2973</v>
      </c>
      <c r="I1749" s="18" t="str" cm="1">
        <f t="array" ref="I1749">_xlfn.LET(_xlpm.text, D1749,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49" s="18" t="str" cm="1">
        <f t="array" ref="J1749">_xlfn.LET(_xlpm.text, E1749,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49" s="14">
        <f t="shared" si="136"/>
        <v>46041</v>
      </c>
      <c r="L1749" s="14">
        <f t="shared" si="137"/>
        <v>46041.624664351853</v>
      </c>
      <c r="N1749" s="12"/>
    </row>
    <row r="1750" spans="1:14" x14ac:dyDescent="0.25">
      <c r="A1750" s="4" t="s">
        <v>1780</v>
      </c>
      <c r="B1750" s="16" t="str">
        <f t="shared" si="133"/>
        <v>M/s SHREE VISHNU MINERALS</v>
      </c>
      <c r="C1750" s="16" t="str">
        <f t="shared" si="134"/>
        <v>Mokha Charnan / Kolayat / Bikaner</v>
      </c>
      <c r="D1750" s="4" t="s">
        <v>3034</v>
      </c>
      <c r="E1750" s="4" t="s">
        <v>3119</v>
      </c>
      <c r="F1750" s="5">
        <v>46040.999664351853</v>
      </c>
      <c r="G1750" s="16" t="str">
        <f t="shared" si="135"/>
        <v>Silica Sand</v>
      </c>
      <c r="H1750" s="4" t="s">
        <v>2882</v>
      </c>
      <c r="I1750" s="18" t="str" cm="1">
        <f t="array" ref="I1750">_xlfn.LET(_xlpm.text, D1750,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0" s="18" t="str" cm="1">
        <f t="array" ref="J1750">_xlfn.LET(_xlpm.text, E1750,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0" s="14">
        <f t="shared" si="136"/>
        <v>46041</v>
      </c>
      <c r="L1750" s="14">
        <f t="shared" si="137"/>
        <v>46041.624664351853</v>
      </c>
      <c r="N1750" s="12"/>
    </row>
    <row r="1751" spans="1:14" x14ac:dyDescent="0.25">
      <c r="A1751" s="4" t="s">
        <v>1781</v>
      </c>
      <c r="B1751" s="16" t="str">
        <f t="shared" si="133"/>
        <v>M/s SHREE VISHNU MINERALS</v>
      </c>
      <c r="C1751" s="16" t="str">
        <f t="shared" si="134"/>
        <v>Mokha Charnan / Kolayat / Bikaner</v>
      </c>
      <c r="D1751" s="4" t="s">
        <v>3034</v>
      </c>
      <c r="E1751" s="4" t="s">
        <v>3119</v>
      </c>
      <c r="F1751" s="5">
        <v>46040.999664351853</v>
      </c>
      <c r="G1751" s="16" t="str">
        <f t="shared" si="135"/>
        <v>Silica Sand</v>
      </c>
      <c r="H1751" s="4" t="s">
        <v>2974</v>
      </c>
      <c r="I1751" s="18" t="str" cm="1">
        <f t="array" ref="I1751">_xlfn.LET(_xlpm.text, D1751,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1" s="18" t="str" cm="1">
        <f t="array" ref="J1751">_xlfn.LET(_xlpm.text, E1751,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1" s="14">
        <f t="shared" si="136"/>
        <v>46041</v>
      </c>
      <c r="L1751" s="14">
        <f t="shared" si="137"/>
        <v>46041.624664351853</v>
      </c>
      <c r="N1751" s="12"/>
    </row>
    <row r="1752" spans="1:14" x14ac:dyDescent="0.25">
      <c r="A1752" s="4" t="s">
        <v>1782</v>
      </c>
      <c r="B1752" s="16" t="str">
        <f t="shared" si="133"/>
        <v>M/s SHREE VISHNU MINERALS</v>
      </c>
      <c r="C1752" s="16" t="str">
        <f t="shared" si="134"/>
        <v>Mokha Charnan / Kolayat / Bikaner</v>
      </c>
      <c r="D1752" s="4" t="s">
        <v>3034</v>
      </c>
      <c r="E1752" s="4" t="s">
        <v>3119</v>
      </c>
      <c r="F1752" s="5">
        <v>46038.999664351853</v>
      </c>
      <c r="G1752" s="16" t="str">
        <f t="shared" si="135"/>
        <v>Silica Sand</v>
      </c>
      <c r="H1752" s="4" t="s">
        <v>2882</v>
      </c>
      <c r="I1752" s="18" t="str" cm="1">
        <f t="array" ref="I1752">_xlfn.LET(_xlpm.text, D1752,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2" s="18" t="str" cm="1">
        <f t="array" ref="J1752">_xlfn.LET(_xlpm.text, E1752,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2" s="14">
        <f t="shared" si="136"/>
        <v>46039</v>
      </c>
      <c r="L1752" s="14">
        <f t="shared" si="137"/>
        <v>46039.624664351853</v>
      </c>
      <c r="N1752" s="12"/>
    </row>
    <row r="1753" spans="1:14" x14ac:dyDescent="0.25">
      <c r="A1753" s="4" t="s">
        <v>1783</v>
      </c>
      <c r="B1753" s="16" t="str">
        <f t="shared" si="133"/>
        <v>M/s SHREE VISHNU MINERALS</v>
      </c>
      <c r="C1753" s="16" t="str">
        <f t="shared" si="134"/>
        <v>Mokha Charnan / Kolayat / Bikaner</v>
      </c>
      <c r="D1753" s="4" t="s">
        <v>3034</v>
      </c>
      <c r="E1753" s="4" t="s">
        <v>3119</v>
      </c>
      <c r="F1753" s="5">
        <v>46038.999664351853</v>
      </c>
      <c r="G1753" s="16" t="str">
        <f t="shared" si="135"/>
        <v>Silica Sand</v>
      </c>
      <c r="H1753" s="4" t="s">
        <v>2259</v>
      </c>
      <c r="I1753" s="18" t="str" cm="1">
        <f t="array" ref="I1753">_xlfn.LET(_xlpm.text, D1753,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3" s="18" t="str" cm="1">
        <f t="array" ref="J1753">_xlfn.LET(_xlpm.text, E1753,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3" s="14">
        <f t="shared" si="136"/>
        <v>46039</v>
      </c>
      <c r="L1753" s="14">
        <f t="shared" si="137"/>
        <v>46039.624664351853</v>
      </c>
      <c r="N1753" s="12"/>
    </row>
    <row r="1754" spans="1:14" x14ac:dyDescent="0.25">
      <c r="A1754" s="4" t="s">
        <v>1784</v>
      </c>
      <c r="B1754" s="16" t="str">
        <f t="shared" si="133"/>
        <v>M/s SHREE VISHNU MINERALS</v>
      </c>
      <c r="C1754" s="16" t="str">
        <f t="shared" si="134"/>
        <v>Mokha Charnan / Kolayat / Bikaner</v>
      </c>
      <c r="D1754" s="4" t="s">
        <v>3034</v>
      </c>
      <c r="E1754" s="4" t="s">
        <v>3119</v>
      </c>
      <c r="F1754" s="5">
        <v>46038.999664351853</v>
      </c>
      <c r="G1754" s="16" t="str">
        <f t="shared" si="135"/>
        <v>Silica Sand</v>
      </c>
      <c r="H1754" s="4" t="s">
        <v>2856</v>
      </c>
      <c r="I1754" s="18" t="str" cm="1">
        <f t="array" ref="I1754">_xlfn.LET(_xlpm.text, D1754,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4" s="18" t="str" cm="1">
        <f t="array" ref="J1754">_xlfn.LET(_xlpm.text, E1754,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4" s="14">
        <f t="shared" si="136"/>
        <v>46039</v>
      </c>
      <c r="L1754" s="14">
        <f t="shared" si="137"/>
        <v>46039.624664351853</v>
      </c>
      <c r="N1754" s="12"/>
    </row>
    <row r="1755" spans="1:14" x14ac:dyDescent="0.25">
      <c r="A1755" s="4" t="s">
        <v>1785</v>
      </c>
      <c r="B1755" s="16" t="str">
        <f t="shared" si="133"/>
        <v>M/s SHREE VISHNU MINERALS</v>
      </c>
      <c r="C1755" s="16" t="str">
        <f t="shared" si="134"/>
        <v>Mokha Charnan / Kolayat / Bikaner</v>
      </c>
      <c r="D1755" s="4" t="s">
        <v>3034</v>
      </c>
      <c r="E1755" s="4" t="s">
        <v>3119</v>
      </c>
      <c r="F1755" s="5">
        <v>46036.999664351853</v>
      </c>
      <c r="G1755" s="16" t="str">
        <f t="shared" si="135"/>
        <v>Silica Sand</v>
      </c>
      <c r="H1755" s="4" t="s">
        <v>2506</v>
      </c>
      <c r="I1755" s="18" t="str" cm="1">
        <f t="array" ref="I1755">_xlfn.LET(_xlpm.text, D1755,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5" s="18" t="str" cm="1">
        <f t="array" ref="J1755">_xlfn.LET(_xlpm.text, E1755,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5" s="14">
        <f t="shared" si="136"/>
        <v>46037</v>
      </c>
      <c r="L1755" s="14">
        <f t="shared" si="137"/>
        <v>46037.624664351853</v>
      </c>
      <c r="N1755" s="12"/>
    </row>
    <row r="1756" spans="1:14" x14ac:dyDescent="0.25">
      <c r="A1756" s="4" t="s">
        <v>1786</v>
      </c>
      <c r="B1756" s="16" t="str">
        <f t="shared" si="133"/>
        <v>M/s SHREE VISHNU MINERALS</v>
      </c>
      <c r="C1756" s="16" t="str">
        <f t="shared" si="134"/>
        <v>Mokha Charnan / Kolayat / Bikaner</v>
      </c>
      <c r="D1756" s="4" t="s">
        <v>3034</v>
      </c>
      <c r="E1756" s="4" t="s">
        <v>3119</v>
      </c>
      <c r="F1756" s="5">
        <v>46033.999664351853</v>
      </c>
      <c r="G1756" s="16" t="str">
        <f t="shared" si="135"/>
        <v>Silica Sand</v>
      </c>
      <c r="H1756" s="4" t="s">
        <v>2766</v>
      </c>
      <c r="I1756" s="18" t="str" cm="1">
        <f t="array" ref="I1756">_xlfn.LET(_xlpm.text, D1756,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6" s="18" t="str" cm="1">
        <f t="array" ref="J1756">_xlfn.LET(_xlpm.text, E1756,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6" s="14">
        <f t="shared" si="136"/>
        <v>46034</v>
      </c>
      <c r="L1756" s="14">
        <f t="shared" si="137"/>
        <v>46034.624664351853</v>
      </c>
      <c r="N1756" s="12"/>
    </row>
    <row r="1757" spans="1:14" x14ac:dyDescent="0.25">
      <c r="A1757" s="4" t="s">
        <v>1787</v>
      </c>
      <c r="B1757" s="16" t="str">
        <f t="shared" si="133"/>
        <v>M/s SHREE VISHNU MINERALS</v>
      </c>
      <c r="C1757" s="16" t="str">
        <f t="shared" si="134"/>
        <v>Mokha Charnan / Kolayat / Bikaner</v>
      </c>
      <c r="D1757" s="4" t="s">
        <v>3034</v>
      </c>
      <c r="E1757" s="4" t="s">
        <v>3119</v>
      </c>
      <c r="F1757" s="5">
        <v>46033.999664351853</v>
      </c>
      <c r="G1757" s="16" t="str">
        <f t="shared" si="135"/>
        <v>Silica Sand</v>
      </c>
      <c r="H1757" s="4" t="s">
        <v>2918</v>
      </c>
      <c r="I1757" s="18" t="str" cm="1">
        <f t="array" ref="I1757">_xlfn.LET(_xlpm.text, D1757,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7" s="18" t="str" cm="1">
        <f t="array" ref="J1757">_xlfn.LET(_xlpm.text, E1757,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7" s="14">
        <f t="shared" si="136"/>
        <v>46034</v>
      </c>
      <c r="L1757" s="14">
        <f t="shared" si="137"/>
        <v>46034.624664351853</v>
      </c>
      <c r="N1757" s="12"/>
    </row>
    <row r="1758" spans="1:14" x14ac:dyDescent="0.25">
      <c r="A1758" s="4" t="s">
        <v>1788</v>
      </c>
      <c r="B1758" s="16" t="str">
        <f t="shared" si="133"/>
        <v>M/s SHREE VISHNU MINERALS</v>
      </c>
      <c r="C1758" s="16" t="str">
        <f t="shared" si="134"/>
        <v>Mokha Charnan / Kolayat / Bikaner</v>
      </c>
      <c r="D1758" s="4" t="s">
        <v>3034</v>
      </c>
      <c r="E1758" s="4" t="s">
        <v>3119</v>
      </c>
      <c r="F1758" s="5">
        <v>46033.999664351853</v>
      </c>
      <c r="G1758" s="16" t="str">
        <f t="shared" si="135"/>
        <v>Silica Sand</v>
      </c>
      <c r="H1758" s="4" t="s">
        <v>2926</v>
      </c>
      <c r="I1758" s="18" t="str" cm="1">
        <f t="array" ref="I1758">_xlfn.LET(_xlpm.text, D1758,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8" s="18" t="str" cm="1">
        <f t="array" ref="J1758">_xlfn.LET(_xlpm.text, E1758,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8" s="14">
        <f t="shared" si="136"/>
        <v>46034</v>
      </c>
      <c r="L1758" s="14">
        <f t="shared" si="137"/>
        <v>46034.624664351853</v>
      </c>
      <c r="N1758" s="12"/>
    </row>
    <row r="1759" spans="1:14" x14ac:dyDescent="0.25">
      <c r="A1759" s="4" t="s">
        <v>1789</v>
      </c>
      <c r="B1759" s="16" t="str">
        <f t="shared" si="133"/>
        <v>M/s SHREE VISHNU MINERALS</v>
      </c>
      <c r="C1759" s="16" t="str">
        <f t="shared" si="134"/>
        <v>Mokha Charnan / Kolayat / Bikaner</v>
      </c>
      <c r="D1759" s="4" t="s">
        <v>3034</v>
      </c>
      <c r="E1759" s="4" t="s">
        <v>3119</v>
      </c>
      <c r="F1759" s="5">
        <v>46034.999664351853</v>
      </c>
      <c r="G1759" s="16" t="str">
        <f t="shared" si="135"/>
        <v>Silica Sand</v>
      </c>
      <c r="H1759" s="4" t="s">
        <v>2895</v>
      </c>
      <c r="I1759" s="18" t="str" cm="1">
        <f t="array" ref="I1759">_xlfn.LET(_xlpm.text, D1759,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59" s="18" t="str" cm="1">
        <f t="array" ref="J1759">_xlfn.LET(_xlpm.text, E1759,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59" s="14">
        <f t="shared" si="136"/>
        <v>46035</v>
      </c>
      <c r="L1759" s="14">
        <f t="shared" si="137"/>
        <v>46035.624664351853</v>
      </c>
      <c r="N1759" s="12"/>
    </row>
    <row r="1760" spans="1:14" x14ac:dyDescent="0.25">
      <c r="A1760" s="4" t="s">
        <v>1790</v>
      </c>
      <c r="B1760" s="16" t="str">
        <f t="shared" si="133"/>
        <v>M/s SHREE VISHNU MINERALS</v>
      </c>
      <c r="C1760" s="16" t="str">
        <f t="shared" si="134"/>
        <v>Mokha Charnan / Kolayat / Bikaner</v>
      </c>
      <c r="D1760" s="4" t="s">
        <v>3034</v>
      </c>
      <c r="E1760" s="4" t="s">
        <v>3119</v>
      </c>
      <c r="F1760" s="5">
        <v>46034.999664351853</v>
      </c>
      <c r="G1760" s="16" t="str">
        <f t="shared" si="135"/>
        <v>Silica Sand</v>
      </c>
      <c r="H1760" s="4" t="s">
        <v>2975</v>
      </c>
      <c r="I1760" s="18" t="str" cm="1">
        <f t="array" ref="I1760">_xlfn.LET(_xlpm.text, D1760,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0" s="18" t="str" cm="1">
        <f t="array" ref="J1760">_xlfn.LET(_xlpm.text, E1760,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0" s="14">
        <f t="shared" si="136"/>
        <v>46035</v>
      </c>
      <c r="L1760" s="14">
        <f t="shared" si="137"/>
        <v>46035.624664351853</v>
      </c>
      <c r="N1760" s="12"/>
    </row>
    <row r="1761" spans="1:14" x14ac:dyDescent="0.25">
      <c r="A1761" s="4" t="s">
        <v>1791</v>
      </c>
      <c r="B1761" s="16" t="str">
        <f t="shared" si="133"/>
        <v>M/s SHREE VISHNU MINERALS</v>
      </c>
      <c r="C1761" s="16" t="str">
        <f t="shared" si="134"/>
        <v>Mokha Charnan / Kolayat / Bikaner</v>
      </c>
      <c r="D1761" s="4" t="s">
        <v>3034</v>
      </c>
      <c r="E1761" s="4" t="s">
        <v>3119</v>
      </c>
      <c r="F1761" s="5">
        <v>46034.999664351853</v>
      </c>
      <c r="G1761" s="16" t="str">
        <f t="shared" si="135"/>
        <v>Silica Sand</v>
      </c>
      <c r="H1761" s="4" t="s">
        <v>2766</v>
      </c>
      <c r="I1761" s="18" t="str" cm="1">
        <f t="array" ref="I1761">_xlfn.LET(_xlpm.text, D1761,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1" s="18" t="str" cm="1">
        <f t="array" ref="J1761">_xlfn.LET(_xlpm.text, E1761,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1" s="14">
        <f t="shared" si="136"/>
        <v>46035</v>
      </c>
      <c r="L1761" s="14">
        <f t="shared" si="137"/>
        <v>46035.624664351853</v>
      </c>
      <c r="N1761" s="12"/>
    </row>
    <row r="1762" spans="1:14" x14ac:dyDescent="0.25">
      <c r="A1762" s="4" t="s">
        <v>1792</v>
      </c>
      <c r="B1762" s="16" t="str">
        <f t="shared" si="133"/>
        <v>M/s SHREE VISHNU MINERALS</v>
      </c>
      <c r="C1762" s="16" t="str">
        <f t="shared" si="134"/>
        <v>Mokha Charnan / Kolayat / Bikaner</v>
      </c>
      <c r="D1762" s="4" t="s">
        <v>3034</v>
      </c>
      <c r="E1762" s="4" t="s">
        <v>3119</v>
      </c>
      <c r="F1762" s="5">
        <v>46035.999664351853</v>
      </c>
      <c r="G1762" s="16" t="str">
        <f t="shared" si="135"/>
        <v>Silica Sand</v>
      </c>
      <c r="H1762" s="4" t="s">
        <v>2976</v>
      </c>
      <c r="I1762" s="18" t="str" cm="1">
        <f t="array" ref="I1762">_xlfn.LET(_xlpm.text, D1762,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2" s="18" t="str" cm="1">
        <f t="array" ref="J1762">_xlfn.LET(_xlpm.text, E1762,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2" s="14">
        <f t="shared" si="136"/>
        <v>46036</v>
      </c>
      <c r="L1762" s="14">
        <f t="shared" si="137"/>
        <v>46036.624664351853</v>
      </c>
      <c r="N1762" s="12"/>
    </row>
    <row r="1763" spans="1:14" x14ac:dyDescent="0.25">
      <c r="A1763" s="4" t="s">
        <v>1793</v>
      </c>
      <c r="B1763" s="16" t="str">
        <f t="shared" si="133"/>
        <v>M/s SHREE VISHNU MINERALS</v>
      </c>
      <c r="C1763" s="16" t="str">
        <f t="shared" si="134"/>
        <v>Mokha Charnan / Kolayat / Bikaner</v>
      </c>
      <c r="D1763" s="4" t="s">
        <v>3034</v>
      </c>
      <c r="E1763" s="4" t="s">
        <v>3119</v>
      </c>
      <c r="F1763" s="5">
        <v>46035.999664351853</v>
      </c>
      <c r="G1763" s="16" t="str">
        <f t="shared" si="135"/>
        <v>Silica Sand</v>
      </c>
      <c r="H1763" s="4" t="s">
        <v>2907</v>
      </c>
      <c r="I1763" s="18" t="str" cm="1">
        <f t="array" ref="I1763">_xlfn.LET(_xlpm.text, D1763,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3" s="18" t="str" cm="1">
        <f t="array" ref="J1763">_xlfn.LET(_xlpm.text, E1763,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3" s="14">
        <f t="shared" si="136"/>
        <v>46036</v>
      </c>
      <c r="L1763" s="14">
        <f t="shared" si="137"/>
        <v>46036.624664351853</v>
      </c>
      <c r="N1763" s="12"/>
    </row>
    <row r="1764" spans="1:14" x14ac:dyDescent="0.25">
      <c r="A1764" s="4" t="s">
        <v>1794</v>
      </c>
      <c r="B1764" s="16" t="str">
        <f t="shared" si="133"/>
        <v>M/s SHREE VISHNU MINERALS</v>
      </c>
      <c r="C1764" s="16" t="str">
        <f t="shared" si="134"/>
        <v>Mokha Charnan / Kolayat / Bikaner</v>
      </c>
      <c r="D1764" s="4" t="s">
        <v>3034</v>
      </c>
      <c r="E1764" s="4" t="s">
        <v>3119</v>
      </c>
      <c r="F1764" s="5">
        <v>46033.999664351853</v>
      </c>
      <c r="G1764" s="16" t="str">
        <f t="shared" si="135"/>
        <v>Silica Sand</v>
      </c>
      <c r="H1764" s="4" t="s">
        <v>2882</v>
      </c>
      <c r="I1764" s="18" t="str" cm="1">
        <f t="array" ref="I1764">_xlfn.LET(_xlpm.text, D1764,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4" s="18" t="str" cm="1">
        <f t="array" ref="J1764">_xlfn.LET(_xlpm.text, E1764,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4" s="14">
        <f t="shared" si="136"/>
        <v>46034</v>
      </c>
      <c r="L1764" s="14">
        <f t="shared" si="137"/>
        <v>46034.624664351853</v>
      </c>
      <c r="N1764" s="12"/>
    </row>
    <row r="1765" spans="1:14" x14ac:dyDescent="0.25">
      <c r="A1765" s="4" t="s">
        <v>1795</v>
      </c>
      <c r="B1765" s="16" t="str">
        <f t="shared" si="133"/>
        <v>M/s SHREE VISHNU MINERALS</v>
      </c>
      <c r="C1765" s="16" t="str">
        <f t="shared" si="134"/>
        <v>Mokha Charnan / Kolayat / Bikaner</v>
      </c>
      <c r="D1765" s="4" t="s">
        <v>3034</v>
      </c>
      <c r="E1765" s="4" t="s">
        <v>3119</v>
      </c>
      <c r="F1765" s="5">
        <v>46035.999664351853</v>
      </c>
      <c r="G1765" s="16" t="str">
        <f t="shared" si="135"/>
        <v>Silica Sand</v>
      </c>
      <c r="H1765" s="4" t="s">
        <v>2452</v>
      </c>
      <c r="I1765" s="18" t="str" cm="1">
        <f t="array" ref="I1765">_xlfn.LET(_xlpm.text, D1765,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5" s="18" t="str" cm="1">
        <f t="array" ref="J1765">_xlfn.LET(_xlpm.text, E1765,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5" s="14">
        <f t="shared" si="136"/>
        <v>46036</v>
      </c>
      <c r="L1765" s="14">
        <f t="shared" si="137"/>
        <v>46036.624664351853</v>
      </c>
      <c r="N1765" s="12"/>
    </row>
    <row r="1766" spans="1:14" x14ac:dyDescent="0.25">
      <c r="A1766" s="4" t="s">
        <v>1796</v>
      </c>
      <c r="B1766" s="16" t="str">
        <f t="shared" si="133"/>
        <v>M/s SHREE VISHNU MINERALS</v>
      </c>
      <c r="C1766" s="16" t="str">
        <f t="shared" si="134"/>
        <v>Mokha Charnan / Kolayat / Bikaner</v>
      </c>
      <c r="D1766" s="4" t="s">
        <v>3034</v>
      </c>
      <c r="E1766" s="4" t="s">
        <v>3119</v>
      </c>
      <c r="F1766" s="5">
        <v>46035.999664351853</v>
      </c>
      <c r="G1766" s="16" t="str">
        <f t="shared" si="135"/>
        <v>Silica Sand</v>
      </c>
      <c r="H1766" s="4" t="s">
        <v>2964</v>
      </c>
      <c r="I1766" s="18" t="str" cm="1">
        <f t="array" ref="I1766">_xlfn.LET(_xlpm.text, D1766,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6" s="18" t="str" cm="1">
        <f t="array" ref="J1766">_xlfn.LET(_xlpm.text, E1766,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6" s="14">
        <f t="shared" si="136"/>
        <v>46036</v>
      </c>
      <c r="L1766" s="14">
        <f t="shared" si="137"/>
        <v>46036.624664351853</v>
      </c>
      <c r="N1766" s="12"/>
    </row>
    <row r="1767" spans="1:14" x14ac:dyDescent="0.25">
      <c r="A1767" s="4" t="s">
        <v>1797</v>
      </c>
      <c r="B1767" s="16" t="str">
        <f t="shared" si="133"/>
        <v>M/s SHREE VISHNU MINERALS</v>
      </c>
      <c r="C1767" s="16" t="str">
        <f t="shared" si="134"/>
        <v>Mokha Charnan / Kolayat / Bikaner</v>
      </c>
      <c r="D1767" s="4" t="s">
        <v>3034</v>
      </c>
      <c r="E1767" s="4" t="s">
        <v>3119</v>
      </c>
      <c r="F1767" s="5">
        <v>46035.999664351853</v>
      </c>
      <c r="G1767" s="16" t="str">
        <f t="shared" si="135"/>
        <v>Silica Sand</v>
      </c>
      <c r="H1767" s="4" t="s">
        <v>2918</v>
      </c>
      <c r="I1767" s="18" t="str" cm="1">
        <f t="array" ref="I1767">_xlfn.LET(_xlpm.text, D1767,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7" s="18" t="str" cm="1">
        <f t="array" ref="J1767">_xlfn.LET(_xlpm.text, E1767,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7" s="14">
        <f t="shared" si="136"/>
        <v>46036</v>
      </c>
      <c r="L1767" s="14">
        <f t="shared" si="137"/>
        <v>46036.624664351853</v>
      </c>
      <c r="N1767" s="12"/>
    </row>
    <row r="1768" spans="1:14" x14ac:dyDescent="0.25">
      <c r="A1768" s="4" t="s">
        <v>1798</v>
      </c>
      <c r="B1768" s="16" t="str">
        <f t="shared" si="133"/>
        <v>M/s SHREE VISHNU MINERALS</v>
      </c>
      <c r="C1768" s="16" t="str">
        <f t="shared" si="134"/>
        <v>Mokha Charnan / Kolayat / Bikaner</v>
      </c>
      <c r="D1768" s="4" t="s">
        <v>3034</v>
      </c>
      <c r="E1768" s="4" t="s">
        <v>3119</v>
      </c>
      <c r="F1768" s="5">
        <v>46036.999664351853</v>
      </c>
      <c r="G1768" s="16" t="str">
        <f t="shared" si="135"/>
        <v>Silica Sand</v>
      </c>
      <c r="H1768" s="4" t="s">
        <v>2895</v>
      </c>
      <c r="I1768" s="18" t="str" cm="1">
        <f t="array" ref="I1768">_xlfn.LET(_xlpm.text, D1768,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768" s="18" t="str" cm="1">
        <f t="array" ref="J1768">_xlfn.LET(_xlpm.text, E1768,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8" s="14">
        <f t="shared" si="136"/>
        <v>46037</v>
      </c>
      <c r="L1768" s="14">
        <f t="shared" si="137"/>
        <v>46037.624664351853</v>
      </c>
      <c r="N1768" s="12"/>
    </row>
    <row r="1769" spans="1:14" x14ac:dyDescent="0.25">
      <c r="A1769" s="4" t="s">
        <v>1799</v>
      </c>
      <c r="B1769" s="16" t="str">
        <f t="shared" si="133"/>
        <v>S.R.MINES AND MINERLS</v>
      </c>
      <c r="C1769" s="16" t="str">
        <f t="shared" si="134"/>
        <v>Indo Ka Bala / Kolayat / Bikaner</v>
      </c>
      <c r="D1769" s="4" t="s">
        <v>1382</v>
      </c>
      <c r="E1769" s="4" t="s">
        <v>3119</v>
      </c>
      <c r="F1769" s="5">
        <v>46028.999664351853</v>
      </c>
      <c r="G1769" s="16" t="str">
        <f t="shared" si="135"/>
        <v>Silica Sand</v>
      </c>
      <c r="H1769" s="4" t="s">
        <v>427</v>
      </c>
      <c r="I1769" s="18" t="str" cm="1">
        <f t="array" ref="I1769">_xlfn.LET(_xlpm.text, D1769,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69" s="18" t="str" cm="1">
        <f t="array" ref="J1769">_xlfn.LET(_xlpm.text, E1769,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69" s="14">
        <f t="shared" si="136"/>
        <v>46029</v>
      </c>
      <c r="L1769" s="14">
        <f t="shared" si="137"/>
        <v>46029.624664351853</v>
      </c>
      <c r="N1769" s="12"/>
    </row>
    <row r="1770" spans="1:14" x14ac:dyDescent="0.25">
      <c r="A1770" s="4" t="s">
        <v>1800</v>
      </c>
      <c r="B1770" s="16" t="str">
        <f t="shared" si="133"/>
        <v>S.R.MINES AND MINERLS</v>
      </c>
      <c r="C1770" s="16" t="str">
        <f t="shared" si="134"/>
        <v>Indo Ka Bala / Kolayat / Bikaner</v>
      </c>
      <c r="D1770" s="4" t="s">
        <v>1382</v>
      </c>
      <c r="E1770" s="4" t="s">
        <v>3119</v>
      </c>
      <c r="F1770" s="5">
        <v>46027.999664351853</v>
      </c>
      <c r="G1770" s="16" t="str">
        <f t="shared" si="135"/>
        <v>Silica Sand</v>
      </c>
      <c r="H1770" s="4" t="s">
        <v>2611</v>
      </c>
      <c r="I1770" s="18" t="str" cm="1">
        <f t="array" ref="I1770">_xlfn.LET(_xlpm.text, D1770,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70" s="18" t="str" cm="1">
        <f t="array" ref="J1770">_xlfn.LET(_xlpm.text, E1770,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0" s="14">
        <f t="shared" si="136"/>
        <v>46028</v>
      </c>
      <c r="L1770" s="14">
        <f t="shared" si="137"/>
        <v>46028.624664351853</v>
      </c>
      <c r="N1770" s="12"/>
    </row>
    <row r="1771" spans="1:14" x14ac:dyDescent="0.25">
      <c r="A1771" s="4" t="s">
        <v>1801</v>
      </c>
      <c r="B1771" s="16" t="str">
        <f t="shared" si="133"/>
        <v>ANIL KUMAR KHICHER</v>
      </c>
      <c r="C1771" s="16" t="str">
        <f t="shared" si="134"/>
        <v>Kishnasar / Nokha / Bikaner</v>
      </c>
      <c r="D1771" s="4" t="s">
        <v>1382</v>
      </c>
      <c r="E1771" s="4" t="s">
        <v>3119</v>
      </c>
      <c r="F1771" s="5">
        <v>46039.999664351853</v>
      </c>
      <c r="G1771" s="16" t="str">
        <f t="shared" si="135"/>
        <v>Silica Sand</v>
      </c>
      <c r="H1771" s="4" t="s">
        <v>2478</v>
      </c>
      <c r="I1771" s="18" t="str" cm="1">
        <f t="array" ref="I1771">_xlfn.LET(_xlpm.text, D1771,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71" s="18" t="str" cm="1">
        <f t="array" ref="J1771">_xlfn.LET(_xlpm.text, E1771,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1" s="14">
        <f t="shared" si="136"/>
        <v>46040</v>
      </c>
      <c r="L1771" s="14">
        <f t="shared" si="137"/>
        <v>46040.624664351853</v>
      </c>
      <c r="N1771" s="12"/>
    </row>
    <row r="1772" spans="1:14" x14ac:dyDescent="0.25">
      <c r="A1772" s="4" t="s">
        <v>1802</v>
      </c>
      <c r="B1772" s="16" t="str">
        <f t="shared" si="133"/>
        <v>ANIL KUMAR KHICHER</v>
      </c>
      <c r="C1772" s="16" t="str">
        <f t="shared" si="134"/>
        <v>Kishnasar / Nokha / Bikaner</v>
      </c>
      <c r="D1772" s="4" t="s">
        <v>1382</v>
      </c>
      <c r="E1772" s="4" t="s">
        <v>3119</v>
      </c>
      <c r="F1772" s="5">
        <v>46041.999664351853</v>
      </c>
      <c r="G1772" s="16" t="str">
        <f t="shared" si="135"/>
        <v>Silica Sand</v>
      </c>
      <c r="H1772" s="4" t="s">
        <v>2478</v>
      </c>
      <c r="I1772" s="18" t="str" cm="1">
        <f t="array" ref="I1772">_xlfn.LET(_xlpm.text, D1772,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72" s="18" t="str" cm="1">
        <f t="array" ref="J1772">_xlfn.LET(_xlpm.text, E1772,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2" s="14">
        <f t="shared" si="136"/>
        <v>46042</v>
      </c>
      <c r="L1772" s="14">
        <f t="shared" si="137"/>
        <v>46042.624664351853</v>
      </c>
      <c r="N1772" s="12"/>
    </row>
    <row r="1773" spans="1:14" x14ac:dyDescent="0.25">
      <c r="A1773" s="4" t="s">
        <v>1803</v>
      </c>
      <c r="B1773" s="16" t="str">
        <f t="shared" si="133"/>
        <v>ANIL KUMAR KHICHER</v>
      </c>
      <c r="C1773" s="16" t="str">
        <f t="shared" si="134"/>
        <v>Kishnasar / Nokha / Bikaner</v>
      </c>
      <c r="D1773" s="4" t="s">
        <v>1382</v>
      </c>
      <c r="E1773" s="4" t="s">
        <v>3119</v>
      </c>
      <c r="F1773" s="5">
        <v>46042.999664351853</v>
      </c>
      <c r="G1773" s="16" t="str">
        <f t="shared" si="135"/>
        <v>Silica Sand</v>
      </c>
      <c r="H1773" s="4" t="s">
        <v>2478</v>
      </c>
      <c r="I1773" s="18" t="str" cm="1">
        <f t="array" ref="I1773">_xlfn.LET(_xlpm.text, D1773,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73" s="18" t="str" cm="1">
        <f t="array" ref="J1773">_xlfn.LET(_xlpm.text, E1773,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3" s="14">
        <f t="shared" si="136"/>
        <v>46043</v>
      </c>
      <c r="L1773" s="14">
        <f t="shared" si="137"/>
        <v>46043.624664351853</v>
      </c>
      <c r="N1773" s="12"/>
    </row>
    <row r="1774" spans="1:14" x14ac:dyDescent="0.25">
      <c r="A1774" s="4" t="s">
        <v>1804</v>
      </c>
      <c r="B1774" s="16" t="str">
        <f t="shared" si="133"/>
        <v>ANIL KUMAR KHICHER</v>
      </c>
      <c r="C1774" s="16" t="str">
        <f t="shared" si="134"/>
        <v>Kishnasar / Nokha / Bikaner</v>
      </c>
      <c r="D1774" s="4" t="s">
        <v>1382</v>
      </c>
      <c r="E1774" s="4" t="s">
        <v>3119</v>
      </c>
      <c r="F1774" s="5">
        <v>46043.999664351853</v>
      </c>
      <c r="G1774" s="16" t="str">
        <f t="shared" si="135"/>
        <v>Silica Sand</v>
      </c>
      <c r="H1774" s="4" t="s">
        <v>2977</v>
      </c>
      <c r="I1774" s="18" t="str" cm="1">
        <f t="array" ref="I1774">_xlfn.LET(_xlpm.text, D1774,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74" s="18" t="str" cm="1">
        <f t="array" ref="J1774">_xlfn.LET(_xlpm.text, E1774,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4" s="14">
        <f t="shared" si="136"/>
        <v>46044</v>
      </c>
      <c r="L1774" s="14">
        <f t="shared" si="137"/>
        <v>46044.624664351853</v>
      </c>
      <c r="N1774" s="12"/>
    </row>
    <row r="1775" spans="1:14" x14ac:dyDescent="0.25">
      <c r="A1775" s="4" t="s">
        <v>1805</v>
      </c>
      <c r="B1775" s="16" t="str">
        <f t="shared" si="133"/>
        <v>S.R.MINES AND MINERLS</v>
      </c>
      <c r="C1775" s="16" t="str">
        <f t="shared" si="134"/>
        <v>Indo Ka Bala / Kolayat / Bikaner</v>
      </c>
      <c r="D1775" s="4" t="s">
        <v>3033</v>
      </c>
      <c r="E1775" s="4" t="s">
        <v>3119</v>
      </c>
      <c r="F1775" s="5">
        <v>45992.999664351853</v>
      </c>
      <c r="G1775" s="16" t="str">
        <f t="shared" si="135"/>
        <v>Silica Sand</v>
      </c>
      <c r="H1775" s="4" t="s">
        <v>2962</v>
      </c>
      <c r="I1775" s="18" t="str" cm="1">
        <f t="array" ref="I1775">_xlfn.LET(_xlpm.text, D1775,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1775" s="18" t="str" cm="1">
        <f t="array" ref="J1775">_xlfn.LET(_xlpm.text, E1775,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5" s="14">
        <f t="shared" si="136"/>
        <v>45993</v>
      </c>
      <c r="L1775" s="14">
        <f t="shared" si="137"/>
        <v>45993.624664351853</v>
      </c>
      <c r="N1775" s="12"/>
    </row>
    <row r="1776" spans="1:14" x14ac:dyDescent="0.25">
      <c r="A1776" s="4" t="s">
        <v>1806</v>
      </c>
      <c r="B1776" s="16" t="str">
        <f t="shared" si="133"/>
        <v>M/s SHREE VISHNU MINERALS</v>
      </c>
      <c r="C1776" s="16" t="str">
        <f t="shared" si="134"/>
        <v>Mokha Charnan / Kolayat / Bikaner</v>
      </c>
      <c r="D1776" s="4" t="s">
        <v>3032</v>
      </c>
      <c r="E1776" s="4" t="s">
        <v>3119</v>
      </c>
      <c r="F1776" s="5">
        <v>46045.999664351853</v>
      </c>
      <c r="G1776" s="16" t="str">
        <f t="shared" si="135"/>
        <v>Silica Sand</v>
      </c>
      <c r="H1776" s="4" t="s">
        <v>2661</v>
      </c>
      <c r="I1776" s="18" t="str" cm="1">
        <f t="array" ref="I1776">_xlfn.LET(_xlpm.text, D1776,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76" s="18" t="str" cm="1">
        <f t="array" ref="J1776">_xlfn.LET(_xlpm.text, E1776,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6" s="14">
        <f t="shared" si="136"/>
        <v>46046</v>
      </c>
      <c r="L1776" s="14">
        <f t="shared" si="137"/>
        <v>46046.624664351853</v>
      </c>
      <c r="N1776" s="12"/>
    </row>
    <row r="1777" spans="1:14" x14ac:dyDescent="0.25">
      <c r="A1777" s="4" t="s">
        <v>1807</v>
      </c>
      <c r="B1777" s="16" t="str">
        <f t="shared" si="133"/>
        <v>M/s SHREE VISHNU MINERALS</v>
      </c>
      <c r="C1777" s="16" t="str">
        <f t="shared" si="134"/>
        <v>Mokha Charnan / Kolayat / Bikaner</v>
      </c>
      <c r="D1777" s="4" t="s">
        <v>3032</v>
      </c>
      <c r="E1777" s="4" t="s">
        <v>3119</v>
      </c>
      <c r="F1777" s="5">
        <v>46048.999664351853</v>
      </c>
      <c r="G1777" s="16" t="str">
        <f t="shared" si="135"/>
        <v>Silica Sand</v>
      </c>
      <c r="H1777" s="4" t="s">
        <v>2893</v>
      </c>
      <c r="I1777" s="18" t="str" cm="1">
        <f t="array" ref="I1777">_xlfn.LET(_xlpm.text, D1777,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77" s="18" t="str" cm="1">
        <f t="array" ref="J1777">_xlfn.LET(_xlpm.text, E1777,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7" s="14">
        <f t="shared" si="136"/>
        <v>46049</v>
      </c>
      <c r="L1777" s="14">
        <f t="shared" si="137"/>
        <v>46049.624664351853</v>
      </c>
      <c r="N1777" s="12"/>
    </row>
    <row r="1778" spans="1:14" x14ac:dyDescent="0.25">
      <c r="A1778" s="4" t="s">
        <v>1808</v>
      </c>
      <c r="B1778" s="16" t="str">
        <f t="shared" si="133"/>
        <v>M/s SHREE VISHNU MINERALS</v>
      </c>
      <c r="C1778" s="16" t="str">
        <f t="shared" si="134"/>
        <v>Mokha Charnan / Kolayat / Bikaner</v>
      </c>
      <c r="D1778" s="4" t="s">
        <v>3032</v>
      </c>
      <c r="E1778" s="4" t="s">
        <v>3119</v>
      </c>
      <c r="F1778" s="5">
        <v>46045.999664351853</v>
      </c>
      <c r="G1778" s="16" t="str">
        <f t="shared" si="135"/>
        <v>Silica Sand</v>
      </c>
      <c r="H1778" s="4" t="s">
        <v>412</v>
      </c>
      <c r="I1778" s="18" t="str" cm="1">
        <f t="array" ref="I1778">_xlfn.LET(_xlpm.text, D1778,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78" s="18" t="str" cm="1">
        <f t="array" ref="J1778">_xlfn.LET(_xlpm.text, E1778,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8" s="14">
        <f t="shared" si="136"/>
        <v>46046</v>
      </c>
      <c r="L1778" s="14">
        <f t="shared" si="137"/>
        <v>46046.624664351853</v>
      </c>
      <c r="N1778" s="12"/>
    </row>
    <row r="1779" spans="1:14" x14ac:dyDescent="0.25">
      <c r="A1779" s="4" t="s">
        <v>1809</v>
      </c>
      <c r="B1779" s="16" t="str">
        <f t="shared" si="133"/>
        <v>M/s SHREE VISHNU MINERALS</v>
      </c>
      <c r="C1779" s="16" t="str">
        <f t="shared" si="134"/>
        <v>Mokha Charnan / Kolayat / Bikaner</v>
      </c>
      <c r="D1779" s="4" t="s">
        <v>3032</v>
      </c>
      <c r="E1779" s="4" t="s">
        <v>3119</v>
      </c>
      <c r="F1779" s="5">
        <v>46037.999664351853</v>
      </c>
      <c r="G1779" s="16" t="str">
        <f t="shared" si="135"/>
        <v>Silica Sand</v>
      </c>
      <c r="H1779" s="4" t="s">
        <v>2611</v>
      </c>
      <c r="I1779" s="18" t="str" cm="1">
        <f t="array" ref="I1779">_xlfn.LET(_xlpm.text, D1779,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79" s="18" t="str" cm="1">
        <f t="array" ref="J1779">_xlfn.LET(_xlpm.text, E1779,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79" s="14">
        <f t="shared" si="136"/>
        <v>46038</v>
      </c>
      <c r="L1779" s="14">
        <f t="shared" si="137"/>
        <v>46038.624664351853</v>
      </c>
      <c r="N1779" s="12"/>
    </row>
    <row r="1780" spans="1:14" x14ac:dyDescent="0.25">
      <c r="A1780" s="4" t="s">
        <v>1810</v>
      </c>
      <c r="B1780" s="16" t="str">
        <f t="shared" si="133"/>
        <v>M/s SHREE VISHNU MINERALS</v>
      </c>
      <c r="C1780" s="16" t="str">
        <f t="shared" si="134"/>
        <v>Mokha Charnan / Kolayat / Bikaner</v>
      </c>
      <c r="D1780" s="4" t="s">
        <v>3032</v>
      </c>
      <c r="E1780" s="4" t="s">
        <v>3119</v>
      </c>
      <c r="F1780" s="5">
        <v>46037.999664351853</v>
      </c>
      <c r="G1780" s="16" t="str">
        <f t="shared" si="135"/>
        <v>Silica Sand</v>
      </c>
      <c r="H1780" s="4" t="s">
        <v>2978</v>
      </c>
      <c r="I1780" s="18" t="str" cm="1">
        <f t="array" ref="I1780">_xlfn.LET(_xlpm.text, D1780,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0" s="18" t="str" cm="1">
        <f t="array" ref="J1780">_xlfn.LET(_xlpm.text, E1780,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0" s="14">
        <f t="shared" si="136"/>
        <v>46038</v>
      </c>
      <c r="L1780" s="14">
        <f t="shared" si="137"/>
        <v>46038.624664351853</v>
      </c>
      <c r="N1780" s="12"/>
    </row>
    <row r="1781" spans="1:14" x14ac:dyDescent="0.25">
      <c r="A1781" s="4" t="s">
        <v>1811</v>
      </c>
      <c r="B1781" s="16" t="str">
        <f t="shared" si="133"/>
        <v>M/s SHREE VISHNU MINERALS</v>
      </c>
      <c r="C1781" s="16" t="str">
        <f t="shared" si="134"/>
        <v>Mokha Charnan / Kolayat / Bikaner</v>
      </c>
      <c r="D1781" s="4" t="s">
        <v>3032</v>
      </c>
      <c r="E1781" s="4" t="s">
        <v>3119</v>
      </c>
      <c r="F1781" s="5">
        <v>46036.999664351853</v>
      </c>
      <c r="G1781" s="16" t="str">
        <f t="shared" si="135"/>
        <v>Silica Sand</v>
      </c>
      <c r="H1781" s="4" t="s">
        <v>2882</v>
      </c>
      <c r="I1781" s="18" t="str" cm="1">
        <f t="array" ref="I1781">_xlfn.LET(_xlpm.text, D1781,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1" s="18" t="str" cm="1">
        <f t="array" ref="J1781">_xlfn.LET(_xlpm.text, E1781,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1" s="14">
        <f t="shared" si="136"/>
        <v>46037</v>
      </c>
      <c r="L1781" s="14">
        <f t="shared" si="137"/>
        <v>46037.624664351853</v>
      </c>
      <c r="N1781" s="12"/>
    </row>
    <row r="1782" spans="1:14" x14ac:dyDescent="0.25">
      <c r="A1782" s="4" t="s">
        <v>1812</v>
      </c>
      <c r="B1782" s="16" t="str">
        <f t="shared" si="133"/>
        <v>M/s SHREE VISHNU MINERALS</v>
      </c>
      <c r="C1782" s="16" t="str">
        <f t="shared" si="134"/>
        <v>Mokha Charnan / Kolayat / Bikaner</v>
      </c>
      <c r="D1782" s="4" t="s">
        <v>3032</v>
      </c>
      <c r="E1782" s="4" t="s">
        <v>3119</v>
      </c>
      <c r="F1782" s="5">
        <v>46035.999664351853</v>
      </c>
      <c r="G1782" s="16" t="str">
        <f t="shared" si="135"/>
        <v>Silica Sand</v>
      </c>
      <c r="H1782" s="4" t="s">
        <v>2582</v>
      </c>
      <c r="I1782" s="18" t="str" cm="1">
        <f t="array" ref="I1782">_xlfn.LET(_xlpm.text, D1782,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2" s="18" t="str" cm="1">
        <f t="array" ref="J1782">_xlfn.LET(_xlpm.text, E1782,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2" s="14">
        <f t="shared" si="136"/>
        <v>46036</v>
      </c>
      <c r="L1782" s="14">
        <f t="shared" si="137"/>
        <v>46036.624664351853</v>
      </c>
      <c r="N1782" s="12"/>
    </row>
    <row r="1783" spans="1:14" x14ac:dyDescent="0.25">
      <c r="A1783" s="4" t="s">
        <v>1813</v>
      </c>
      <c r="B1783" s="16" t="str">
        <f t="shared" si="133"/>
        <v>M/s SHREE VISHNU MINERALS</v>
      </c>
      <c r="C1783" s="16" t="str">
        <f t="shared" si="134"/>
        <v>Mokha Charnan / Kolayat / Bikaner</v>
      </c>
      <c r="D1783" s="4" t="s">
        <v>3032</v>
      </c>
      <c r="E1783" s="4" t="s">
        <v>3119</v>
      </c>
      <c r="F1783" s="5">
        <v>46038.999664351853</v>
      </c>
      <c r="G1783" s="16" t="str">
        <f t="shared" si="135"/>
        <v>Silica Sand</v>
      </c>
      <c r="H1783" s="4" t="s">
        <v>2893</v>
      </c>
      <c r="I1783" s="18" t="str" cm="1">
        <f t="array" ref="I1783">_xlfn.LET(_xlpm.text, D1783,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3" s="18" t="str" cm="1">
        <f t="array" ref="J1783">_xlfn.LET(_xlpm.text, E1783,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3" s="14">
        <f t="shared" si="136"/>
        <v>46039</v>
      </c>
      <c r="L1783" s="14">
        <f t="shared" si="137"/>
        <v>46039.624664351853</v>
      </c>
      <c r="N1783" s="12"/>
    </row>
    <row r="1784" spans="1:14" x14ac:dyDescent="0.25">
      <c r="A1784" s="4" t="s">
        <v>1814</v>
      </c>
      <c r="B1784" s="16" t="str">
        <f t="shared" si="133"/>
        <v>M/s SHREE VISHNU MINERALS</v>
      </c>
      <c r="C1784" s="16" t="str">
        <f t="shared" si="134"/>
        <v>Mokha Charnan / Kolayat / Bikaner</v>
      </c>
      <c r="D1784" s="4" t="s">
        <v>3032</v>
      </c>
      <c r="E1784" s="4" t="s">
        <v>3119</v>
      </c>
      <c r="F1784" s="5">
        <v>46039.999664351853</v>
      </c>
      <c r="G1784" s="16" t="str">
        <f t="shared" si="135"/>
        <v>Silica Sand</v>
      </c>
      <c r="H1784" s="4" t="s">
        <v>2893</v>
      </c>
      <c r="I1784" s="18" t="str" cm="1">
        <f t="array" ref="I1784">_xlfn.LET(_xlpm.text, D1784,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4" s="18" t="str" cm="1">
        <f t="array" ref="J1784">_xlfn.LET(_xlpm.text, E1784,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4" s="14">
        <f t="shared" si="136"/>
        <v>46040</v>
      </c>
      <c r="L1784" s="14">
        <f t="shared" si="137"/>
        <v>46040.624664351853</v>
      </c>
      <c r="N1784" s="12"/>
    </row>
    <row r="1785" spans="1:14" x14ac:dyDescent="0.25">
      <c r="A1785" s="4" t="s">
        <v>1815</v>
      </c>
      <c r="B1785" s="16" t="str">
        <f t="shared" si="133"/>
        <v>M/s SHREE VISHNU MINERALS</v>
      </c>
      <c r="C1785" s="16" t="str">
        <f t="shared" si="134"/>
        <v>Mokha Charnan / Kolayat / Bikaner</v>
      </c>
      <c r="D1785" s="4" t="s">
        <v>3032</v>
      </c>
      <c r="E1785" s="4" t="s">
        <v>3119</v>
      </c>
      <c r="F1785" s="5">
        <v>46040.999664351853</v>
      </c>
      <c r="G1785" s="16" t="str">
        <f t="shared" si="135"/>
        <v>Silica Sand</v>
      </c>
      <c r="H1785" s="4" t="s">
        <v>2399</v>
      </c>
      <c r="I1785" s="18" t="str" cm="1">
        <f t="array" ref="I1785">_xlfn.LET(_xlpm.text, D1785,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5" s="18" t="str" cm="1">
        <f t="array" ref="J1785">_xlfn.LET(_xlpm.text, E1785,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5" s="14">
        <f t="shared" si="136"/>
        <v>46041</v>
      </c>
      <c r="L1785" s="14">
        <f t="shared" si="137"/>
        <v>46041.624664351853</v>
      </c>
      <c r="N1785" s="12"/>
    </row>
    <row r="1786" spans="1:14" x14ac:dyDescent="0.25">
      <c r="A1786" s="4" t="s">
        <v>1816</v>
      </c>
      <c r="B1786" s="16" t="str">
        <f t="shared" si="133"/>
        <v>M/s SHREE VISHNU MINERALS</v>
      </c>
      <c r="C1786" s="16" t="str">
        <f t="shared" si="134"/>
        <v>Mokha Charnan / Kolayat / Bikaner</v>
      </c>
      <c r="D1786" s="4" t="s">
        <v>3032</v>
      </c>
      <c r="E1786" s="4" t="s">
        <v>3119</v>
      </c>
      <c r="F1786" s="5">
        <v>46039.999664351853</v>
      </c>
      <c r="G1786" s="16" t="str">
        <f t="shared" si="135"/>
        <v>Silica Sand</v>
      </c>
      <c r="H1786" s="4" t="s">
        <v>2766</v>
      </c>
      <c r="I1786" s="18" t="str" cm="1">
        <f t="array" ref="I1786">_xlfn.LET(_xlpm.text, D1786,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6" s="18" t="str" cm="1">
        <f t="array" ref="J1786">_xlfn.LET(_xlpm.text, E1786,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6" s="14">
        <f t="shared" si="136"/>
        <v>46040</v>
      </c>
      <c r="L1786" s="14">
        <f t="shared" si="137"/>
        <v>46040.624664351853</v>
      </c>
      <c r="N1786" s="12"/>
    </row>
    <row r="1787" spans="1:14" x14ac:dyDescent="0.25">
      <c r="A1787" s="4" t="s">
        <v>1817</v>
      </c>
      <c r="B1787" s="16" t="str">
        <f t="shared" si="133"/>
        <v>M/s SHREE VISHNU MINERALS</v>
      </c>
      <c r="C1787" s="16" t="str">
        <f t="shared" si="134"/>
        <v>Mokha Charnan / Kolayat / Bikaner</v>
      </c>
      <c r="D1787" s="4" t="s">
        <v>3032</v>
      </c>
      <c r="E1787" s="4" t="s">
        <v>3119</v>
      </c>
      <c r="F1787" s="5">
        <v>46037.999664351853</v>
      </c>
      <c r="G1787" s="16" t="str">
        <f t="shared" si="135"/>
        <v>Silica Sand</v>
      </c>
      <c r="H1787" s="4" t="s">
        <v>2926</v>
      </c>
      <c r="I1787" s="18" t="str" cm="1">
        <f t="array" ref="I1787">_xlfn.LET(_xlpm.text, D1787,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7" s="18" t="str" cm="1">
        <f t="array" ref="J1787">_xlfn.LET(_xlpm.text, E1787,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7" s="14">
        <f t="shared" si="136"/>
        <v>46038</v>
      </c>
      <c r="L1787" s="14">
        <f t="shared" si="137"/>
        <v>46038.624664351853</v>
      </c>
      <c r="N1787" s="12"/>
    </row>
    <row r="1788" spans="1:14" x14ac:dyDescent="0.25">
      <c r="A1788" s="4" t="s">
        <v>1818</v>
      </c>
      <c r="B1788" s="16" t="str">
        <f t="shared" si="133"/>
        <v>M/s SHREE VISHNU MINERALS</v>
      </c>
      <c r="C1788" s="16" t="str">
        <f t="shared" si="134"/>
        <v>Mokha Charnan / Kolayat / Bikaner</v>
      </c>
      <c r="D1788" s="4" t="s">
        <v>3032</v>
      </c>
      <c r="E1788" s="4" t="s">
        <v>3119</v>
      </c>
      <c r="F1788" s="5">
        <v>46037.999664351853</v>
      </c>
      <c r="G1788" s="16" t="str">
        <f t="shared" si="135"/>
        <v>Silica Sand</v>
      </c>
      <c r="H1788" s="4" t="s">
        <v>412</v>
      </c>
      <c r="I1788" s="18" t="str" cm="1">
        <f t="array" ref="I1788">_xlfn.LET(_xlpm.text, D1788,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8" s="18" t="str" cm="1">
        <f t="array" ref="J1788">_xlfn.LET(_xlpm.text, E1788,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8" s="14">
        <f t="shared" si="136"/>
        <v>46038</v>
      </c>
      <c r="L1788" s="14">
        <f t="shared" si="137"/>
        <v>46038.624664351853</v>
      </c>
      <c r="N1788" s="12"/>
    </row>
    <row r="1789" spans="1:14" x14ac:dyDescent="0.25">
      <c r="A1789" s="4" t="s">
        <v>1819</v>
      </c>
      <c r="B1789" s="16" t="str">
        <f t="shared" si="133"/>
        <v>M/s SHREE VISHNU MINERALS</v>
      </c>
      <c r="C1789" s="16" t="str">
        <f t="shared" si="134"/>
        <v>Mokha Charnan / Kolayat / Bikaner</v>
      </c>
      <c r="D1789" s="4" t="s">
        <v>3032</v>
      </c>
      <c r="E1789" s="4" t="s">
        <v>3119</v>
      </c>
      <c r="F1789" s="5">
        <v>46037.999664351853</v>
      </c>
      <c r="G1789" s="16" t="str">
        <f t="shared" si="135"/>
        <v>Silica Sand</v>
      </c>
      <c r="H1789" s="4" t="s">
        <v>2926</v>
      </c>
      <c r="I1789" s="18" t="str" cm="1">
        <f t="array" ref="I1789">_xlfn.LET(_xlpm.text, D1789,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89" s="18" t="str" cm="1">
        <f t="array" ref="J1789">_xlfn.LET(_xlpm.text, E1789,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89" s="14">
        <f t="shared" si="136"/>
        <v>46038</v>
      </c>
      <c r="L1789" s="14">
        <f t="shared" si="137"/>
        <v>46038.624664351853</v>
      </c>
      <c r="N1789" s="12"/>
    </row>
    <row r="1790" spans="1:14" x14ac:dyDescent="0.25">
      <c r="A1790" s="4" t="s">
        <v>1820</v>
      </c>
      <c r="B1790" s="16" t="str">
        <f t="shared" si="133"/>
        <v>M/s SHREE VISHNU MINERALS</v>
      </c>
      <c r="C1790" s="16" t="str">
        <f t="shared" si="134"/>
        <v>Mokha Charnan / Kolayat / Bikaner</v>
      </c>
      <c r="D1790" s="4" t="s">
        <v>3032</v>
      </c>
      <c r="E1790" s="4" t="s">
        <v>3119</v>
      </c>
      <c r="F1790" s="5">
        <v>46037.999664351853</v>
      </c>
      <c r="G1790" s="16" t="str">
        <f t="shared" si="135"/>
        <v>Silica Sand</v>
      </c>
      <c r="H1790" s="4" t="s">
        <v>2611</v>
      </c>
      <c r="I1790" s="18" t="str" cm="1">
        <f t="array" ref="I1790">_xlfn.LET(_xlpm.text, D1790,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90" s="18" t="str" cm="1">
        <f t="array" ref="J1790">_xlfn.LET(_xlpm.text, E1790,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0" s="14">
        <f t="shared" si="136"/>
        <v>46038</v>
      </c>
      <c r="L1790" s="14">
        <f t="shared" si="137"/>
        <v>46038.624664351853</v>
      </c>
      <c r="N1790" s="12"/>
    </row>
    <row r="1791" spans="1:14" x14ac:dyDescent="0.25">
      <c r="A1791" s="4" t="s">
        <v>1821</v>
      </c>
      <c r="B1791" s="16" t="str">
        <f t="shared" si="133"/>
        <v>M/s SHREE VISHNU MINERALS</v>
      </c>
      <c r="C1791" s="16" t="str">
        <f t="shared" si="134"/>
        <v>Mokha Charnan / Kolayat / Bikaner</v>
      </c>
      <c r="D1791" s="4" t="s">
        <v>3032</v>
      </c>
      <c r="E1791" s="4" t="s">
        <v>3119</v>
      </c>
      <c r="F1791" s="5">
        <v>46037.999664351853</v>
      </c>
      <c r="G1791" s="16" t="str">
        <f t="shared" si="135"/>
        <v>Silica Sand</v>
      </c>
      <c r="H1791" s="4" t="s">
        <v>2257</v>
      </c>
      <c r="I1791" s="18" t="str" cm="1">
        <f t="array" ref="I1791">_xlfn.LET(_xlpm.text, D1791,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91" s="18" t="str" cm="1">
        <f t="array" ref="J1791">_xlfn.LET(_xlpm.text, E1791,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1" s="14">
        <f t="shared" si="136"/>
        <v>46038</v>
      </c>
      <c r="L1791" s="14">
        <f t="shared" si="137"/>
        <v>46038.624664351853</v>
      </c>
      <c r="N1791" s="12"/>
    </row>
    <row r="1792" spans="1:14" x14ac:dyDescent="0.25">
      <c r="A1792" s="4" t="s">
        <v>1822</v>
      </c>
      <c r="B1792" s="16" t="str">
        <f t="shared" si="133"/>
        <v>M/s SHREE VISHNU MINERALS</v>
      </c>
      <c r="C1792" s="16" t="str">
        <f t="shared" si="134"/>
        <v>Mokha Charnan / Kolayat / Bikaner</v>
      </c>
      <c r="D1792" s="4" t="s">
        <v>3032</v>
      </c>
      <c r="E1792" s="4" t="s">
        <v>3119</v>
      </c>
      <c r="F1792" s="5">
        <v>46037.999664351853</v>
      </c>
      <c r="G1792" s="16" t="str">
        <f t="shared" si="135"/>
        <v>Silica Sand</v>
      </c>
      <c r="H1792" s="4" t="s">
        <v>2611</v>
      </c>
      <c r="I1792" s="18" t="str" cm="1">
        <f t="array" ref="I1792">_xlfn.LET(_xlpm.text, D1792,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92" s="18" t="str" cm="1">
        <f t="array" ref="J1792">_xlfn.LET(_xlpm.text, E1792,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2" s="14">
        <f t="shared" si="136"/>
        <v>46038</v>
      </c>
      <c r="L1792" s="14">
        <f t="shared" si="137"/>
        <v>46038.624664351853</v>
      </c>
      <c r="N1792" s="12"/>
    </row>
    <row r="1793" spans="1:14" x14ac:dyDescent="0.25">
      <c r="A1793" s="4" t="s">
        <v>1823</v>
      </c>
      <c r="B1793" s="16" t="str">
        <f t="shared" si="133"/>
        <v>M/s SHREE VISHNU MINERALS</v>
      </c>
      <c r="C1793" s="16" t="str">
        <f t="shared" si="134"/>
        <v>Mokha Charnan / Kolayat / Bikaner</v>
      </c>
      <c r="D1793" s="4" t="s">
        <v>3032</v>
      </c>
      <c r="E1793" s="4" t="s">
        <v>3119</v>
      </c>
      <c r="F1793" s="5">
        <v>46037.999664351853</v>
      </c>
      <c r="G1793" s="16" t="str">
        <f t="shared" si="135"/>
        <v>Silica Sand</v>
      </c>
      <c r="H1793" s="4" t="s">
        <v>2895</v>
      </c>
      <c r="I1793" s="18" t="str" cm="1">
        <f t="array" ref="I1793">_xlfn.LET(_xlpm.text, D1793,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93" s="18" t="str" cm="1">
        <f t="array" ref="J1793">_xlfn.LET(_xlpm.text, E1793,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3" s="14">
        <f t="shared" si="136"/>
        <v>46038</v>
      </c>
      <c r="L1793" s="14">
        <f t="shared" si="137"/>
        <v>46038.624664351853</v>
      </c>
      <c r="N1793" s="12"/>
    </row>
    <row r="1794" spans="1:14" x14ac:dyDescent="0.25">
      <c r="A1794" s="4" t="s">
        <v>1824</v>
      </c>
      <c r="B1794" s="16" t="str">
        <f t="shared" ref="B1794:B1857" si="138">VLOOKUP(LEFT($A1794,4)&amp;"*",$O$3:$R$17, 2, FALSE)</f>
        <v>M/s SHREE VISHNU MINERALS</v>
      </c>
      <c r="C1794" s="16" t="str">
        <f t="shared" ref="C1794:C1857" si="139">VLOOKUP(LEFT($A1794,4)&amp;"*",$O$3:$R$17, 3, FALSE)</f>
        <v>Mokha Charnan / Kolayat / Bikaner</v>
      </c>
      <c r="D1794" s="4" t="s">
        <v>3032</v>
      </c>
      <c r="E1794" s="4" t="s">
        <v>3119</v>
      </c>
      <c r="F1794" s="5">
        <v>46037.999664351853</v>
      </c>
      <c r="G1794" s="16" t="str">
        <f t="shared" ref="G1794:G1857" si="140">VLOOKUP(LEFT($A1794,4)&amp;"*",$O$3:$R$17, 4, FALSE)</f>
        <v>Silica Sand</v>
      </c>
      <c r="H1794" s="4" t="s">
        <v>2399</v>
      </c>
      <c r="I1794" s="18" t="str" cm="1">
        <f t="array" ref="I1794">_xlfn.LET(_xlpm.text, D1794,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94" s="18" t="str" cm="1">
        <f t="array" ref="J1794">_xlfn.LET(_xlpm.text, E1794,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4" s="14">
        <f t="shared" si="136"/>
        <v>46038</v>
      </c>
      <c r="L1794" s="14">
        <f t="shared" si="137"/>
        <v>46038.624664351853</v>
      </c>
      <c r="N1794" s="12"/>
    </row>
    <row r="1795" spans="1:14" x14ac:dyDescent="0.25">
      <c r="A1795" s="4" t="s">
        <v>1825</v>
      </c>
      <c r="B1795" s="16" t="str">
        <f t="shared" si="138"/>
        <v>M/s SHREE VISHNU MINERALS</v>
      </c>
      <c r="C1795" s="16" t="str">
        <f t="shared" si="139"/>
        <v>Mokha Charnan / Kolayat / Bikaner</v>
      </c>
      <c r="D1795" s="4" t="s">
        <v>3032</v>
      </c>
      <c r="E1795" s="4" t="s">
        <v>3119</v>
      </c>
      <c r="F1795" s="5">
        <v>46038.999664351853</v>
      </c>
      <c r="G1795" s="16" t="str">
        <f t="shared" si="140"/>
        <v>Silica Sand</v>
      </c>
      <c r="H1795" s="4" t="s">
        <v>2315</v>
      </c>
      <c r="I1795" s="18" t="str" cm="1">
        <f t="array" ref="I1795">_xlfn.LET(_xlpm.text, D1795,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795" s="18" t="str" cm="1">
        <f t="array" ref="J1795">_xlfn.LET(_xlpm.text, E1795,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5" s="14">
        <f t="shared" ref="K1795:K1858" si="141">F1795+(29/86400)</f>
        <v>46039</v>
      </c>
      <c r="L1795" s="14">
        <f t="shared" ref="L1795:L1858" si="142">F1795+(15/24)</f>
        <v>46039.624664351853</v>
      </c>
      <c r="N1795" s="12"/>
    </row>
    <row r="1796" spans="1:14" x14ac:dyDescent="0.25">
      <c r="A1796" s="4" t="s">
        <v>1826</v>
      </c>
      <c r="B1796" s="16" t="str">
        <f t="shared" si="138"/>
        <v>S.R.MINES AND MINERLS</v>
      </c>
      <c r="C1796" s="16" t="str">
        <f t="shared" si="139"/>
        <v>Indo Ka Bala / Kolayat / Bikaner</v>
      </c>
      <c r="D1796" s="4" t="s">
        <v>1382</v>
      </c>
      <c r="E1796" s="4" t="s">
        <v>3119</v>
      </c>
      <c r="F1796" s="5">
        <v>46045.999664351853</v>
      </c>
      <c r="G1796" s="16" t="str">
        <f t="shared" si="140"/>
        <v>Silica Sand</v>
      </c>
      <c r="H1796" s="4" t="s">
        <v>2979</v>
      </c>
      <c r="I1796" s="18" t="str" cm="1">
        <f t="array" ref="I1796">_xlfn.LET(_xlpm.text, D1796,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96" s="18" t="str" cm="1">
        <f t="array" ref="J1796">_xlfn.LET(_xlpm.text, E1796,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6" s="14">
        <f t="shared" si="141"/>
        <v>46046</v>
      </c>
      <c r="L1796" s="14">
        <f t="shared" si="142"/>
        <v>46046.624664351853</v>
      </c>
      <c r="N1796" s="12"/>
    </row>
    <row r="1797" spans="1:14" x14ac:dyDescent="0.25">
      <c r="A1797" s="4" t="s">
        <v>1827</v>
      </c>
      <c r="B1797" s="16" t="str">
        <f t="shared" si="138"/>
        <v>S.R.MINES AND MINERLS</v>
      </c>
      <c r="C1797" s="16" t="str">
        <f t="shared" si="139"/>
        <v>Indo Ka Bala / Kolayat / Bikaner</v>
      </c>
      <c r="D1797" s="4" t="s">
        <v>1382</v>
      </c>
      <c r="E1797" s="4" t="s">
        <v>3119</v>
      </c>
      <c r="F1797" s="5">
        <v>46030.999664351853</v>
      </c>
      <c r="G1797" s="16" t="str">
        <f t="shared" si="140"/>
        <v>Silica Sand</v>
      </c>
      <c r="H1797" s="4" t="s">
        <v>2897</v>
      </c>
      <c r="I1797" s="18" t="str" cm="1">
        <f t="array" ref="I1797">_xlfn.LET(_xlpm.text, D1797,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97" s="18" t="str" cm="1">
        <f t="array" ref="J1797">_xlfn.LET(_xlpm.text, E1797,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7" s="14">
        <f t="shared" si="141"/>
        <v>46031</v>
      </c>
      <c r="L1797" s="14">
        <f t="shared" si="142"/>
        <v>46031.624664351853</v>
      </c>
      <c r="N1797" s="12"/>
    </row>
    <row r="1798" spans="1:14" x14ac:dyDescent="0.25">
      <c r="A1798" s="4" t="s">
        <v>1828</v>
      </c>
      <c r="B1798" s="16" t="str">
        <f t="shared" si="138"/>
        <v>S.R.MINES AND MINERLS</v>
      </c>
      <c r="C1798" s="16" t="str">
        <f t="shared" si="139"/>
        <v>Indo Ka Bala / Kolayat / Bikaner</v>
      </c>
      <c r="D1798" s="4" t="s">
        <v>1382</v>
      </c>
      <c r="E1798" s="4" t="s">
        <v>3119</v>
      </c>
      <c r="F1798" s="5">
        <v>46029.999664351853</v>
      </c>
      <c r="G1798" s="16" t="str">
        <f t="shared" si="140"/>
        <v>Silica Sand</v>
      </c>
      <c r="H1798" s="4" t="s">
        <v>2617</v>
      </c>
      <c r="I1798" s="18" t="str" cm="1">
        <f t="array" ref="I1798">_xlfn.LET(_xlpm.text, D1798,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98" s="18" t="str" cm="1">
        <f t="array" ref="J1798">_xlfn.LET(_xlpm.text, E1798,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8" s="14">
        <f t="shared" si="141"/>
        <v>46030</v>
      </c>
      <c r="L1798" s="14">
        <f t="shared" si="142"/>
        <v>46030.624664351853</v>
      </c>
      <c r="N1798" s="12"/>
    </row>
    <row r="1799" spans="1:14" x14ac:dyDescent="0.25">
      <c r="A1799" s="4" t="s">
        <v>1829</v>
      </c>
      <c r="B1799" s="16" t="str">
        <f t="shared" si="138"/>
        <v>ANIL KUMAR KHICHER</v>
      </c>
      <c r="C1799" s="16" t="str">
        <f t="shared" si="139"/>
        <v>Kishnasar / Nokha / Bikaner</v>
      </c>
      <c r="D1799" s="4" t="s">
        <v>1382</v>
      </c>
      <c r="E1799" s="4" t="s">
        <v>3119</v>
      </c>
      <c r="F1799" s="5">
        <v>46044.999664351853</v>
      </c>
      <c r="G1799" s="16" t="str">
        <f t="shared" si="140"/>
        <v>Silica Sand</v>
      </c>
      <c r="H1799" s="4" t="s">
        <v>2980</v>
      </c>
      <c r="I1799" s="18" t="str" cm="1">
        <f t="array" ref="I1799">_xlfn.LET(_xlpm.text, D1799,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799" s="18" t="str" cm="1">
        <f t="array" ref="J1799">_xlfn.LET(_xlpm.text, E1799,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799" s="14">
        <f t="shared" si="141"/>
        <v>46045</v>
      </c>
      <c r="L1799" s="14">
        <f t="shared" si="142"/>
        <v>46045.624664351853</v>
      </c>
      <c r="N1799" s="12"/>
    </row>
    <row r="1800" spans="1:14" x14ac:dyDescent="0.25">
      <c r="A1800" s="4" t="s">
        <v>1830</v>
      </c>
      <c r="B1800" s="16" t="str">
        <f t="shared" si="138"/>
        <v>ANIL KUMAR KHICHER</v>
      </c>
      <c r="C1800" s="16" t="str">
        <f t="shared" si="139"/>
        <v>Kishnasar / Nokha / Bikaner</v>
      </c>
      <c r="D1800" s="4" t="s">
        <v>1382</v>
      </c>
      <c r="E1800" s="4" t="s">
        <v>3119</v>
      </c>
      <c r="F1800" s="5">
        <v>46042.999664351853</v>
      </c>
      <c r="G1800" s="16" t="str">
        <f t="shared" si="140"/>
        <v>Silica Sand</v>
      </c>
      <c r="H1800" s="4" t="s">
        <v>2981</v>
      </c>
      <c r="I1800" s="18" t="str" cm="1">
        <f t="array" ref="I1800">_xlfn.LET(_xlpm.text, D1800,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0" s="18" t="str" cm="1">
        <f t="array" ref="J1800">_xlfn.LET(_xlpm.text, E1800,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0" s="14">
        <f t="shared" si="141"/>
        <v>46043</v>
      </c>
      <c r="L1800" s="14">
        <f t="shared" si="142"/>
        <v>46043.624664351853</v>
      </c>
      <c r="N1800" s="12"/>
    </row>
    <row r="1801" spans="1:14" x14ac:dyDescent="0.25">
      <c r="A1801" s="4" t="s">
        <v>1831</v>
      </c>
      <c r="B1801" s="16" t="str">
        <f t="shared" si="138"/>
        <v>ANIL KUMAR KHICHER</v>
      </c>
      <c r="C1801" s="16" t="str">
        <f t="shared" si="139"/>
        <v>Kishnasar / Nokha / Bikaner</v>
      </c>
      <c r="D1801" s="4" t="s">
        <v>1382</v>
      </c>
      <c r="E1801" s="4" t="s">
        <v>3119</v>
      </c>
      <c r="F1801" s="5">
        <v>46041.999664351853</v>
      </c>
      <c r="G1801" s="16" t="str">
        <f t="shared" si="140"/>
        <v>Silica Sand</v>
      </c>
      <c r="H1801" s="4" t="s">
        <v>2982</v>
      </c>
      <c r="I1801" s="18" t="str" cm="1">
        <f t="array" ref="I1801">_xlfn.LET(_xlpm.text, D1801,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1" s="18" t="str" cm="1">
        <f t="array" ref="J1801">_xlfn.LET(_xlpm.text, E1801,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1" s="14">
        <f t="shared" si="141"/>
        <v>46042</v>
      </c>
      <c r="L1801" s="14">
        <f t="shared" si="142"/>
        <v>46042.624664351853</v>
      </c>
      <c r="N1801" s="12"/>
    </row>
    <row r="1802" spans="1:14" x14ac:dyDescent="0.25">
      <c r="A1802" s="4" t="s">
        <v>1832</v>
      </c>
      <c r="B1802" s="16" t="str">
        <f t="shared" si="138"/>
        <v>ANIL KUMAR KHICHER</v>
      </c>
      <c r="C1802" s="16" t="str">
        <f t="shared" si="139"/>
        <v>Kishnasar / Nokha / Bikaner</v>
      </c>
      <c r="D1802" s="4" t="s">
        <v>1382</v>
      </c>
      <c r="E1802" s="4" t="s">
        <v>3119</v>
      </c>
      <c r="F1802" s="5">
        <v>46041.999664351853</v>
      </c>
      <c r="G1802" s="16" t="str">
        <f t="shared" si="140"/>
        <v>Silica Sand</v>
      </c>
      <c r="H1802" s="4" t="s">
        <v>2981</v>
      </c>
      <c r="I1802" s="18" t="str" cm="1">
        <f t="array" ref="I1802">_xlfn.LET(_xlpm.text, D1802,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2" s="18" t="str" cm="1">
        <f t="array" ref="J1802">_xlfn.LET(_xlpm.text, E1802,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2" s="14">
        <f t="shared" si="141"/>
        <v>46042</v>
      </c>
      <c r="L1802" s="14">
        <f t="shared" si="142"/>
        <v>46042.624664351853</v>
      </c>
      <c r="N1802" s="12"/>
    </row>
    <row r="1803" spans="1:14" x14ac:dyDescent="0.25">
      <c r="A1803" s="4" t="s">
        <v>1833</v>
      </c>
      <c r="B1803" s="16" t="str">
        <f t="shared" si="138"/>
        <v>ANIL KUMAR KHICHER</v>
      </c>
      <c r="C1803" s="16" t="str">
        <f t="shared" si="139"/>
        <v>Kishnasar / Nokha / Bikaner</v>
      </c>
      <c r="D1803" s="4" t="s">
        <v>1382</v>
      </c>
      <c r="E1803" s="4" t="s">
        <v>3119</v>
      </c>
      <c r="F1803" s="5">
        <v>46040.999664351853</v>
      </c>
      <c r="G1803" s="16" t="str">
        <f t="shared" si="140"/>
        <v>Silica Sand</v>
      </c>
      <c r="H1803" s="4" t="s">
        <v>2878</v>
      </c>
      <c r="I1803" s="18" t="str" cm="1">
        <f t="array" ref="I1803">_xlfn.LET(_xlpm.text, D1803,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3" s="18" t="str" cm="1">
        <f t="array" ref="J1803">_xlfn.LET(_xlpm.text, E1803,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3" s="14">
        <f t="shared" si="141"/>
        <v>46041</v>
      </c>
      <c r="L1803" s="14">
        <f t="shared" si="142"/>
        <v>46041.624664351853</v>
      </c>
      <c r="N1803" s="12"/>
    </row>
    <row r="1804" spans="1:14" x14ac:dyDescent="0.25">
      <c r="A1804" s="4" t="s">
        <v>1834</v>
      </c>
      <c r="B1804" s="16" t="str">
        <f t="shared" si="138"/>
        <v>ANIL KUMAR KHICHER</v>
      </c>
      <c r="C1804" s="16" t="str">
        <f t="shared" si="139"/>
        <v>Kishnasar / Nokha / Bikaner</v>
      </c>
      <c r="D1804" s="4" t="s">
        <v>1382</v>
      </c>
      <c r="E1804" s="4" t="s">
        <v>3119</v>
      </c>
      <c r="F1804" s="5">
        <v>46040.999664351853</v>
      </c>
      <c r="G1804" s="16" t="str">
        <f t="shared" si="140"/>
        <v>Silica Sand</v>
      </c>
      <c r="H1804" s="4" t="s">
        <v>2909</v>
      </c>
      <c r="I1804" s="18" t="str" cm="1">
        <f t="array" ref="I1804">_xlfn.LET(_xlpm.text, D1804,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4" s="18" t="str" cm="1">
        <f t="array" ref="J1804">_xlfn.LET(_xlpm.text, E1804,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4" s="14">
        <f t="shared" si="141"/>
        <v>46041</v>
      </c>
      <c r="L1804" s="14">
        <f t="shared" si="142"/>
        <v>46041.624664351853</v>
      </c>
      <c r="N1804" s="12"/>
    </row>
    <row r="1805" spans="1:14" x14ac:dyDescent="0.25">
      <c r="A1805" s="4" t="s">
        <v>1835</v>
      </c>
      <c r="B1805" s="16" t="str">
        <f t="shared" si="138"/>
        <v>ANIL KUMAR KHICHER</v>
      </c>
      <c r="C1805" s="16" t="str">
        <f t="shared" si="139"/>
        <v>Kishnasar / Nokha / Bikaner</v>
      </c>
      <c r="D1805" s="4" t="s">
        <v>1382</v>
      </c>
      <c r="E1805" s="4" t="s">
        <v>3119</v>
      </c>
      <c r="F1805" s="5">
        <v>46040.999664351853</v>
      </c>
      <c r="G1805" s="16" t="str">
        <f t="shared" si="140"/>
        <v>Silica Sand</v>
      </c>
      <c r="H1805" s="4" t="s">
        <v>2879</v>
      </c>
      <c r="I1805" s="18" t="str" cm="1">
        <f t="array" ref="I1805">_xlfn.LET(_xlpm.text, D1805,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5" s="18" t="str" cm="1">
        <f t="array" ref="J1805">_xlfn.LET(_xlpm.text, E1805,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5" s="14">
        <f t="shared" si="141"/>
        <v>46041</v>
      </c>
      <c r="L1805" s="14">
        <f t="shared" si="142"/>
        <v>46041.624664351853</v>
      </c>
      <c r="N1805" s="12"/>
    </row>
    <row r="1806" spans="1:14" x14ac:dyDescent="0.25">
      <c r="A1806" s="4" t="s">
        <v>1836</v>
      </c>
      <c r="B1806" s="16" t="str">
        <f t="shared" si="138"/>
        <v>ANIL KUMAR KHICHER</v>
      </c>
      <c r="C1806" s="16" t="str">
        <f t="shared" si="139"/>
        <v>Kishnasar / Nokha / Bikaner</v>
      </c>
      <c r="D1806" s="4" t="s">
        <v>1382</v>
      </c>
      <c r="E1806" s="4" t="s">
        <v>3119</v>
      </c>
      <c r="F1806" s="5">
        <v>46041.999664351853</v>
      </c>
      <c r="G1806" s="16" t="str">
        <f t="shared" si="140"/>
        <v>Silica Sand</v>
      </c>
      <c r="H1806" s="4" t="s">
        <v>2983</v>
      </c>
      <c r="I1806" s="18" t="str" cm="1">
        <f t="array" ref="I1806">_xlfn.LET(_xlpm.text, D1806,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6" s="18" t="str" cm="1">
        <f t="array" ref="J1806">_xlfn.LET(_xlpm.text, E1806,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6" s="14">
        <f t="shared" si="141"/>
        <v>46042</v>
      </c>
      <c r="L1806" s="14">
        <f t="shared" si="142"/>
        <v>46042.624664351853</v>
      </c>
      <c r="N1806" s="12"/>
    </row>
    <row r="1807" spans="1:14" x14ac:dyDescent="0.25">
      <c r="A1807" s="4" t="s">
        <v>1837</v>
      </c>
      <c r="B1807" s="16" t="str">
        <f t="shared" si="138"/>
        <v>ANIL KUMAR KHICHER</v>
      </c>
      <c r="C1807" s="16" t="str">
        <f t="shared" si="139"/>
        <v>Kishnasar / Nokha / Bikaner</v>
      </c>
      <c r="D1807" s="4" t="s">
        <v>1382</v>
      </c>
      <c r="E1807" s="4" t="s">
        <v>3119</v>
      </c>
      <c r="F1807" s="5">
        <v>46044.999664351853</v>
      </c>
      <c r="G1807" s="16" t="str">
        <f t="shared" si="140"/>
        <v>Silica Sand</v>
      </c>
      <c r="H1807" s="4" t="s">
        <v>2478</v>
      </c>
      <c r="I1807" s="18" t="str" cm="1">
        <f t="array" ref="I1807">_xlfn.LET(_xlpm.text, D1807,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7" s="18" t="str" cm="1">
        <f t="array" ref="J1807">_xlfn.LET(_xlpm.text, E1807,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7" s="14">
        <f t="shared" si="141"/>
        <v>46045</v>
      </c>
      <c r="L1807" s="14">
        <f t="shared" si="142"/>
        <v>46045.624664351853</v>
      </c>
      <c r="N1807" s="12"/>
    </row>
    <row r="1808" spans="1:14" x14ac:dyDescent="0.25">
      <c r="A1808" s="4" t="s">
        <v>1838</v>
      </c>
      <c r="B1808" s="16" t="str">
        <f t="shared" si="138"/>
        <v>ANIL KUMAR KHICHER</v>
      </c>
      <c r="C1808" s="16" t="str">
        <f t="shared" si="139"/>
        <v>Kishnasar / Nokha / Bikaner</v>
      </c>
      <c r="D1808" s="4" t="s">
        <v>1382</v>
      </c>
      <c r="E1808" s="4" t="s">
        <v>3119</v>
      </c>
      <c r="F1808" s="5">
        <v>46045.999664351853</v>
      </c>
      <c r="G1808" s="16" t="str">
        <f t="shared" si="140"/>
        <v>Silica Sand</v>
      </c>
      <c r="H1808" s="4" t="s">
        <v>2981</v>
      </c>
      <c r="I1808" s="18" t="str" cm="1">
        <f t="array" ref="I1808">_xlfn.LET(_xlpm.text, D1808,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8" s="18" t="str" cm="1">
        <f t="array" ref="J1808">_xlfn.LET(_xlpm.text, E1808,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8" s="14">
        <f t="shared" si="141"/>
        <v>46046</v>
      </c>
      <c r="L1808" s="14">
        <f t="shared" si="142"/>
        <v>46046.624664351853</v>
      </c>
      <c r="N1808" s="12"/>
    </row>
    <row r="1809" spans="1:14" x14ac:dyDescent="0.25">
      <c r="A1809" s="4" t="s">
        <v>1839</v>
      </c>
      <c r="B1809" s="16" t="str">
        <f t="shared" si="138"/>
        <v>ANIL KUMAR KHICHER</v>
      </c>
      <c r="C1809" s="16" t="str">
        <f t="shared" si="139"/>
        <v>Kishnasar / Nokha / Bikaner</v>
      </c>
      <c r="D1809" s="4" t="s">
        <v>1382</v>
      </c>
      <c r="E1809" s="4" t="s">
        <v>3119</v>
      </c>
      <c r="F1809" s="5">
        <v>46045.999664351853</v>
      </c>
      <c r="G1809" s="16" t="str">
        <f t="shared" si="140"/>
        <v>Silica Sand</v>
      </c>
      <c r="H1809" s="4" t="s">
        <v>2879</v>
      </c>
      <c r="I1809" s="18" t="str" cm="1">
        <f t="array" ref="I1809">_xlfn.LET(_xlpm.text, D1809,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09" s="18" t="str" cm="1">
        <f t="array" ref="J1809">_xlfn.LET(_xlpm.text, E1809,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09" s="14">
        <f t="shared" si="141"/>
        <v>46046</v>
      </c>
      <c r="L1809" s="14">
        <f t="shared" si="142"/>
        <v>46046.624664351853</v>
      </c>
      <c r="N1809" s="12"/>
    </row>
    <row r="1810" spans="1:14" x14ac:dyDescent="0.25">
      <c r="A1810" s="4" t="s">
        <v>1840</v>
      </c>
      <c r="B1810" s="16" t="str">
        <f t="shared" si="138"/>
        <v>ANIL KUMAR KHICHER</v>
      </c>
      <c r="C1810" s="16" t="str">
        <f t="shared" si="139"/>
        <v>Kishnasar / Nokha / Bikaner</v>
      </c>
      <c r="D1810" s="4" t="s">
        <v>1382</v>
      </c>
      <c r="E1810" s="4" t="s">
        <v>3119</v>
      </c>
      <c r="F1810" s="5">
        <v>46043.999664351853</v>
      </c>
      <c r="G1810" s="16" t="str">
        <f t="shared" si="140"/>
        <v>Silica Sand</v>
      </c>
      <c r="H1810" s="4" t="s">
        <v>2879</v>
      </c>
      <c r="I1810" s="18" t="str" cm="1">
        <f t="array" ref="I1810">_xlfn.LET(_xlpm.text, D1810,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0" s="18" t="str" cm="1">
        <f t="array" ref="J1810">_xlfn.LET(_xlpm.text, E1810,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0" s="14">
        <f t="shared" si="141"/>
        <v>46044</v>
      </c>
      <c r="L1810" s="14">
        <f t="shared" si="142"/>
        <v>46044.624664351853</v>
      </c>
      <c r="N1810" s="12"/>
    </row>
    <row r="1811" spans="1:14" x14ac:dyDescent="0.25">
      <c r="A1811" s="4" t="s">
        <v>1841</v>
      </c>
      <c r="B1811" s="16" t="str">
        <f t="shared" si="138"/>
        <v>ANIL KUMAR KHICHER</v>
      </c>
      <c r="C1811" s="16" t="str">
        <f t="shared" si="139"/>
        <v>Kishnasar / Nokha / Bikaner</v>
      </c>
      <c r="D1811" s="4" t="s">
        <v>1382</v>
      </c>
      <c r="E1811" s="4" t="s">
        <v>3119</v>
      </c>
      <c r="F1811" s="5">
        <v>46044.999664351853</v>
      </c>
      <c r="G1811" s="16" t="str">
        <f t="shared" si="140"/>
        <v>Silica Sand</v>
      </c>
      <c r="H1811" s="4" t="s">
        <v>2879</v>
      </c>
      <c r="I1811" s="18" t="str" cm="1">
        <f t="array" ref="I1811">_xlfn.LET(_xlpm.text, D1811,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1" s="18" t="str" cm="1">
        <f t="array" ref="J1811">_xlfn.LET(_xlpm.text, E1811,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1" s="14">
        <f t="shared" si="141"/>
        <v>46045</v>
      </c>
      <c r="L1811" s="14">
        <f t="shared" si="142"/>
        <v>46045.624664351853</v>
      </c>
      <c r="N1811" s="12"/>
    </row>
    <row r="1812" spans="1:14" x14ac:dyDescent="0.25">
      <c r="A1812" s="4" t="s">
        <v>1842</v>
      </c>
      <c r="B1812" s="16" t="str">
        <f t="shared" si="138"/>
        <v>ANIL KUMAR KHICHER</v>
      </c>
      <c r="C1812" s="16" t="str">
        <f t="shared" si="139"/>
        <v>Kishnasar / Nokha / Bikaner</v>
      </c>
      <c r="D1812" s="4" t="s">
        <v>1382</v>
      </c>
      <c r="E1812" s="4" t="s">
        <v>3119</v>
      </c>
      <c r="F1812" s="5">
        <v>46044.999664351853</v>
      </c>
      <c r="G1812" s="16" t="str">
        <f t="shared" si="140"/>
        <v>Silica Sand</v>
      </c>
      <c r="H1812" s="4" t="s">
        <v>2984</v>
      </c>
      <c r="I1812" s="18" t="str" cm="1">
        <f t="array" ref="I1812">_xlfn.LET(_xlpm.text, D1812,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2" s="18" t="str" cm="1">
        <f t="array" ref="J1812">_xlfn.LET(_xlpm.text, E1812,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2" s="14">
        <f t="shared" si="141"/>
        <v>46045</v>
      </c>
      <c r="L1812" s="14">
        <f t="shared" si="142"/>
        <v>46045.624664351853</v>
      </c>
      <c r="N1812" s="12"/>
    </row>
    <row r="1813" spans="1:14" x14ac:dyDescent="0.25">
      <c r="A1813" s="4" t="s">
        <v>1843</v>
      </c>
      <c r="B1813" s="16" t="str">
        <f t="shared" si="138"/>
        <v>ANIL KUMAR KHICHER</v>
      </c>
      <c r="C1813" s="16" t="str">
        <f t="shared" si="139"/>
        <v>Kishnasar / Nokha / Bikaner</v>
      </c>
      <c r="D1813" s="4" t="s">
        <v>1382</v>
      </c>
      <c r="E1813" s="4" t="s">
        <v>3119</v>
      </c>
      <c r="F1813" s="5">
        <v>46042.999664351853</v>
      </c>
      <c r="G1813" s="16" t="str">
        <f t="shared" si="140"/>
        <v>Silica Sand</v>
      </c>
      <c r="H1813" s="4" t="s">
        <v>2878</v>
      </c>
      <c r="I1813" s="18" t="str" cm="1">
        <f t="array" ref="I1813">_xlfn.LET(_xlpm.text, D1813,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3" s="18" t="str" cm="1">
        <f t="array" ref="J1813">_xlfn.LET(_xlpm.text, E1813,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3" s="14">
        <f t="shared" si="141"/>
        <v>46043</v>
      </c>
      <c r="L1813" s="14">
        <f t="shared" si="142"/>
        <v>46043.624664351853</v>
      </c>
      <c r="N1813" s="12"/>
    </row>
    <row r="1814" spans="1:14" x14ac:dyDescent="0.25">
      <c r="A1814" s="4" t="s">
        <v>1844</v>
      </c>
      <c r="B1814" s="16" t="str">
        <f t="shared" si="138"/>
        <v>ANIL KUMAR KHICHER</v>
      </c>
      <c r="C1814" s="16" t="str">
        <f t="shared" si="139"/>
        <v>Kishnasar / Nokha / Bikaner</v>
      </c>
      <c r="D1814" s="4" t="s">
        <v>1382</v>
      </c>
      <c r="E1814" s="4" t="s">
        <v>3119</v>
      </c>
      <c r="F1814" s="5">
        <v>46042.999664351853</v>
      </c>
      <c r="G1814" s="16" t="str">
        <f t="shared" si="140"/>
        <v>Silica Sand</v>
      </c>
      <c r="H1814" s="4" t="s">
        <v>2879</v>
      </c>
      <c r="I1814" s="18" t="str" cm="1">
        <f t="array" ref="I1814">_xlfn.LET(_xlpm.text, D1814,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4" s="18" t="str" cm="1">
        <f t="array" ref="J1814">_xlfn.LET(_xlpm.text, E1814,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4" s="14">
        <f t="shared" si="141"/>
        <v>46043</v>
      </c>
      <c r="L1814" s="14">
        <f t="shared" si="142"/>
        <v>46043.624664351853</v>
      </c>
      <c r="N1814" s="12"/>
    </row>
    <row r="1815" spans="1:14" x14ac:dyDescent="0.25">
      <c r="A1815" s="4" t="s">
        <v>1845</v>
      </c>
      <c r="B1815" s="16" t="str">
        <f t="shared" si="138"/>
        <v>ANIL KUMAR KHICHER</v>
      </c>
      <c r="C1815" s="16" t="str">
        <f t="shared" si="139"/>
        <v>Kishnasar / Nokha / Bikaner</v>
      </c>
      <c r="D1815" s="4" t="s">
        <v>1382</v>
      </c>
      <c r="E1815" s="4" t="s">
        <v>3119</v>
      </c>
      <c r="F1815" s="5">
        <v>46042.999664351853</v>
      </c>
      <c r="G1815" s="16" t="str">
        <f t="shared" si="140"/>
        <v>Silica Sand</v>
      </c>
      <c r="H1815" s="4" t="s">
        <v>427</v>
      </c>
      <c r="I1815" s="18" t="str" cm="1">
        <f t="array" ref="I1815">_xlfn.LET(_xlpm.text, D1815,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5" s="18" t="str" cm="1">
        <f t="array" ref="J1815">_xlfn.LET(_xlpm.text, E1815,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5" s="14">
        <f t="shared" si="141"/>
        <v>46043</v>
      </c>
      <c r="L1815" s="14">
        <f t="shared" si="142"/>
        <v>46043.624664351853</v>
      </c>
      <c r="N1815" s="12"/>
    </row>
    <row r="1816" spans="1:14" x14ac:dyDescent="0.25">
      <c r="A1816" s="4" t="s">
        <v>1846</v>
      </c>
      <c r="B1816" s="16" t="str">
        <f t="shared" si="138"/>
        <v>ANIL KUMAR KHICHER</v>
      </c>
      <c r="C1816" s="16" t="str">
        <f t="shared" si="139"/>
        <v>Kishnasar / Nokha / Bikaner</v>
      </c>
      <c r="D1816" s="4" t="s">
        <v>1382</v>
      </c>
      <c r="E1816" s="4" t="s">
        <v>3119</v>
      </c>
      <c r="F1816" s="5">
        <v>46044.999664351853</v>
      </c>
      <c r="G1816" s="16" t="str">
        <f t="shared" si="140"/>
        <v>Silica Sand</v>
      </c>
      <c r="H1816" s="4" t="s">
        <v>2898</v>
      </c>
      <c r="I1816" s="18" t="str" cm="1">
        <f t="array" ref="I1816">_xlfn.LET(_xlpm.text, D1816,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6" s="18" t="str" cm="1">
        <f t="array" ref="J1816">_xlfn.LET(_xlpm.text, E1816,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6" s="14">
        <f t="shared" si="141"/>
        <v>46045</v>
      </c>
      <c r="L1816" s="14">
        <f t="shared" si="142"/>
        <v>46045.624664351853</v>
      </c>
      <c r="N1816" s="12"/>
    </row>
    <row r="1817" spans="1:14" x14ac:dyDescent="0.25">
      <c r="A1817" s="4" t="s">
        <v>1847</v>
      </c>
      <c r="B1817" s="16" t="str">
        <f t="shared" si="138"/>
        <v>ANIL KUMAR KHICHER</v>
      </c>
      <c r="C1817" s="16" t="str">
        <f t="shared" si="139"/>
        <v>Kishnasar / Nokha / Bikaner</v>
      </c>
      <c r="D1817" s="4" t="s">
        <v>1382</v>
      </c>
      <c r="E1817" s="4" t="s">
        <v>3119</v>
      </c>
      <c r="F1817" s="5">
        <v>46043.999664351853</v>
      </c>
      <c r="G1817" s="16" t="str">
        <f t="shared" si="140"/>
        <v>Silica Sand</v>
      </c>
      <c r="H1817" s="4" t="s">
        <v>2879</v>
      </c>
      <c r="I1817" s="18" t="str" cm="1">
        <f t="array" ref="I1817">_xlfn.LET(_xlpm.text, D1817,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7" s="18" t="str" cm="1">
        <f t="array" ref="J1817">_xlfn.LET(_xlpm.text, E1817,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7" s="14">
        <f t="shared" si="141"/>
        <v>46044</v>
      </c>
      <c r="L1817" s="14">
        <f t="shared" si="142"/>
        <v>46044.624664351853</v>
      </c>
      <c r="N1817" s="12"/>
    </row>
    <row r="1818" spans="1:14" x14ac:dyDescent="0.25">
      <c r="A1818" s="4" t="s">
        <v>1848</v>
      </c>
      <c r="B1818" s="16" t="str">
        <f t="shared" si="138"/>
        <v>ANIL KUMAR KHICHER</v>
      </c>
      <c r="C1818" s="16" t="str">
        <f t="shared" si="139"/>
        <v>Kishnasar / Nokha / Bikaner</v>
      </c>
      <c r="D1818" s="4" t="s">
        <v>1382</v>
      </c>
      <c r="E1818" s="4" t="s">
        <v>3119</v>
      </c>
      <c r="F1818" s="5">
        <v>46042.999664351853</v>
      </c>
      <c r="G1818" s="16" t="str">
        <f t="shared" si="140"/>
        <v>Silica Sand</v>
      </c>
      <c r="H1818" s="4" t="s">
        <v>2981</v>
      </c>
      <c r="I1818" s="18" t="str" cm="1">
        <f t="array" ref="I1818">_xlfn.LET(_xlpm.text, D1818,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8" s="18" t="str" cm="1">
        <f t="array" ref="J1818">_xlfn.LET(_xlpm.text, E1818,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8" s="14">
        <f t="shared" si="141"/>
        <v>46043</v>
      </c>
      <c r="L1818" s="14">
        <f t="shared" si="142"/>
        <v>46043.624664351853</v>
      </c>
      <c r="N1818" s="12"/>
    </row>
    <row r="1819" spans="1:14" x14ac:dyDescent="0.25">
      <c r="A1819" s="4" t="s">
        <v>1849</v>
      </c>
      <c r="B1819" s="16" t="str">
        <f t="shared" si="138"/>
        <v>S.R.MINES AND MINERLS</v>
      </c>
      <c r="C1819" s="16" t="str">
        <f t="shared" si="139"/>
        <v>Indo Ka Bala / Kolayat / Bikaner</v>
      </c>
      <c r="D1819" s="4" t="s">
        <v>1382</v>
      </c>
      <c r="E1819" s="4" t="s">
        <v>3119</v>
      </c>
      <c r="F1819" s="5">
        <v>46042.999664351853</v>
      </c>
      <c r="G1819" s="16" t="str">
        <f t="shared" si="140"/>
        <v>Silica Sand</v>
      </c>
      <c r="H1819" s="4" t="s">
        <v>2985</v>
      </c>
      <c r="I1819" s="18" t="str" cm="1">
        <f t="array" ref="I1819">_xlfn.LET(_xlpm.text, D1819,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19" s="18" t="str" cm="1">
        <f t="array" ref="J1819">_xlfn.LET(_xlpm.text, E1819,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19" s="14">
        <f t="shared" si="141"/>
        <v>46043</v>
      </c>
      <c r="L1819" s="14">
        <f t="shared" si="142"/>
        <v>46043.624664351853</v>
      </c>
      <c r="N1819" s="12"/>
    </row>
    <row r="1820" spans="1:14" x14ac:dyDescent="0.25">
      <c r="A1820" s="4" t="s">
        <v>1850</v>
      </c>
      <c r="B1820" s="16" t="str">
        <f t="shared" si="138"/>
        <v>S.R.MINES AND MINERLS</v>
      </c>
      <c r="C1820" s="16" t="str">
        <f t="shared" si="139"/>
        <v>Indo Ka Bala / Kolayat / Bikaner</v>
      </c>
      <c r="D1820" s="4" t="s">
        <v>1382</v>
      </c>
      <c r="E1820" s="4" t="s">
        <v>3119</v>
      </c>
      <c r="F1820" s="5">
        <v>46044.999664351853</v>
      </c>
      <c r="G1820" s="16" t="str">
        <f t="shared" si="140"/>
        <v>Silica Sand</v>
      </c>
      <c r="H1820" s="4" t="s">
        <v>2986</v>
      </c>
      <c r="I1820" s="18" t="str" cm="1">
        <f t="array" ref="I1820">_xlfn.LET(_xlpm.text, D1820,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0" s="18" t="str" cm="1">
        <f t="array" ref="J1820">_xlfn.LET(_xlpm.text, E1820,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0" s="14">
        <f t="shared" si="141"/>
        <v>46045</v>
      </c>
      <c r="L1820" s="14">
        <f t="shared" si="142"/>
        <v>46045.624664351853</v>
      </c>
      <c r="N1820" s="12"/>
    </row>
    <row r="1821" spans="1:14" x14ac:dyDescent="0.25">
      <c r="A1821" s="4" t="s">
        <v>1851</v>
      </c>
      <c r="B1821" s="16" t="str">
        <f t="shared" si="138"/>
        <v>S.R.MINES AND MINERLS</v>
      </c>
      <c r="C1821" s="16" t="str">
        <f t="shared" si="139"/>
        <v>Indo Ka Bala / Kolayat / Bikaner</v>
      </c>
      <c r="D1821" s="4" t="s">
        <v>1382</v>
      </c>
      <c r="E1821" s="4" t="s">
        <v>3119</v>
      </c>
      <c r="F1821" s="5">
        <v>46044.999664351853</v>
      </c>
      <c r="G1821" s="16" t="str">
        <f t="shared" si="140"/>
        <v>Silica Sand</v>
      </c>
      <c r="H1821" s="4" t="s">
        <v>2985</v>
      </c>
      <c r="I1821" s="18" t="str" cm="1">
        <f t="array" ref="I1821">_xlfn.LET(_xlpm.text, D1821,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1" s="18" t="str" cm="1">
        <f t="array" ref="J1821">_xlfn.LET(_xlpm.text, E1821,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1" s="14">
        <f t="shared" si="141"/>
        <v>46045</v>
      </c>
      <c r="L1821" s="14">
        <f t="shared" si="142"/>
        <v>46045.624664351853</v>
      </c>
      <c r="N1821" s="12"/>
    </row>
    <row r="1822" spans="1:14" x14ac:dyDescent="0.25">
      <c r="A1822" s="4" t="s">
        <v>1852</v>
      </c>
      <c r="B1822" s="16" t="str">
        <f t="shared" si="138"/>
        <v>S.R.MINES AND MINERLS</v>
      </c>
      <c r="C1822" s="16" t="str">
        <f t="shared" si="139"/>
        <v>Indo Ka Bala / Kolayat / Bikaner</v>
      </c>
      <c r="D1822" s="4" t="s">
        <v>1382</v>
      </c>
      <c r="E1822" s="4" t="s">
        <v>3119</v>
      </c>
      <c r="F1822" s="5">
        <v>46044.999664351853</v>
      </c>
      <c r="G1822" s="16" t="str">
        <f t="shared" si="140"/>
        <v>Silica Sand</v>
      </c>
      <c r="H1822" s="4" t="s">
        <v>2986</v>
      </c>
      <c r="I1822" s="18" t="str" cm="1">
        <f t="array" ref="I1822">_xlfn.LET(_xlpm.text, D1822,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2" s="18" t="str" cm="1">
        <f t="array" ref="J1822">_xlfn.LET(_xlpm.text, E1822,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2" s="14">
        <f t="shared" si="141"/>
        <v>46045</v>
      </c>
      <c r="L1822" s="14">
        <f t="shared" si="142"/>
        <v>46045.624664351853</v>
      </c>
      <c r="N1822" s="12"/>
    </row>
    <row r="1823" spans="1:14" x14ac:dyDescent="0.25">
      <c r="A1823" s="4" t="s">
        <v>1853</v>
      </c>
      <c r="B1823" s="16" t="str">
        <f t="shared" si="138"/>
        <v>S.R.MINES AND MINERLS</v>
      </c>
      <c r="C1823" s="16" t="str">
        <f t="shared" si="139"/>
        <v>Indo Ka Bala / Kolayat / Bikaner</v>
      </c>
      <c r="D1823" s="4" t="s">
        <v>1382</v>
      </c>
      <c r="E1823" s="4" t="s">
        <v>3119</v>
      </c>
      <c r="F1823" s="5">
        <v>46033.999664351853</v>
      </c>
      <c r="G1823" s="16" t="str">
        <f t="shared" si="140"/>
        <v>Silica Sand</v>
      </c>
      <c r="H1823" s="4" t="s">
        <v>2955</v>
      </c>
      <c r="I1823" s="18" t="str" cm="1">
        <f t="array" ref="I1823">_xlfn.LET(_xlpm.text, D1823,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3" s="18" t="str" cm="1">
        <f t="array" ref="J1823">_xlfn.LET(_xlpm.text, E1823,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3" s="14">
        <f t="shared" si="141"/>
        <v>46034</v>
      </c>
      <c r="L1823" s="14">
        <f t="shared" si="142"/>
        <v>46034.624664351853</v>
      </c>
      <c r="N1823" s="12"/>
    </row>
    <row r="1824" spans="1:14" x14ac:dyDescent="0.25">
      <c r="A1824" s="4" t="s">
        <v>1854</v>
      </c>
      <c r="B1824" s="16" t="str">
        <f t="shared" si="138"/>
        <v>S.R.MINES AND MINERLS</v>
      </c>
      <c r="C1824" s="16" t="str">
        <f t="shared" si="139"/>
        <v>Indo Ka Bala / Kolayat / Bikaner</v>
      </c>
      <c r="D1824" s="4" t="s">
        <v>1382</v>
      </c>
      <c r="E1824" s="4" t="s">
        <v>3119</v>
      </c>
      <c r="F1824" s="5">
        <v>46034.999664351853</v>
      </c>
      <c r="G1824" s="16" t="str">
        <f t="shared" si="140"/>
        <v>Silica Sand</v>
      </c>
      <c r="H1824" s="4" t="s">
        <v>2987</v>
      </c>
      <c r="I1824" s="18" t="str" cm="1">
        <f t="array" ref="I1824">_xlfn.LET(_xlpm.text, D1824,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4" s="18" t="str" cm="1">
        <f t="array" ref="J1824">_xlfn.LET(_xlpm.text, E1824,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4" s="14">
        <f t="shared" si="141"/>
        <v>46035</v>
      </c>
      <c r="L1824" s="14">
        <f t="shared" si="142"/>
        <v>46035.624664351853</v>
      </c>
      <c r="N1824" s="12"/>
    </row>
    <row r="1825" spans="1:14" x14ac:dyDescent="0.25">
      <c r="A1825" s="4" t="s">
        <v>1855</v>
      </c>
      <c r="B1825" s="16" t="str">
        <f t="shared" si="138"/>
        <v>S.R.MINES AND MINERLS</v>
      </c>
      <c r="C1825" s="16" t="str">
        <f t="shared" si="139"/>
        <v>Indo Ka Bala / Kolayat / Bikaner</v>
      </c>
      <c r="D1825" s="4" t="s">
        <v>1382</v>
      </c>
      <c r="E1825" s="4" t="s">
        <v>3119</v>
      </c>
      <c r="F1825" s="5">
        <v>46037.999664351853</v>
      </c>
      <c r="G1825" s="16" t="str">
        <f t="shared" si="140"/>
        <v>Silica Sand</v>
      </c>
      <c r="H1825" s="4" t="s">
        <v>2988</v>
      </c>
      <c r="I1825" s="18" t="str" cm="1">
        <f t="array" ref="I1825">_xlfn.LET(_xlpm.text, D1825,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5" s="18" t="str" cm="1">
        <f t="array" ref="J1825">_xlfn.LET(_xlpm.text, E1825,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5" s="14">
        <f t="shared" si="141"/>
        <v>46038</v>
      </c>
      <c r="L1825" s="14">
        <f t="shared" si="142"/>
        <v>46038.624664351853</v>
      </c>
      <c r="N1825" s="12"/>
    </row>
    <row r="1826" spans="1:14" x14ac:dyDescent="0.25">
      <c r="A1826" s="4" t="s">
        <v>1856</v>
      </c>
      <c r="B1826" s="16" t="str">
        <f t="shared" si="138"/>
        <v>S.R.MINES AND MINERLS</v>
      </c>
      <c r="C1826" s="16" t="str">
        <f t="shared" si="139"/>
        <v>Indo Ka Bala / Kolayat / Bikaner</v>
      </c>
      <c r="D1826" s="4" t="s">
        <v>1382</v>
      </c>
      <c r="E1826" s="4" t="s">
        <v>3119</v>
      </c>
      <c r="F1826" s="5">
        <v>46037.999664351853</v>
      </c>
      <c r="G1826" s="16" t="str">
        <f t="shared" si="140"/>
        <v>Silica Sand</v>
      </c>
      <c r="H1826" s="4" t="s">
        <v>2939</v>
      </c>
      <c r="I1826" s="18" t="str" cm="1">
        <f t="array" ref="I1826">_xlfn.LET(_xlpm.text, D1826,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6" s="18" t="str" cm="1">
        <f t="array" ref="J1826">_xlfn.LET(_xlpm.text, E1826,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6" s="14">
        <f t="shared" si="141"/>
        <v>46038</v>
      </c>
      <c r="L1826" s="14">
        <f t="shared" si="142"/>
        <v>46038.624664351853</v>
      </c>
      <c r="N1826" s="12"/>
    </row>
    <row r="1827" spans="1:14" x14ac:dyDescent="0.25">
      <c r="A1827" s="4" t="s">
        <v>1857</v>
      </c>
      <c r="B1827" s="16" t="str">
        <f t="shared" si="138"/>
        <v>S.R.MINES AND MINERLS</v>
      </c>
      <c r="C1827" s="16" t="str">
        <f t="shared" si="139"/>
        <v>Indo Ka Bala / Kolayat / Bikaner</v>
      </c>
      <c r="D1827" s="4" t="s">
        <v>1382</v>
      </c>
      <c r="E1827" s="4" t="s">
        <v>3119</v>
      </c>
      <c r="F1827" s="5">
        <v>46036.999664351853</v>
      </c>
      <c r="G1827" s="16" t="str">
        <f t="shared" si="140"/>
        <v>Silica Sand</v>
      </c>
      <c r="H1827" s="4" t="s">
        <v>2987</v>
      </c>
      <c r="I1827" s="18" t="str" cm="1">
        <f t="array" ref="I1827">_xlfn.LET(_xlpm.text, D1827,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7" s="18" t="str" cm="1">
        <f t="array" ref="J1827">_xlfn.LET(_xlpm.text, E1827,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7" s="14">
        <f t="shared" si="141"/>
        <v>46037</v>
      </c>
      <c r="L1827" s="14">
        <f t="shared" si="142"/>
        <v>46037.624664351853</v>
      </c>
      <c r="N1827" s="12"/>
    </row>
    <row r="1828" spans="1:14" x14ac:dyDescent="0.25">
      <c r="A1828" s="4" t="s">
        <v>1858</v>
      </c>
      <c r="B1828" s="16" t="str">
        <f t="shared" si="138"/>
        <v>S.R.MINES AND MINERLS</v>
      </c>
      <c r="C1828" s="16" t="str">
        <f t="shared" si="139"/>
        <v>Indo Ka Bala / Kolayat / Bikaner</v>
      </c>
      <c r="D1828" s="4" t="s">
        <v>1382</v>
      </c>
      <c r="E1828" s="4" t="s">
        <v>3119</v>
      </c>
      <c r="F1828" s="5">
        <v>46038.999664351853</v>
      </c>
      <c r="G1828" s="16" t="str">
        <f t="shared" si="140"/>
        <v>Silica Sand</v>
      </c>
      <c r="H1828" s="4" t="s">
        <v>2988</v>
      </c>
      <c r="I1828" s="18" t="str" cm="1">
        <f t="array" ref="I1828">_xlfn.LET(_xlpm.text, D1828,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8" s="18" t="str" cm="1">
        <f t="array" ref="J1828">_xlfn.LET(_xlpm.text, E1828,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8" s="14">
        <f t="shared" si="141"/>
        <v>46039</v>
      </c>
      <c r="L1828" s="14">
        <f t="shared" si="142"/>
        <v>46039.624664351853</v>
      </c>
      <c r="N1828" s="12"/>
    </row>
    <row r="1829" spans="1:14" x14ac:dyDescent="0.25">
      <c r="A1829" s="4" t="s">
        <v>1859</v>
      </c>
      <c r="B1829" s="16" t="str">
        <f t="shared" si="138"/>
        <v>S.R.MINES AND MINERLS</v>
      </c>
      <c r="C1829" s="16" t="str">
        <f t="shared" si="139"/>
        <v>Indo Ka Bala / Kolayat / Bikaner</v>
      </c>
      <c r="D1829" s="4" t="s">
        <v>1382</v>
      </c>
      <c r="E1829" s="4" t="s">
        <v>3119</v>
      </c>
      <c r="F1829" s="5">
        <v>46038.999664351853</v>
      </c>
      <c r="G1829" s="16" t="str">
        <f t="shared" si="140"/>
        <v>Silica Sand</v>
      </c>
      <c r="H1829" s="4" t="s">
        <v>2988</v>
      </c>
      <c r="I1829" s="18" t="str" cm="1">
        <f t="array" ref="I1829">_xlfn.LET(_xlpm.text, D1829,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29" s="18" t="str" cm="1">
        <f t="array" ref="J1829">_xlfn.LET(_xlpm.text, E1829,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29" s="14">
        <f t="shared" si="141"/>
        <v>46039</v>
      </c>
      <c r="L1829" s="14">
        <f t="shared" si="142"/>
        <v>46039.624664351853</v>
      </c>
      <c r="N1829" s="12"/>
    </row>
    <row r="1830" spans="1:14" x14ac:dyDescent="0.25">
      <c r="A1830" s="4" t="s">
        <v>1860</v>
      </c>
      <c r="B1830" s="16" t="str">
        <f t="shared" si="138"/>
        <v>S.R.MINES AND MINERLS</v>
      </c>
      <c r="C1830" s="16" t="str">
        <f t="shared" si="139"/>
        <v>Indo Ka Bala / Kolayat / Bikaner</v>
      </c>
      <c r="D1830" s="4" t="s">
        <v>1382</v>
      </c>
      <c r="E1830" s="4" t="s">
        <v>3119</v>
      </c>
      <c r="F1830" s="5">
        <v>46038.999664351853</v>
      </c>
      <c r="G1830" s="16" t="str">
        <f t="shared" si="140"/>
        <v>Silica Sand</v>
      </c>
      <c r="H1830" s="4" t="s">
        <v>2988</v>
      </c>
      <c r="I1830" s="18" t="str" cm="1">
        <f t="array" ref="I1830">_xlfn.LET(_xlpm.text, D1830,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30" s="18" t="str" cm="1">
        <f t="array" ref="J1830">_xlfn.LET(_xlpm.text, E1830,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0" s="14">
        <f t="shared" si="141"/>
        <v>46039</v>
      </c>
      <c r="L1830" s="14">
        <f t="shared" si="142"/>
        <v>46039.624664351853</v>
      </c>
      <c r="N1830" s="12"/>
    </row>
    <row r="1831" spans="1:14" x14ac:dyDescent="0.25">
      <c r="A1831" s="4" t="s">
        <v>1861</v>
      </c>
      <c r="B1831" s="16" t="str">
        <f t="shared" si="138"/>
        <v>S.R.MINES AND MINERLS</v>
      </c>
      <c r="C1831" s="16" t="str">
        <f t="shared" si="139"/>
        <v>Indo Ka Bala / Kolayat / Bikaner</v>
      </c>
      <c r="D1831" s="4" t="s">
        <v>1382</v>
      </c>
      <c r="E1831" s="4" t="s">
        <v>3119</v>
      </c>
      <c r="F1831" s="5">
        <v>46040.999664351853</v>
      </c>
      <c r="G1831" s="16" t="str">
        <f t="shared" si="140"/>
        <v>Silica Sand</v>
      </c>
      <c r="H1831" s="4" t="s">
        <v>2985</v>
      </c>
      <c r="I1831" s="18" t="str" cm="1">
        <f t="array" ref="I1831">_xlfn.LET(_xlpm.text, D1831,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31" s="18" t="str" cm="1">
        <f t="array" ref="J1831">_xlfn.LET(_xlpm.text, E1831,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1" s="14">
        <f t="shared" si="141"/>
        <v>46041</v>
      </c>
      <c r="L1831" s="14">
        <f t="shared" si="142"/>
        <v>46041.624664351853</v>
      </c>
      <c r="N1831" s="12"/>
    </row>
    <row r="1832" spans="1:14" x14ac:dyDescent="0.25">
      <c r="A1832" s="4" t="s">
        <v>1862</v>
      </c>
      <c r="B1832" s="16" t="str">
        <f t="shared" si="138"/>
        <v>S.R.MINES AND MINERLS</v>
      </c>
      <c r="C1832" s="16" t="str">
        <f t="shared" si="139"/>
        <v>Indo Ka Bala / Kolayat / Bikaner</v>
      </c>
      <c r="D1832" s="4" t="s">
        <v>1382</v>
      </c>
      <c r="E1832" s="4" t="s">
        <v>3119</v>
      </c>
      <c r="F1832" s="5">
        <v>46039.999664351853</v>
      </c>
      <c r="G1832" s="16" t="str">
        <f t="shared" si="140"/>
        <v>Silica Sand</v>
      </c>
      <c r="H1832" s="4" t="s">
        <v>2989</v>
      </c>
      <c r="I1832" s="18" t="str" cm="1">
        <f t="array" ref="I1832">_xlfn.LET(_xlpm.text, D1832,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32" s="18" t="str" cm="1">
        <f t="array" ref="J1832">_xlfn.LET(_xlpm.text, E1832,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2" s="14">
        <f t="shared" si="141"/>
        <v>46040</v>
      </c>
      <c r="L1832" s="14">
        <f t="shared" si="142"/>
        <v>46040.624664351853</v>
      </c>
      <c r="N1832" s="12"/>
    </row>
    <row r="1833" spans="1:14" x14ac:dyDescent="0.25">
      <c r="A1833" s="4" t="s">
        <v>1863</v>
      </c>
      <c r="B1833" s="16" t="str">
        <f t="shared" si="138"/>
        <v>S.R.MINES AND MINERLS</v>
      </c>
      <c r="C1833" s="16" t="str">
        <f t="shared" si="139"/>
        <v>Indo Ka Bala / Kolayat / Bikaner</v>
      </c>
      <c r="D1833" s="4" t="s">
        <v>1382</v>
      </c>
      <c r="E1833" s="4" t="s">
        <v>3119</v>
      </c>
      <c r="F1833" s="5">
        <v>46039.999664351853</v>
      </c>
      <c r="G1833" s="16" t="str">
        <f t="shared" si="140"/>
        <v>Silica Sand</v>
      </c>
      <c r="H1833" s="4" t="s">
        <v>2986</v>
      </c>
      <c r="I1833" s="18" t="str" cm="1">
        <f t="array" ref="I1833">_xlfn.LET(_xlpm.text, D1833,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33" s="18" t="str" cm="1">
        <f t="array" ref="J1833">_xlfn.LET(_xlpm.text, E1833,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3" s="14">
        <f t="shared" si="141"/>
        <v>46040</v>
      </c>
      <c r="L1833" s="14">
        <f t="shared" si="142"/>
        <v>46040.624664351853</v>
      </c>
      <c r="N1833" s="12"/>
    </row>
    <row r="1834" spans="1:14" x14ac:dyDescent="0.25">
      <c r="A1834" s="4" t="s">
        <v>1864</v>
      </c>
      <c r="B1834" s="16" t="str">
        <f t="shared" si="138"/>
        <v>S.R.MINES AND MINERLS</v>
      </c>
      <c r="C1834" s="16" t="str">
        <f t="shared" si="139"/>
        <v>Indo Ka Bala / Kolayat / Bikaner</v>
      </c>
      <c r="D1834" s="4" t="s">
        <v>1382</v>
      </c>
      <c r="E1834" s="4" t="s">
        <v>3119</v>
      </c>
      <c r="F1834" s="5">
        <v>46041.999664351853</v>
      </c>
      <c r="G1834" s="16" t="str">
        <f t="shared" si="140"/>
        <v>Silica Sand</v>
      </c>
      <c r="H1834" s="4" t="s">
        <v>2955</v>
      </c>
      <c r="I1834" s="18" t="str" cm="1">
        <f t="array" ref="I1834">_xlfn.LET(_xlpm.text, D1834,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34" s="18" t="str" cm="1">
        <f t="array" ref="J1834">_xlfn.LET(_xlpm.text, E1834,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4" s="14">
        <f t="shared" si="141"/>
        <v>46042</v>
      </c>
      <c r="L1834" s="14">
        <f t="shared" si="142"/>
        <v>46042.624664351853</v>
      </c>
      <c r="N1834" s="12"/>
    </row>
    <row r="1835" spans="1:14" x14ac:dyDescent="0.25">
      <c r="A1835" s="4" t="s">
        <v>1865</v>
      </c>
      <c r="B1835" s="16" t="str">
        <f t="shared" si="138"/>
        <v>S.R.MINES AND MINERLS</v>
      </c>
      <c r="C1835" s="16" t="str">
        <f t="shared" si="139"/>
        <v>Indo Ka Bala / Kolayat / Bikaner</v>
      </c>
      <c r="D1835" s="4" t="s">
        <v>1382</v>
      </c>
      <c r="E1835" s="4" t="s">
        <v>3119</v>
      </c>
      <c r="F1835" s="5">
        <v>46040.999664351853</v>
      </c>
      <c r="G1835" s="16" t="str">
        <f t="shared" si="140"/>
        <v>Silica Sand</v>
      </c>
      <c r="H1835" s="4" t="s">
        <v>2985</v>
      </c>
      <c r="I1835" s="18" t="str" cm="1">
        <f t="array" ref="I1835">_xlfn.LET(_xlpm.text, D1835,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1835" s="18" t="str" cm="1">
        <f t="array" ref="J1835">_xlfn.LET(_xlpm.text, E1835,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5" s="14">
        <f t="shared" si="141"/>
        <v>46041</v>
      </c>
      <c r="L1835" s="14">
        <f t="shared" si="142"/>
        <v>46041.624664351853</v>
      </c>
      <c r="N1835" s="12"/>
    </row>
    <row r="1836" spans="1:14" x14ac:dyDescent="0.25">
      <c r="A1836" s="4" t="s">
        <v>1866</v>
      </c>
      <c r="B1836" s="16" t="str">
        <f t="shared" si="138"/>
        <v>M/s SHREE VISHNU MINERALS</v>
      </c>
      <c r="C1836" s="16" t="str">
        <f t="shared" si="139"/>
        <v>Mokha Charnan / Kolayat / Bikaner</v>
      </c>
      <c r="D1836" s="4" t="s">
        <v>3032</v>
      </c>
      <c r="E1836" s="4" t="s">
        <v>3119</v>
      </c>
      <c r="F1836" s="5">
        <v>46049.999664351853</v>
      </c>
      <c r="G1836" s="16" t="str">
        <f t="shared" si="140"/>
        <v>Silica Sand</v>
      </c>
      <c r="H1836" s="4" t="s">
        <v>2608</v>
      </c>
      <c r="I1836" s="18" t="str" cm="1">
        <f t="array" ref="I1836">_xlfn.LET(_xlpm.text, D1836,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36" s="18" t="str" cm="1">
        <f t="array" ref="J1836">_xlfn.LET(_xlpm.text, E1836,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6" s="14">
        <f t="shared" si="141"/>
        <v>46050</v>
      </c>
      <c r="L1836" s="14">
        <f t="shared" si="142"/>
        <v>46050.624664351853</v>
      </c>
      <c r="N1836" s="12"/>
    </row>
    <row r="1837" spans="1:14" x14ac:dyDescent="0.25">
      <c r="A1837" s="4" t="s">
        <v>1867</v>
      </c>
      <c r="B1837" s="16" t="str">
        <f t="shared" si="138"/>
        <v>M/s SHREE VISHNU MINERALS</v>
      </c>
      <c r="C1837" s="16" t="str">
        <f t="shared" si="139"/>
        <v>Mokha Charnan / Kolayat / Bikaner</v>
      </c>
      <c r="D1837" s="4" t="s">
        <v>3032</v>
      </c>
      <c r="E1837" s="4" t="s">
        <v>3119</v>
      </c>
      <c r="F1837" s="5">
        <v>46050.999664351853</v>
      </c>
      <c r="G1837" s="16" t="str">
        <f t="shared" si="140"/>
        <v>Silica Sand</v>
      </c>
      <c r="H1837" s="4" t="s">
        <v>426</v>
      </c>
      <c r="I1837" s="18" t="str" cm="1">
        <f t="array" ref="I1837">_xlfn.LET(_xlpm.text, D1837,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37" s="18" t="str" cm="1">
        <f t="array" ref="J1837">_xlfn.LET(_xlpm.text, E1837,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7" s="14">
        <f t="shared" si="141"/>
        <v>46051</v>
      </c>
      <c r="L1837" s="14">
        <f t="shared" si="142"/>
        <v>46051.624664351853</v>
      </c>
      <c r="N1837" s="12"/>
    </row>
    <row r="1838" spans="1:14" x14ac:dyDescent="0.25">
      <c r="A1838" s="4" t="s">
        <v>1868</v>
      </c>
      <c r="B1838" s="16" t="str">
        <f t="shared" si="138"/>
        <v>M/s SHREE VISHNU MINERALS</v>
      </c>
      <c r="C1838" s="16" t="str">
        <f t="shared" si="139"/>
        <v>Mokha Charnan / Kolayat / Bikaner</v>
      </c>
      <c r="D1838" s="4" t="s">
        <v>3032</v>
      </c>
      <c r="E1838" s="4" t="s">
        <v>3119</v>
      </c>
      <c r="F1838" s="5">
        <v>46051.999664351853</v>
      </c>
      <c r="G1838" s="16" t="str">
        <f t="shared" si="140"/>
        <v>Silica Sand</v>
      </c>
      <c r="H1838" s="4" t="s">
        <v>2990</v>
      </c>
      <c r="I1838" s="18" t="str" cm="1">
        <f t="array" ref="I1838">_xlfn.LET(_xlpm.text, D1838,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38" s="18" t="str" cm="1">
        <f t="array" ref="J1838">_xlfn.LET(_xlpm.text, E1838,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8" s="14">
        <f t="shared" si="141"/>
        <v>46052</v>
      </c>
      <c r="L1838" s="14">
        <f t="shared" si="142"/>
        <v>46052.624664351853</v>
      </c>
      <c r="N1838" s="12"/>
    </row>
    <row r="1839" spans="1:14" x14ac:dyDescent="0.25">
      <c r="A1839" s="4" t="s">
        <v>1869</v>
      </c>
      <c r="B1839" s="16" t="str">
        <f t="shared" si="138"/>
        <v>M/s SHREE VISHNU MINERALS</v>
      </c>
      <c r="C1839" s="16" t="str">
        <f t="shared" si="139"/>
        <v>Mokha Charnan / Kolayat / Bikaner</v>
      </c>
      <c r="D1839" s="4" t="s">
        <v>3032</v>
      </c>
      <c r="E1839" s="4" t="s">
        <v>3119</v>
      </c>
      <c r="F1839" s="5">
        <v>46050.999664351853</v>
      </c>
      <c r="G1839" s="16" t="str">
        <f t="shared" si="140"/>
        <v>Silica Sand</v>
      </c>
      <c r="H1839" s="4" t="s">
        <v>2522</v>
      </c>
      <c r="I1839" s="18" t="str" cm="1">
        <f t="array" ref="I1839">_xlfn.LET(_xlpm.text, D1839,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39" s="18" t="str" cm="1">
        <f t="array" ref="J1839">_xlfn.LET(_xlpm.text, E1839,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39" s="14">
        <f t="shared" si="141"/>
        <v>46051</v>
      </c>
      <c r="L1839" s="14">
        <f t="shared" si="142"/>
        <v>46051.624664351853</v>
      </c>
      <c r="N1839" s="12"/>
    </row>
    <row r="1840" spans="1:14" x14ac:dyDescent="0.25">
      <c r="A1840" s="4" t="s">
        <v>1870</v>
      </c>
      <c r="B1840" s="16" t="str">
        <f t="shared" si="138"/>
        <v>M/s SHREE VISHNU MINERALS</v>
      </c>
      <c r="C1840" s="16" t="str">
        <f t="shared" si="139"/>
        <v>Mokha Charnan / Kolayat / Bikaner</v>
      </c>
      <c r="D1840" s="4" t="s">
        <v>3034</v>
      </c>
      <c r="E1840" s="4" t="s">
        <v>3119</v>
      </c>
      <c r="F1840" s="5">
        <v>46046.999664351853</v>
      </c>
      <c r="G1840" s="16" t="str">
        <f t="shared" si="140"/>
        <v>Silica Sand</v>
      </c>
      <c r="H1840" s="4" t="s">
        <v>2882</v>
      </c>
      <c r="I1840" s="18" t="str" cm="1">
        <f t="array" ref="I1840">_xlfn.LET(_xlpm.text, D1840,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0" s="18" t="str" cm="1">
        <f t="array" ref="J1840">_xlfn.LET(_xlpm.text, E1840,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0" s="14">
        <f t="shared" si="141"/>
        <v>46047</v>
      </c>
      <c r="L1840" s="14">
        <f t="shared" si="142"/>
        <v>46047.624664351853</v>
      </c>
      <c r="N1840" s="12"/>
    </row>
    <row r="1841" spans="1:14" x14ac:dyDescent="0.25">
      <c r="A1841" s="4" t="s">
        <v>1871</v>
      </c>
      <c r="B1841" s="16" t="str">
        <f t="shared" si="138"/>
        <v>M/s SHREE VISHNU MINERALS</v>
      </c>
      <c r="C1841" s="16" t="str">
        <f t="shared" si="139"/>
        <v>Mokha Charnan / Kolayat / Bikaner</v>
      </c>
      <c r="D1841" s="4" t="s">
        <v>3034</v>
      </c>
      <c r="E1841" s="4" t="s">
        <v>3119</v>
      </c>
      <c r="F1841" s="5">
        <v>46034.999664351853</v>
      </c>
      <c r="G1841" s="16" t="str">
        <f t="shared" si="140"/>
        <v>Silica Sand</v>
      </c>
      <c r="H1841" s="4" t="s">
        <v>2882</v>
      </c>
      <c r="I1841" s="18" t="str" cm="1">
        <f t="array" ref="I1841">_xlfn.LET(_xlpm.text, D1841,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1" s="18" t="str" cm="1">
        <f t="array" ref="J1841">_xlfn.LET(_xlpm.text, E1841,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1" s="14">
        <f t="shared" si="141"/>
        <v>46035</v>
      </c>
      <c r="L1841" s="14">
        <f t="shared" si="142"/>
        <v>46035.624664351853</v>
      </c>
      <c r="N1841" s="12"/>
    </row>
    <row r="1842" spans="1:14" x14ac:dyDescent="0.25">
      <c r="A1842" s="4" t="s">
        <v>1872</v>
      </c>
      <c r="B1842" s="16" t="str">
        <f t="shared" si="138"/>
        <v>M/s SHREE VISHNU MINERALS</v>
      </c>
      <c r="C1842" s="16" t="str">
        <f t="shared" si="139"/>
        <v>Mokha Charnan / Kolayat / Bikaner</v>
      </c>
      <c r="D1842" s="4" t="s">
        <v>3034</v>
      </c>
      <c r="E1842" s="4" t="s">
        <v>3119</v>
      </c>
      <c r="F1842" s="5">
        <v>46034.999664351853</v>
      </c>
      <c r="G1842" s="16" t="str">
        <f t="shared" si="140"/>
        <v>Silica Sand</v>
      </c>
      <c r="H1842" s="4" t="s">
        <v>2882</v>
      </c>
      <c r="I1842" s="18" t="str" cm="1">
        <f t="array" ref="I1842">_xlfn.LET(_xlpm.text, D1842,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2" s="18" t="str" cm="1">
        <f t="array" ref="J1842">_xlfn.LET(_xlpm.text, E1842,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2" s="14">
        <f t="shared" si="141"/>
        <v>46035</v>
      </c>
      <c r="L1842" s="14">
        <f t="shared" si="142"/>
        <v>46035.624664351853</v>
      </c>
      <c r="N1842" s="12"/>
    </row>
    <row r="1843" spans="1:14" x14ac:dyDescent="0.25">
      <c r="A1843" s="4" t="s">
        <v>1873</v>
      </c>
      <c r="B1843" s="16" t="str">
        <f t="shared" si="138"/>
        <v>M/s SHREE VISHNU MINERALS</v>
      </c>
      <c r="C1843" s="16" t="str">
        <f t="shared" si="139"/>
        <v>Mokha Charnan / Kolayat / Bikaner</v>
      </c>
      <c r="D1843" s="4" t="s">
        <v>3034</v>
      </c>
      <c r="E1843" s="4" t="s">
        <v>3119</v>
      </c>
      <c r="F1843" s="5">
        <v>46042.999664351853</v>
      </c>
      <c r="G1843" s="16" t="str">
        <f t="shared" si="140"/>
        <v>Silica Sand</v>
      </c>
      <c r="H1843" s="4" t="s">
        <v>2882</v>
      </c>
      <c r="I1843" s="18" t="str" cm="1">
        <f t="array" ref="I1843">_xlfn.LET(_xlpm.text, D1843,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3" s="18" t="str" cm="1">
        <f t="array" ref="J1843">_xlfn.LET(_xlpm.text, E1843,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3" s="14">
        <f t="shared" si="141"/>
        <v>46043</v>
      </c>
      <c r="L1843" s="14">
        <f t="shared" si="142"/>
        <v>46043.624664351853</v>
      </c>
      <c r="N1843" s="12"/>
    </row>
    <row r="1844" spans="1:14" x14ac:dyDescent="0.25">
      <c r="A1844" s="4" t="s">
        <v>1874</v>
      </c>
      <c r="B1844" s="16" t="str">
        <f t="shared" si="138"/>
        <v>M/s SHREE VISHNU MINERALS</v>
      </c>
      <c r="C1844" s="16" t="str">
        <f t="shared" si="139"/>
        <v>Mokha Charnan / Kolayat / Bikaner</v>
      </c>
      <c r="D1844" s="4" t="s">
        <v>3034</v>
      </c>
      <c r="E1844" s="4" t="s">
        <v>3119</v>
      </c>
      <c r="F1844" s="5">
        <v>46042.999664351853</v>
      </c>
      <c r="G1844" s="16" t="str">
        <f t="shared" si="140"/>
        <v>Silica Sand</v>
      </c>
      <c r="H1844" s="4" t="s">
        <v>2882</v>
      </c>
      <c r="I1844" s="18" t="str" cm="1">
        <f t="array" ref="I1844">_xlfn.LET(_xlpm.text, D1844,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4" s="18" t="str" cm="1">
        <f t="array" ref="J1844">_xlfn.LET(_xlpm.text, E1844,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4" s="14">
        <f t="shared" si="141"/>
        <v>46043</v>
      </c>
      <c r="L1844" s="14">
        <f t="shared" si="142"/>
        <v>46043.624664351853</v>
      </c>
      <c r="N1844" s="12"/>
    </row>
    <row r="1845" spans="1:14" x14ac:dyDescent="0.25">
      <c r="A1845" s="4" t="s">
        <v>1875</v>
      </c>
      <c r="B1845" s="16" t="str">
        <f t="shared" si="138"/>
        <v>M/s SHREE VISHNU MINERALS</v>
      </c>
      <c r="C1845" s="16" t="str">
        <f t="shared" si="139"/>
        <v>Mokha Charnan / Kolayat / Bikaner</v>
      </c>
      <c r="D1845" s="4" t="s">
        <v>3034</v>
      </c>
      <c r="E1845" s="4" t="s">
        <v>3119</v>
      </c>
      <c r="F1845" s="5">
        <v>46044.999664351853</v>
      </c>
      <c r="G1845" s="16" t="str">
        <f t="shared" si="140"/>
        <v>Silica Sand</v>
      </c>
      <c r="H1845" s="4" t="s">
        <v>2882</v>
      </c>
      <c r="I1845" s="18" t="str" cm="1">
        <f t="array" ref="I1845">_xlfn.LET(_xlpm.text, D1845,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5" s="18" t="str" cm="1">
        <f t="array" ref="J1845">_xlfn.LET(_xlpm.text, E1845,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5" s="14">
        <f t="shared" si="141"/>
        <v>46045</v>
      </c>
      <c r="L1845" s="14">
        <f t="shared" si="142"/>
        <v>46045.624664351853</v>
      </c>
      <c r="N1845" s="12"/>
    </row>
    <row r="1846" spans="1:14" x14ac:dyDescent="0.25">
      <c r="A1846" s="4" t="s">
        <v>1876</v>
      </c>
      <c r="B1846" s="16" t="str">
        <f t="shared" si="138"/>
        <v>M/s SHREE VISHNU MINERALS</v>
      </c>
      <c r="C1846" s="16" t="str">
        <f t="shared" si="139"/>
        <v>Mokha Charnan / Kolayat / Bikaner</v>
      </c>
      <c r="D1846" s="4" t="s">
        <v>3034</v>
      </c>
      <c r="E1846" s="4" t="s">
        <v>3119</v>
      </c>
      <c r="F1846" s="5">
        <v>46046.999664351853</v>
      </c>
      <c r="G1846" s="16" t="str">
        <f t="shared" si="140"/>
        <v>Silica Sand</v>
      </c>
      <c r="H1846" s="4" t="s">
        <v>2882</v>
      </c>
      <c r="I1846" s="18" t="str" cm="1">
        <f t="array" ref="I1846">_xlfn.LET(_xlpm.text, D1846,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6" s="18" t="str" cm="1">
        <f t="array" ref="J1846">_xlfn.LET(_xlpm.text, E1846,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6" s="14">
        <f t="shared" si="141"/>
        <v>46047</v>
      </c>
      <c r="L1846" s="14">
        <f t="shared" si="142"/>
        <v>46047.624664351853</v>
      </c>
      <c r="N1846" s="12"/>
    </row>
    <row r="1847" spans="1:14" x14ac:dyDescent="0.25">
      <c r="A1847" s="4" t="s">
        <v>1877</v>
      </c>
      <c r="B1847" s="16" t="str">
        <f t="shared" si="138"/>
        <v>M/s SHREE VISHNU MINERALS</v>
      </c>
      <c r="C1847" s="16" t="str">
        <f t="shared" si="139"/>
        <v>Mokha Charnan / Kolayat / Bikaner</v>
      </c>
      <c r="D1847" s="4" t="s">
        <v>3034</v>
      </c>
      <c r="E1847" s="4" t="s">
        <v>3119</v>
      </c>
      <c r="F1847" s="5">
        <v>46052.999664351853</v>
      </c>
      <c r="G1847" s="16" t="str">
        <f t="shared" si="140"/>
        <v>Silica Sand</v>
      </c>
      <c r="H1847" s="4" t="s">
        <v>2882</v>
      </c>
      <c r="I1847" s="18" t="str" cm="1">
        <f t="array" ref="I1847">_xlfn.LET(_xlpm.text, D1847,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7" s="18" t="str" cm="1">
        <f t="array" ref="J1847">_xlfn.LET(_xlpm.text, E1847,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7" s="14">
        <f t="shared" si="141"/>
        <v>46053</v>
      </c>
      <c r="L1847" s="14">
        <f t="shared" si="142"/>
        <v>46053.624664351853</v>
      </c>
      <c r="N1847" s="12"/>
    </row>
    <row r="1848" spans="1:14" x14ac:dyDescent="0.25">
      <c r="A1848" s="4" t="s">
        <v>1878</v>
      </c>
      <c r="B1848" s="16" t="str">
        <f t="shared" si="138"/>
        <v>M/s SHREE VISHNU MINERALS</v>
      </c>
      <c r="C1848" s="16" t="str">
        <f t="shared" si="139"/>
        <v>Mokha Charnan / Kolayat / Bikaner</v>
      </c>
      <c r="D1848" s="4" t="s">
        <v>3034</v>
      </c>
      <c r="E1848" s="4" t="s">
        <v>3119</v>
      </c>
      <c r="F1848" s="5">
        <v>46042.999664351853</v>
      </c>
      <c r="G1848" s="16" t="str">
        <f t="shared" si="140"/>
        <v>Silica Sand</v>
      </c>
      <c r="H1848" s="4" t="s">
        <v>2617</v>
      </c>
      <c r="I1848" s="18" t="str" cm="1">
        <f t="array" ref="I1848">_xlfn.LET(_xlpm.text, D1848,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8" s="18" t="str" cm="1">
        <f t="array" ref="J1848">_xlfn.LET(_xlpm.text, E1848,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8" s="14">
        <f t="shared" si="141"/>
        <v>46043</v>
      </c>
      <c r="L1848" s="14">
        <f t="shared" si="142"/>
        <v>46043.624664351853</v>
      </c>
      <c r="N1848" s="12"/>
    </row>
    <row r="1849" spans="1:14" x14ac:dyDescent="0.25">
      <c r="A1849" s="4" t="s">
        <v>1879</v>
      </c>
      <c r="B1849" s="16" t="str">
        <f t="shared" si="138"/>
        <v>M/s SHREE VISHNU MINERALS</v>
      </c>
      <c r="C1849" s="16" t="str">
        <f t="shared" si="139"/>
        <v>Mokha Charnan / Kolayat / Bikaner</v>
      </c>
      <c r="D1849" s="4" t="s">
        <v>3034</v>
      </c>
      <c r="E1849" s="4" t="s">
        <v>3119</v>
      </c>
      <c r="F1849" s="5">
        <v>46042.999664351853</v>
      </c>
      <c r="G1849" s="16" t="str">
        <f t="shared" si="140"/>
        <v>Silica Sand</v>
      </c>
      <c r="H1849" s="4" t="s">
        <v>2582</v>
      </c>
      <c r="I1849" s="18" t="str" cm="1">
        <f t="array" ref="I1849">_xlfn.LET(_xlpm.text, D1849,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49" s="18" t="str" cm="1">
        <f t="array" ref="J1849">_xlfn.LET(_xlpm.text, E1849,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49" s="14">
        <f t="shared" si="141"/>
        <v>46043</v>
      </c>
      <c r="L1849" s="14">
        <f t="shared" si="142"/>
        <v>46043.624664351853</v>
      </c>
      <c r="N1849" s="12"/>
    </row>
    <row r="1850" spans="1:14" x14ac:dyDescent="0.25">
      <c r="A1850" s="4" t="s">
        <v>1880</v>
      </c>
      <c r="B1850" s="16" t="str">
        <f t="shared" si="138"/>
        <v>M/s SHREE VISHNU MINERALS</v>
      </c>
      <c r="C1850" s="16" t="str">
        <f t="shared" si="139"/>
        <v>Mokha Charnan / Kolayat / Bikaner</v>
      </c>
      <c r="D1850" s="4" t="s">
        <v>3034</v>
      </c>
      <c r="E1850" s="4" t="s">
        <v>3119</v>
      </c>
      <c r="F1850" s="5">
        <v>46042.999664351853</v>
      </c>
      <c r="G1850" s="16" t="str">
        <f t="shared" si="140"/>
        <v>Silica Sand</v>
      </c>
      <c r="H1850" s="4" t="s">
        <v>2926</v>
      </c>
      <c r="I1850" s="18" t="str" cm="1">
        <f t="array" ref="I1850">_xlfn.LET(_xlpm.text, D1850,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0" s="18" t="str" cm="1">
        <f t="array" ref="J1850">_xlfn.LET(_xlpm.text, E1850,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0" s="14">
        <f t="shared" si="141"/>
        <v>46043</v>
      </c>
      <c r="L1850" s="14">
        <f t="shared" si="142"/>
        <v>46043.624664351853</v>
      </c>
      <c r="N1850" s="12"/>
    </row>
    <row r="1851" spans="1:14" x14ac:dyDescent="0.25">
      <c r="A1851" s="4" t="s">
        <v>1881</v>
      </c>
      <c r="B1851" s="16" t="str">
        <f t="shared" si="138"/>
        <v>M/s SHREE VISHNU MINERALS</v>
      </c>
      <c r="C1851" s="16" t="str">
        <f t="shared" si="139"/>
        <v>Mokha Charnan / Kolayat / Bikaner</v>
      </c>
      <c r="D1851" s="4" t="s">
        <v>3034</v>
      </c>
      <c r="E1851" s="4" t="s">
        <v>3119</v>
      </c>
      <c r="F1851" s="5">
        <v>46042.999664351853</v>
      </c>
      <c r="G1851" s="16" t="str">
        <f t="shared" si="140"/>
        <v>Silica Sand</v>
      </c>
      <c r="H1851" s="4" t="s">
        <v>2991</v>
      </c>
      <c r="I1851" s="18" t="str" cm="1">
        <f t="array" ref="I1851">_xlfn.LET(_xlpm.text, D1851,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1" s="18" t="str" cm="1">
        <f t="array" ref="J1851">_xlfn.LET(_xlpm.text, E1851,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1" s="14">
        <f t="shared" si="141"/>
        <v>46043</v>
      </c>
      <c r="L1851" s="14">
        <f t="shared" si="142"/>
        <v>46043.624664351853</v>
      </c>
      <c r="N1851" s="12"/>
    </row>
    <row r="1852" spans="1:14" x14ac:dyDescent="0.25">
      <c r="A1852" s="4" t="s">
        <v>1882</v>
      </c>
      <c r="B1852" s="16" t="str">
        <f t="shared" si="138"/>
        <v>M/s SHREE VISHNU MINERALS</v>
      </c>
      <c r="C1852" s="16" t="str">
        <f t="shared" si="139"/>
        <v>Mokha Charnan / Kolayat / Bikaner</v>
      </c>
      <c r="D1852" s="4" t="s">
        <v>3034</v>
      </c>
      <c r="E1852" s="4" t="s">
        <v>3119</v>
      </c>
      <c r="F1852" s="5">
        <v>46042.999664351853</v>
      </c>
      <c r="G1852" s="16" t="str">
        <f t="shared" si="140"/>
        <v>Silica Sand</v>
      </c>
      <c r="H1852" s="4" t="s">
        <v>2895</v>
      </c>
      <c r="I1852" s="18" t="str" cm="1">
        <f t="array" ref="I1852">_xlfn.LET(_xlpm.text, D1852,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2" s="18" t="str" cm="1">
        <f t="array" ref="J1852">_xlfn.LET(_xlpm.text, E1852,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2" s="14">
        <f t="shared" si="141"/>
        <v>46043</v>
      </c>
      <c r="L1852" s="14">
        <f t="shared" si="142"/>
        <v>46043.624664351853</v>
      </c>
      <c r="N1852" s="12"/>
    </row>
    <row r="1853" spans="1:14" x14ac:dyDescent="0.25">
      <c r="A1853" s="4" t="s">
        <v>1883</v>
      </c>
      <c r="B1853" s="16" t="str">
        <f t="shared" si="138"/>
        <v>M/s SHREE VISHNU MINERALS</v>
      </c>
      <c r="C1853" s="16" t="str">
        <f t="shared" si="139"/>
        <v>Mokha Charnan / Kolayat / Bikaner</v>
      </c>
      <c r="D1853" s="4" t="s">
        <v>3034</v>
      </c>
      <c r="E1853" s="4" t="s">
        <v>3119</v>
      </c>
      <c r="F1853" s="5">
        <v>46042.999664351853</v>
      </c>
      <c r="G1853" s="16" t="str">
        <f t="shared" si="140"/>
        <v>Silica Sand</v>
      </c>
      <c r="H1853" s="4" t="s">
        <v>2452</v>
      </c>
      <c r="I1853" s="18" t="str" cm="1">
        <f t="array" ref="I1853">_xlfn.LET(_xlpm.text, D1853,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3" s="18" t="str" cm="1">
        <f t="array" ref="J1853">_xlfn.LET(_xlpm.text, E1853,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3" s="14">
        <f t="shared" si="141"/>
        <v>46043</v>
      </c>
      <c r="L1853" s="14">
        <f t="shared" si="142"/>
        <v>46043.624664351853</v>
      </c>
      <c r="N1853" s="12"/>
    </row>
    <row r="1854" spans="1:14" x14ac:dyDescent="0.25">
      <c r="A1854" s="4" t="s">
        <v>1884</v>
      </c>
      <c r="B1854" s="16" t="str">
        <f t="shared" si="138"/>
        <v>M/s SHREE VISHNU MINERALS</v>
      </c>
      <c r="C1854" s="16" t="str">
        <f t="shared" si="139"/>
        <v>Mokha Charnan / Kolayat / Bikaner</v>
      </c>
      <c r="D1854" s="4" t="s">
        <v>3034</v>
      </c>
      <c r="E1854" s="4" t="s">
        <v>3119</v>
      </c>
      <c r="F1854" s="5">
        <v>46042.999664351853</v>
      </c>
      <c r="G1854" s="16" t="str">
        <f t="shared" si="140"/>
        <v>Silica Sand</v>
      </c>
      <c r="H1854" s="4" t="s">
        <v>2850</v>
      </c>
      <c r="I1854" s="18" t="str" cm="1">
        <f t="array" ref="I1854">_xlfn.LET(_xlpm.text, D1854,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4" s="18" t="str" cm="1">
        <f t="array" ref="J1854">_xlfn.LET(_xlpm.text, E1854,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4" s="14">
        <f t="shared" si="141"/>
        <v>46043</v>
      </c>
      <c r="L1854" s="14">
        <f t="shared" si="142"/>
        <v>46043.624664351853</v>
      </c>
      <c r="N1854" s="12"/>
    </row>
    <row r="1855" spans="1:14" x14ac:dyDescent="0.25">
      <c r="A1855" s="4" t="s">
        <v>1885</v>
      </c>
      <c r="B1855" s="16" t="str">
        <f t="shared" si="138"/>
        <v>M/s SHREE VISHNU MINERALS</v>
      </c>
      <c r="C1855" s="16" t="str">
        <f t="shared" si="139"/>
        <v>Mokha Charnan / Kolayat / Bikaner</v>
      </c>
      <c r="D1855" s="4" t="s">
        <v>3034</v>
      </c>
      <c r="E1855" s="4" t="s">
        <v>3119</v>
      </c>
      <c r="F1855" s="5">
        <v>46044.999664351853</v>
      </c>
      <c r="G1855" s="16" t="str">
        <f t="shared" si="140"/>
        <v>Silica Sand</v>
      </c>
      <c r="H1855" s="4" t="s">
        <v>2895</v>
      </c>
      <c r="I1855" s="18" t="str" cm="1">
        <f t="array" ref="I1855">_xlfn.LET(_xlpm.text, D1855,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5" s="18" t="str" cm="1">
        <f t="array" ref="J1855">_xlfn.LET(_xlpm.text, E1855,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5" s="14">
        <f t="shared" si="141"/>
        <v>46045</v>
      </c>
      <c r="L1855" s="14">
        <f t="shared" si="142"/>
        <v>46045.624664351853</v>
      </c>
      <c r="N1855" s="12"/>
    </row>
    <row r="1856" spans="1:14" x14ac:dyDescent="0.25">
      <c r="A1856" s="4" t="s">
        <v>1886</v>
      </c>
      <c r="B1856" s="16" t="str">
        <f t="shared" si="138"/>
        <v>M/s SHREE VISHNU MINERALS</v>
      </c>
      <c r="C1856" s="16" t="str">
        <f t="shared" si="139"/>
        <v>Mokha Charnan / Kolayat / Bikaner</v>
      </c>
      <c r="D1856" s="4" t="s">
        <v>3034</v>
      </c>
      <c r="E1856" s="4" t="s">
        <v>3119</v>
      </c>
      <c r="F1856" s="5">
        <v>46044.999664351853</v>
      </c>
      <c r="G1856" s="16" t="str">
        <f t="shared" si="140"/>
        <v>Silica Sand</v>
      </c>
      <c r="H1856" s="4" t="s">
        <v>2611</v>
      </c>
      <c r="I1856" s="18" t="str" cm="1">
        <f t="array" ref="I1856">_xlfn.LET(_xlpm.text, D1856,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6" s="18" t="str" cm="1">
        <f t="array" ref="J1856">_xlfn.LET(_xlpm.text, E1856,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6" s="14">
        <f t="shared" si="141"/>
        <v>46045</v>
      </c>
      <c r="L1856" s="14">
        <f t="shared" si="142"/>
        <v>46045.624664351853</v>
      </c>
      <c r="N1856" s="12"/>
    </row>
    <row r="1857" spans="1:14" x14ac:dyDescent="0.25">
      <c r="A1857" s="4" t="s">
        <v>1887</v>
      </c>
      <c r="B1857" s="16" t="str">
        <f t="shared" si="138"/>
        <v>M/s SHREE VISHNU MINERALS</v>
      </c>
      <c r="C1857" s="16" t="str">
        <f t="shared" si="139"/>
        <v>Mokha Charnan / Kolayat / Bikaner</v>
      </c>
      <c r="D1857" s="4" t="s">
        <v>3034</v>
      </c>
      <c r="E1857" s="4" t="s">
        <v>3119</v>
      </c>
      <c r="F1857" s="5">
        <v>46044.999664351853</v>
      </c>
      <c r="G1857" s="16" t="str">
        <f t="shared" si="140"/>
        <v>Silica Sand</v>
      </c>
      <c r="H1857" s="4" t="s">
        <v>2918</v>
      </c>
      <c r="I1857" s="18" t="str" cm="1">
        <f t="array" ref="I1857">_xlfn.LET(_xlpm.text, D1857,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7" s="18" t="str" cm="1">
        <f t="array" ref="J1857">_xlfn.LET(_xlpm.text, E1857,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7" s="14">
        <f t="shared" si="141"/>
        <v>46045</v>
      </c>
      <c r="L1857" s="14">
        <f t="shared" si="142"/>
        <v>46045.624664351853</v>
      </c>
      <c r="N1857" s="12"/>
    </row>
    <row r="1858" spans="1:14" x14ac:dyDescent="0.25">
      <c r="A1858" s="4" t="s">
        <v>1888</v>
      </c>
      <c r="B1858" s="16" t="str">
        <f t="shared" ref="B1858:B1921" si="143">VLOOKUP(LEFT($A1858,4)&amp;"*",$O$3:$R$17, 2, FALSE)</f>
        <v>M/s SHREE VISHNU MINERALS</v>
      </c>
      <c r="C1858" s="16" t="str">
        <f t="shared" ref="C1858:C1921" si="144">VLOOKUP(LEFT($A1858,4)&amp;"*",$O$3:$R$17, 3, FALSE)</f>
        <v>Mokha Charnan / Kolayat / Bikaner</v>
      </c>
      <c r="D1858" s="4" t="s">
        <v>3034</v>
      </c>
      <c r="E1858" s="4" t="s">
        <v>3119</v>
      </c>
      <c r="F1858" s="5">
        <v>46044.999664351853</v>
      </c>
      <c r="G1858" s="16" t="str">
        <f t="shared" ref="G1858:G1921" si="145">VLOOKUP(LEFT($A1858,4)&amp;"*",$O$3:$R$17, 4, FALSE)</f>
        <v>Silica Sand</v>
      </c>
      <c r="H1858" s="4" t="s">
        <v>2582</v>
      </c>
      <c r="I1858" s="18" t="str" cm="1">
        <f t="array" ref="I1858">_xlfn.LET(_xlpm.text, D1858,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8" s="18" t="str" cm="1">
        <f t="array" ref="J1858">_xlfn.LET(_xlpm.text, E1858,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8" s="14">
        <f t="shared" si="141"/>
        <v>46045</v>
      </c>
      <c r="L1858" s="14">
        <f t="shared" si="142"/>
        <v>46045.624664351853</v>
      </c>
      <c r="N1858" s="12"/>
    </row>
    <row r="1859" spans="1:14" x14ac:dyDescent="0.25">
      <c r="A1859" s="4" t="s">
        <v>1889</v>
      </c>
      <c r="B1859" s="16" t="str">
        <f t="shared" si="143"/>
        <v>M/s SHREE VISHNU MINERALS</v>
      </c>
      <c r="C1859" s="16" t="str">
        <f t="shared" si="144"/>
        <v>Mokha Charnan / Kolayat / Bikaner</v>
      </c>
      <c r="D1859" s="4" t="s">
        <v>3034</v>
      </c>
      <c r="E1859" s="4" t="s">
        <v>3119</v>
      </c>
      <c r="F1859" s="5">
        <v>46044.999664351853</v>
      </c>
      <c r="G1859" s="16" t="str">
        <f t="shared" si="145"/>
        <v>Silica Sand</v>
      </c>
      <c r="H1859" s="4" t="s">
        <v>2766</v>
      </c>
      <c r="I1859" s="18" t="str" cm="1">
        <f t="array" ref="I1859">_xlfn.LET(_xlpm.text, D1859,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59" s="18" t="str" cm="1">
        <f t="array" ref="J1859">_xlfn.LET(_xlpm.text, E1859,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59" s="14">
        <f t="shared" ref="K1859:K1922" si="146">F1859+(29/86400)</f>
        <v>46045</v>
      </c>
      <c r="L1859" s="14">
        <f t="shared" ref="L1859:L1922" si="147">F1859+(15/24)</f>
        <v>46045.624664351853</v>
      </c>
      <c r="N1859" s="12"/>
    </row>
    <row r="1860" spans="1:14" x14ac:dyDescent="0.25">
      <c r="A1860" s="4" t="s">
        <v>1890</v>
      </c>
      <c r="B1860" s="16" t="str">
        <f t="shared" si="143"/>
        <v>M/s SHREE VISHNU MINERALS</v>
      </c>
      <c r="C1860" s="16" t="str">
        <f t="shared" si="144"/>
        <v>Mokha Charnan / Kolayat / Bikaner</v>
      </c>
      <c r="D1860" s="4" t="s">
        <v>3034</v>
      </c>
      <c r="E1860" s="4" t="s">
        <v>3119</v>
      </c>
      <c r="F1860" s="5">
        <v>46045.999664351853</v>
      </c>
      <c r="G1860" s="16" t="str">
        <f t="shared" si="145"/>
        <v>Silica Sand</v>
      </c>
      <c r="H1860" s="4" t="s">
        <v>2661</v>
      </c>
      <c r="I1860" s="18" t="str" cm="1">
        <f t="array" ref="I1860">_xlfn.LET(_xlpm.text, D1860,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0" s="18" t="str" cm="1">
        <f t="array" ref="J1860">_xlfn.LET(_xlpm.text, E1860,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0" s="14">
        <f t="shared" si="146"/>
        <v>46046</v>
      </c>
      <c r="L1860" s="14">
        <f t="shared" si="147"/>
        <v>46046.624664351853</v>
      </c>
      <c r="N1860" s="12"/>
    </row>
    <row r="1861" spans="1:14" x14ac:dyDescent="0.25">
      <c r="A1861" s="4" t="s">
        <v>1891</v>
      </c>
      <c r="B1861" s="16" t="str">
        <f t="shared" si="143"/>
        <v>M/s SHREE VISHNU MINERALS</v>
      </c>
      <c r="C1861" s="16" t="str">
        <f t="shared" si="144"/>
        <v>Mokha Charnan / Kolayat / Bikaner</v>
      </c>
      <c r="D1861" s="4" t="s">
        <v>3034</v>
      </c>
      <c r="E1861" s="4" t="s">
        <v>3119</v>
      </c>
      <c r="F1861" s="5">
        <v>46041.999664351853</v>
      </c>
      <c r="G1861" s="16" t="str">
        <f t="shared" si="145"/>
        <v>Silica Sand</v>
      </c>
      <c r="H1861" s="4" t="s">
        <v>2399</v>
      </c>
      <c r="I1861" s="18" t="str" cm="1">
        <f t="array" ref="I1861">_xlfn.LET(_xlpm.text, D1861,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1" s="18" t="str" cm="1">
        <f t="array" ref="J1861">_xlfn.LET(_xlpm.text, E1861,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1" s="14">
        <f t="shared" si="146"/>
        <v>46042</v>
      </c>
      <c r="L1861" s="14">
        <f t="shared" si="147"/>
        <v>46042.624664351853</v>
      </c>
      <c r="N1861" s="12"/>
    </row>
    <row r="1862" spans="1:14" x14ac:dyDescent="0.25">
      <c r="A1862" s="4" t="s">
        <v>1892</v>
      </c>
      <c r="B1862" s="16" t="str">
        <f t="shared" si="143"/>
        <v>M/s SHREE VISHNU MINERALS</v>
      </c>
      <c r="C1862" s="16" t="str">
        <f t="shared" si="144"/>
        <v>Mokha Charnan / Kolayat / Bikaner</v>
      </c>
      <c r="D1862" s="4" t="s">
        <v>3034</v>
      </c>
      <c r="E1862" s="4" t="s">
        <v>3119</v>
      </c>
      <c r="F1862" s="5">
        <v>46041.999664351853</v>
      </c>
      <c r="G1862" s="16" t="str">
        <f t="shared" si="145"/>
        <v>Silica Sand</v>
      </c>
      <c r="H1862" s="4" t="s">
        <v>2926</v>
      </c>
      <c r="I1862" s="18" t="str" cm="1">
        <f t="array" ref="I1862">_xlfn.LET(_xlpm.text, D1862,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2" s="18" t="str" cm="1">
        <f t="array" ref="J1862">_xlfn.LET(_xlpm.text, E1862,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2" s="14">
        <f t="shared" si="146"/>
        <v>46042</v>
      </c>
      <c r="L1862" s="14">
        <f t="shared" si="147"/>
        <v>46042.624664351853</v>
      </c>
      <c r="N1862" s="12"/>
    </row>
    <row r="1863" spans="1:14" x14ac:dyDescent="0.25">
      <c r="A1863" s="4" t="s">
        <v>1893</v>
      </c>
      <c r="B1863" s="16" t="str">
        <f t="shared" si="143"/>
        <v>M/s SHREE VISHNU MINERALS</v>
      </c>
      <c r="C1863" s="16" t="str">
        <f t="shared" si="144"/>
        <v>Mokha Charnan / Kolayat / Bikaner</v>
      </c>
      <c r="D1863" s="4" t="s">
        <v>3034</v>
      </c>
      <c r="E1863" s="4" t="s">
        <v>3119</v>
      </c>
      <c r="F1863" s="5">
        <v>46041.999664351853</v>
      </c>
      <c r="G1863" s="16" t="str">
        <f t="shared" si="145"/>
        <v>Silica Sand</v>
      </c>
      <c r="H1863" s="4" t="s">
        <v>2259</v>
      </c>
      <c r="I1863" s="18" t="str" cm="1">
        <f t="array" ref="I1863">_xlfn.LET(_xlpm.text, D1863,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3" s="18" t="str" cm="1">
        <f t="array" ref="J1863">_xlfn.LET(_xlpm.text, E1863,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3" s="14">
        <f t="shared" si="146"/>
        <v>46042</v>
      </c>
      <c r="L1863" s="14">
        <f t="shared" si="147"/>
        <v>46042.624664351853</v>
      </c>
      <c r="N1863" s="12"/>
    </row>
    <row r="1864" spans="1:14" x14ac:dyDescent="0.25">
      <c r="A1864" s="4" t="s">
        <v>1894</v>
      </c>
      <c r="B1864" s="16" t="str">
        <f t="shared" si="143"/>
        <v>M/s SHREE VISHNU MINERALS</v>
      </c>
      <c r="C1864" s="16" t="str">
        <f t="shared" si="144"/>
        <v>Mokha Charnan / Kolayat / Bikaner</v>
      </c>
      <c r="D1864" s="4" t="s">
        <v>3034</v>
      </c>
      <c r="E1864" s="4" t="s">
        <v>3119</v>
      </c>
      <c r="F1864" s="5">
        <v>46041.999664351853</v>
      </c>
      <c r="G1864" s="16" t="str">
        <f t="shared" si="145"/>
        <v>Silica Sand</v>
      </c>
      <c r="H1864" s="4" t="s">
        <v>2882</v>
      </c>
      <c r="I1864" s="18" t="str" cm="1">
        <f t="array" ref="I1864">_xlfn.LET(_xlpm.text, D1864,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4" s="18" t="str" cm="1">
        <f t="array" ref="J1864">_xlfn.LET(_xlpm.text, E1864,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4" s="14">
        <f t="shared" si="146"/>
        <v>46042</v>
      </c>
      <c r="L1864" s="14">
        <f t="shared" si="147"/>
        <v>46042.624664351853</v>
      </c>
      <c r="N1864" s="12"/>
    </row>
    <row r="1865" spans="1:14" x14ac:dyDescent="0.25">
      <c r="A1865" s="4" t="s">
        <v>1895</v>
      </c>
      <c r="B1865" s="16" t="str">
        <f t="shared" si="143"/>
        <v>M/s SHREE VISHNU MINERALS</v>
      </c>
      <c r="C1865" s="16" t="str">
        <f t="shared" si="144"/>
        <v>Mokha Charnan / Kolayat / Bikaner</v>
      </c>
      <c r="D1865" s="4" t="s">
        <v>3034</v>
      </c>
      <c r="E1865" s="4" t="s">
        <v>3119</v>
      </c>
      <c r="F1865" s="5">
        <v>46041.999664351853</v>
      </c>
      <c r="G1865" s="16" t="str">
        <f t="shared" si="145"/>
        <v>Silica Sand</v>
      </c>
      <c r="H1865" s="4" t="s">
        <v>2882</v>
      </c>
      <c r="I1865" s="18" t="str" cm="1">
        <f t="array" ref="I1865">_xlfn.LET(_xlpm.text, D1865,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5" s="18" t="str" cm="1">
        <f t="array" ref="J1865">_xlfn.LET(_xlpm.text, E1865,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5" s="14">
        <f t="shared" si="146"/>
        <v>46042</v>
      </c>
      <c r="L1865" s="14">
        <f t="shared" si="147"/>
        <v>46042.624664351853</v>
      </c>
      <c r="N1865" s="12"/>
    </row>
    <row r="1866" spans="1:14" x14ac:dyDescent="0.25">
      <c r="A1866" s="4" t="s">
        <v>1896</v>
      </c>
      <c r="B1866" s="16" t="str">
        <f t="shared" si="143"/>
        <v>M/s SHREE VISHNU MINERALS</v>
      </c>
      <c r="C1866" s="16" t="str">
        <f t="shared" si="144"/>
        <v>Mokha Charnan / Kolayat / Bikaner</v>
      </c>
      <c r="D1866" s="4" t="s">
        <v>3034</v>
      </c>
      <c r="E1866" s="4" t="s">
        <v>3119</v>
      </c>
      <c r="F1866" s="5">
        <v>46041.999664351853</v>
      </c>
      <c r="G1866" s="16" t="str">
        <f t="shared" si="145"/>
        <v>Silica Sand</v>
      </c>
      <c r="H1866" s="4" t="s">
        <v>412</v>
      </c>
      <c r="I1866" s="18" t="str" cm="1">
        <f t="array" ref="I1866">_xlfn.LET(_xlpm.text, D1866,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6" s="18" t="str" cm="1">
        <f t="array" ref="J1866">_xlfn.LET(_xlpm.text, E1866,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6" s="14">
        <f t="shared" si="146"/>
        <v>46042</v>
      </c>
      <c r="L1866" s="14">
        <f t="shared" si="147"/>
        <v>46042.624664351853</v>
      </c>
      <c r="N1866" s="12"/>
    </row>
    <row r="1867" spans="1:14" x14ac:dyDescent="0.25">
      <c r="A1867" s="4" t="s">
        <v>1897</v>
      </c>
      <c r="B1867" s="16" t="str">
        <f t="shared" si="143"/>
        <v>M/s SHREE VISHNU MINERALS</v>
      </c>
      <c r="C1867" s="16" t="str">
        <f t="shared" si="144"/>
        <v>Mokha Charnan / Kolayat / Bikaner</v>
      </c>
      <c r="D1867" s="4" t="s">
        <v>3034</v>
      </c>
      <c r="E1867" s="4" t="s">
        <v>3119</v>
      </c>
      <c r="F1867" s="5">
        <v>46041.999664351853</v>
      </c>
      <c r="G1867" s="16" t="str">
        <f t="shared" si="145"/>
        <v>Silica Sand</v>
      </c>
      <c r="H1867" s="4" t="s">
        <v>2895</v>
      </c>
      <c r="I1867" s="18" t="str" cm="1">
        <f t="array" ref="I1867">_xlfn.LET(_xlpm.text, D1867,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7" s="18" t="str" cm="1">
        <f t="array" ref="J1867">_xlfn.LET(_xlpm.text, E1867,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7" s="14">
        <f t="shared" si="146"/>
        <v>46042</v>
      </c>
      <c r="L1867" s="14">
        <f t="shared" si="147"/>
        <v>46042.624664351853</v>
      </c>
      <c r="N1867" s="12"/>
    </row>
    <row r="1868" spans="1:14" x14ac:dyDescent="0.25">
      <c r="A1868" s="4" t="s">
        <v>1898</v>
      </c>
      <c r="B1868" s="16" t="str">
        <f t="shared" si="143"/>
        <v>M/s SHREE VISHNU MINERALS</v>
      </c>
      <c r="C1868" s="16" t="str">
        <f t="shared" si="144"/>
        <v>Mokha Charnan / Kolayat / Bikaner</v>
      </c>
      <c r="D1868" s="4" t="s">
        <v>3034</v>
      </c>
      <c r="E1868" s="4" t="s">
        <v>3119</v>
      </c>
      <c r="F1868" s="5">
        <v>46045.999664351853</v>
      </c>
      <c r="G1868" s="16" t="str">
        <f t="shared" si="145"/>
        <v>Silica Sand</v>
      </c>
      <c r="H1868" s="4" t="s">
        <v>2926</v>
      </c>
      <c r="I1868" s="18" t="str" cm="1">
        <f t="array" ref="I1868">_xlfn.LET(_xlpm.text, D1868,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8" s="18" t="str" cm="1">
        <f t="array" ref="J1868">_xlfn.LET(_xlpm.text, E1868,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8" s="14">
        <f t="shared" si="146"/>
        <v>46046</v>
      </c>
      <c r="L1868" s="14">
        <f t="shared" si="147"/>
        <v>46046.624664351853</v>
      </c>
      <c r="N1868" s="12"/>
    </row>
    <row r="1869" spans="1:14" x14ac:dyDescent="0.25">
      <c r="A1869" s="4" t="s">
        <v>1899</v>
      </c>
      <c r="B1869" s="16" t="str">
        <f t="shared" si="143"/>
        <v>M/s SHREE VISHNU MINERALS</v>
      </c>
      <c r="C1869" s="16" t="str">
        <f t="shared" si="144"/>
        <v>Mokha Charnan / Kolayat / Bikaner</v>
      </c>
      <c r="D1869" s="4" t="s">
        <v>3034</v>
      </c>
      <c r="E1869" s="4" t="s">
        <v>3119</v>
      </c>
      <c r="F1869" s="5">
        <v>46041.999664351853</v>
      </c>
      <c r="G1869" s="16" t="str">
        <f t="shared" si="145"/>
        <v>Silica Sand</v>
      </c>
      <c r="H1869" s="4" t="s">
        <v>2992</v>
      </c>
      <c r="I1869" s="18" t="str" cm="1">
        <f t="array" ref="I1869">_xlfn.LET(_xlpm.text, D1869,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69" s="18" t="str" cm="1">
        <f t="array" ref="J1869">_xlfn.LET(_xlpm.text, E1869,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69" s="14">
        <f t="shared" si="146"/>
        <v>46042</v>
      </c>
      <c r="L1869" s="14">
        <f t="shared" si="147"/>
        <v>46042.624664351853</v>
      </c>
      <c r="N1869" s="12"/>
    </row>
    <row r="1870" spans="1:14" x14ac:dyDescent="0.25">
      <c r="A1870" s="4" t="s">
        <v>1900</v>
      </c>
      <c r="B1870" s="16" t="str">
        <f t="shared" si="143"/>
        <v>M/s SHREE VISHNU MINERALS</v>
      </c>
      <c r="C1870" s="16" t="str">
        <f t="shared" si="144"/>
        <v>Mokha Charnan / Kolayat / Bikaner</v>
      </c>
      <c r="D1870" s="4" t="s">
        <v>3034</v>
      </c>
      <c r="E1870" s="4" t="s">
        <v>3119</v>
      </c>
      <c r="F1870" s="5">
        <v>46046.999664351853</v>
      </c>
      <c r="G1870" s="16" t="str">
        <f t="shared" si="145"/>
        <v>Silica Sand</v>
      </c>
      <c r="H1870" s="4" t="s">
        <v>2918</v>
      </c>
      <c r="I1870" s="18" t="str" cm="1">
        <f t="array" ref="I1870">_xlfn.LET(_xlpm.text, D1870,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0" s="18" t="str" cm="1">
        <f t="array" ref="J1870">_xlfn.LET(_xlpm.text, E1870,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0" s="14">
        <f t="shared" si="146"/>
        <v>46047</v>
      </c>
      <c r="L1870" s="14">
        <f t="shared" si="147"/>
        <v>46047.624664351853</v>
      </c>
      <c r="N1870" s="12"/>
    </row>
    <row r="1871" spans="1:14" x14ac:dyDescent="0.25">
      <c r="A1871" s="4" t="s">
        <v>1901</v>
      </c>
      <c r="B1871" s="16" t="str">
        <f t="shared" si="143"/>
        <v>M/s SHREE VISHNU MINERALS</v>
      </c>
      <c r="C1871" s="16" t="str">
        <f t="shared" si="144"/>
        <v>Mokha Charnan / Kolayat / Bikaner</v>
      </c>
      <c r="D1871" s="4" t="s">
        <v>3034</v>
      </c>
      <c r="E1871" s="4" t="s">
        <v>3119</v>
      </c>
      <c r="F1871" s="5">
        <v>46047.999664351853</v>
      </c>
      <c r="G1871" s="16" t="str">
        <f t="shared" si="145"/>
        <v>Silica Sand</v>
      </c>
      <c r="H1871" s="4" t="s">
        <v>2993</v>
      </c>
      <c r="I1871" s="18" t="str" cm="1">
        <f t="array" ref="I1871">_xlfn.LET(_xlpm.text, D1871,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1" s="18" t="str" cm="1">
        <f t="array" ref="J1871">_xlfn.LET(_xlpm.text, E1871,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1" s="14">
        <f t="shared" si="146"/>
        <v>46048</v>
      </c>
      <c r="L1871" s="14">
        <f t="shared" si="147"/>
        <v>46048.624664351853</v>
      </c>
      <c r="N1871" s="12"/>
    </row>
    <row r="1872" spans="1:14" x14ac:dyDescent="0.25">
      <c r="A1872" s="4" t="s">
        <v>1902</v>
      </c>
      <c r="B1872" s="16" t="str">
        <f t="shared" si="143"/>
        <v>M/s SHREE VISHNU MINERALS</v>
      </c>
      <c r="C1872" s="16" t="str">
        <f t="shared" si="144"/>
        <v>Mokha Charnan / Kolayat / Bikaner</v>
      </c>
      <c r="D1872" s="4" t="s">
        <v>3034</v>
      </c>
      <c r="E1872" s="4" t="s">
        <v>3119</v>
      </c>
      <c r="F1872" s="5">
        <v>46046.999664351853</v>
      </c>
      <c r="G1872" s="16" t="str">
        <f t="shared" si="145"/>
        <v>Silica Sand</v>
      </c>
      <c r="H1872" s="4" t="s">
        <v>2766</v>
      </c>
      <c r="I1872" s="18" t="str" cm="1">
        <f t="array" ref="I1872">_xlfn.LET(_xlpm.text, D1872,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2" s="18" t="str" cm="1">
        <f t="array" ref="J1872">_xlfn.LET(_xlpm.text, E1872,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2" s="14">
        <f t="shared" si="146"/>
        <v>46047</v>
      </c>
      <c r="L1872" s="14">
        <f t="shared" si="147"/>
        <v>46047.624664351853</v>
      </c>
      <c r="N1872" s="12"/>
    </row>
    <row r="1873" spans="1:14" x14ac:dyDescent="0.25">
      <c r="A1873" s="4" t="s">
        <v>1903</v>
      </c>
      <c r="B1873" s="16" t="str">
        <f t="shared" si="143"/>
        <v>M/s SHREE VISHNU MINERALS</v>
      </c>
      <c r="C1873" s="16" t="str">
        <f t="shared" si="144"/>
        <v>Mokha Charnan / Kolayat / Bikaner</v>
      </c>
      <c r="D1873" s="4" t="s">
        <v>3034</v>
      </c>
      <c r="E1873" s="4" t="s">
        <v>3119</v>
      </c>
      <c r="F1873" s="5">
        <v>46048.999664351853</v>
      </c>
      <c r="G1873" s="16" t="str">
        <f t="shared" si="145"/>
        <v>Silica Sand</v>
      </c>
      <c r="H1873" s="4" t="s">
        <v>2901</v>
      </c>
      <c r="I1873" s="18" t="str" cm="1">
        <f t="array" ref="I1873">_xlfn.LET(_xlpm.text, D1873,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3" s="18" t="str" cm="1">
        <f t="array" ref="J1873">_xlfn.LET(_xlpm.text, E1873,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3" s="14">
        <f t="shared" si="146"/>
        <v>46049</v>
      </c>
      <c r="L1873" s="14">
        <f t="shared" si="147"/>
        <v>46049.624664351853</v>
      </c>
      <c r="N1873" s="12"/>
    </row>
    <row r="1874" spans="1:14" x14ac:dyDescent="0.25">
      <c r="A1874" s="4" t="s">
        <v>1904</v>
      </c>
      <c r="B1874" s="16" t="str">
        <f t="shared" si="143"/>
        <v>M/s SHREE VISHNU MINERALS</v>
      </c>
      <c r="C1874" s="16" t="str">
        <f t="shared" si="144"/>
        <v>Mokha Charnan / Kolayat / Bikaner</v>
      </c>
      <c r="D1874" s="4" t="s">
        <v>3034</v>
      </c>
      <c r="E1874" s="4" t="s">
        <v>3119</v>
      </c>
      <c r="F1874" s="5">
        <v>46049.999664351853</v>
      </c>
      <c r="G1874" s="16" t="str">
        <f t="shared" si="145"/>
        <v>Silica Sand</v>
      </c>
      <c r="H1874" s="4" t="s">
        <v>2994</v>
      </c>
      <c r="I1874" s="18" t="str" cm="1">
        <f t="array" ref="I1874">_xlfn.LET(_xlpm.text, D1874,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4" s="18" t="str" cm="1">
        <f t="array" ref="J1874">_xlfn.LET(_xlpm.text, E1874,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4" s="14">
        <f t="shared" si="146"/>
        <v>46050</v>
      </c>
      <c r="L1874" s="14">
        <f t="shared" si="147"/>
        <v>46050.624664351853</v>
      </c>
      <c r="N1874" s="12"/>
    </row>
    <row r="1875" spans="1:14" x14ac:dyDescent="0.25">
      <c r="A1875" s="4" t="s">
        <v>1905</v>
      </c>
      <c r="B1875" s="16" t="str">
        <f t="shared" si="143"/>
        <v>M/s SHREE VISHNU MINERALS</v>
      </c>
      <c r="C1875" s="16" t="str">
        <f t="shared" si="144"/>
        <v>Mokha Charnan / Kolayat / Bikaner</v>
      </c>
      <c r="D1875" s="4" t="s">
        <v>3034</v>
      </c>
      <c r="E1875" s="4" t="s">
        <v>3119</v>
      </c>
      <c r="F1875" s="5">
        <v>46050.999664351853</v>
      </c>
      <c r="G1875" s="16" t="str">
        <f t="shared" si="145"/>
        <v>Silica Sand</v>
      </c>
      <c r="H1875" s="4" t="s">
        <v>2995</v>
      </c>
      <c r="I1875" s="18" t="str" cm="1">
        <f t="array" ref="I1875">_xlfn.LET(_xlpm.text, D1875,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5" s="18" t="str" cm="1">
        <f t="array" ref="J1875">_xlfn.LET(_xlpm.text, E1875,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5" s="14">
        <f t="shared" si="146"/>
        <v>46051</v>
      </c>
      <c r="L1875" s="14">
        <f t="shared" si="147"/>
        <v>46051.624664351853</v>
      </c>
      <c r="N1875" s="12"/>
    </row>
    <row r="1876" spans="1:14" x14ac:dyDescent="0.25">
      <c r="A1876" s="4" t="s">
        <v>1906</v>
      </c>
      <c r="B1876" s="16" t="str">
        <f t="shared" si="143"/>
        <v>M/s SHREE VISHNU MINERALS</v>
      </c>
      <c r="C1876" s="16" t="str">
        <f t="shared" si="144"/>
        <v>Mokha Charnan / Kolayat / Bikaner</v>
      </c>
      <c r="D1876" s="4" t="s">
        <v>3034</v>
      </c>
      <c r="E1876" s="4" t="s">
        <v>3119</v>
      </c>
      <c r="F1876" s="5">
        <v>46050.999664351853</v>
      </c>
      <c r="G1876" s="16" t="str">
        <f t="shared" si="145"/>
        <v>Silica Sand</v>
      </c>
      <c r="H1876" s="4" t="s">
        <v>2617</v>
      </c>
      <c r="I1876" s="18" t="str" cm="1">
        <f t="array" ref="I1876">_xlfn.LET(_xlpm.text, D1876,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6" s="18" t="str" cm="1">
        <f t="array" ref="J1876">_xlfn.LET(_xlpm.text, E1876,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6" s="14">
        <f t="shared" si="146"/>
        <v>46051</v>
      </c>
      <c r="L1876" s="14">
        <f t="shared" si="147"/>
        <v>46051.624664351853</v>
      </c>
      <c r="N1876" s="12"/>
    </row>
    <row r="1877" spans="1:14" x14ac:dyDescent="0.25">
      <c r="A1877" s="4" t="s">
        <v>1907</v>
      </c>
      <c r="B1877" s="16" t="str">
        <f t="shared" si="143"/>
        <v>M/s SHREE VISHNU MINERALS</v>
      </c>
      <c r="C1877" s="16" t="str">
        <f t="shared" si="144"/>
        <v>Mokha Charnan / Kolayat / Bikaner</v>
      </c>
      <c r="D1877" s="4" t="s">
        <v>3034</v>
      </c>
      <c r="E1877" s="4" t="s">
        <v>3119</v>
      </c>
      <c r="F1877" s="5">
        <v>46050.999664351853</v>
      </c>
      <c r="G1877" s="16" t="str">
        <f t="shared" si="145"/>
        <v>Silica Sand</v>
      </c>
      <c r="H1877" s="4" t="s">
        <v>2447</v>
      </c>
      <c r="I1877" s="18" t="str" cm="1">
        <f t="array" ref="I1877">_xlfn.LET(_xlpm.text, D1877,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877" s="18" t="str" cm="1">
        <f t="array" ref="J1877">_xlfn.LET(_xlpm.text, E1877,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7" s="14">
        <f t="shared" si="146"/>
        <v>46051</v>
      </c>
      <c r="L1877" s="14">
        <f t="shared" si="147"/>
        <v>46051.624664351853</v>
      </c>
      <c r="N1877" s="12"/>
    </row>
    <row r="1878" spans="1:14" x14ac:dyDescent="0.25">
      <c r="A1878" s="4" t="s">
        <v>1908</v>
      </c>
      <c r="B1878" s="16" t="str">
        <f t="shared" si="143"/>
        <v>M/s SHREE VISHNU MINERALS</v>
      </c>
      <c r="C1878" s="16" t="str">
        <f t="shared" si="144"/>
        <v>Mokha Charnan / Kolayat / Bikaner</v>
      </c>
      <c r="D1878" s="4" t="s">
        <v>3035</v>
      </c>
      <c r="E1878" s="4" t="s">
        <v>3119</v>
      </c>
      <c r="F1878" s="5">
        <v>46043.999664351853</v>
      </c>
      <c r="G1878" s="16" t="str">
        <f t="shared" si="145"/>
        <v>Silica Sand</v>
      </c>
      <c r="H1878" s="4" t="s">
        <v>2611</v>
      </c>
      <c r="I1878" s="18" t="str" cm="1">
        <f t="array" ref="I1878">_xlfn.LET(_xlpm.text, D1878,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78" s="18" t="str" cm="1">
        <f t="array" ref="J1878">_xlfn.LET(_xlpm.text, E1878,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8" s="14">
        <f t="shared" si="146"/>
        <v>46044</v>
      </c>
      <c r="L1878" s="14">
        <f t="shared" si="147"/>
        <v>46044.624664351853</v>
      </c>
      <c r="N1878" s="12"/>
    </row>
    <row r="1879" spans="1:14" x14ac:dyDescent="0.25">
      <c r="A1879" s="4" t="s">
        <v>1909</v>
      </c>
      <c r="B1879" s="16" t="str">
        <f t="shared" si="143"/>
        <v>M/s SHREE VISHNU MINERALS</v>
      </c>
      <c r="C1879" s="16" t="str">
        <f t="shared" si="144"/>
        <v>Mokha Charnan / Kolayat / Bikaner</v>
      </c>
      <c r="D1879" s="4" t="s">
        <v>3035</v>
      </c>
      <c r="E1879" s="4" t="s">
        <v>3119</v>
      </c>
      <c r="F1879" s="5">
        <v>46042.999664351853</v>
      </c>
      <c r="G1879" s="16" t="str">
        <f t="shared" si="145"/>
        <v>Silica Sand</v>
      </c>
      <c r="H1879" s="4" t="s">
        <v>2611</v>
      </c>
      <c r="I1879" s="18" t="str" cm="1">
        <f t="array" ref="I1879">_xlfn.LET(_xlpm.text, D1879,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79" s="18" t="str" cm="1">
        <f t="array" ref="J1879">_xlfn.LET(_xlpm.text, E1879,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79" s="14">
        <f t="shared" si="146"/>
        <v>46043</v>
      </c>
      <c r="L1879" s="14">
        <f t="shared" si="147"/>
        <v>46043.624664351853</v>
      </c>
      <c r="N1879" s="12"/>
    </row>
    <row r="1880" spans="1:14" x14ac:dyDescent="0.25">
      <c r="A1880" s="4" t="s">
        <v>1910</v>
      </c>
      <c r="B1880" s="16" t="str">
        <f t="shared" si="143"/>
        <v>M/s SHREE VISHNU MINERALS</v>
      </c>
      <c r="C1880" s="16" t="str">
        <f t="shared" si="144"/>
        <v>Mokha Charnan / Kolayat / Bikaner</v>
      </c>
      <c r="D1880" s="4" t="s">
        <v>3035</v>
      </c>
      <c r="E1880" s="4" t="s">
        <v>3119</v>
      </c>
      <c r="F1880" s="5">
        <v>46040.999664351853</v>
      </c>
      <c r="G1880" s="16" t="str">
        <f t="shared" si="145"/>
        <v>Silica Sand</v>
      </c>
      <c r="H1880" s="4" t="s">
        <v>2611</v>
      </c>
      <c r="I1880" s="18" t="str" cm="1">
        <f t="array" ref="I1880">_xlfn.LET(_xlpm.text, D1880,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0" s="18" t="str" cm="1">
        <f t="array" ref="J1880">_xlfn.LET(_xlpm.text, E1880,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0" s="14">
        <f t="shared" si="146"/>
        <v>46041</v>
      </c>
      <c r="L1880" s="14">
        <f t="shared" si="147"/>
        <v>46041.624664351853</v>
      </c>
      <c r="N1880" s="12"/>
    </row>
    <row r="1881" spans="1:14" x14ac:dyDescent="0.25">
      <c r="A1881" s="4" t="s">
        <v>1911</v>
      </c>
      <c r="B1881" s="16" t="str">
        <f t="shared" si="143"/>
        <v>M/s SHREE VISHNU MINERALS</v>
      </c>
      <c r="C1881" s="16" t="str">
        <f t="shared" si="144"/>
        <v>Mokha Charnan / Kolayat / Bikaner</v>
      </c>
      <c r="D1881" s="4" t="s">
        <v>3035</v>
      </c>
      <c r="E1881" s="4" t="s">
        <v>3119</v>
      </c>
      <c r="F1881" s="5">
        <v>46039.999664351853</v>
      </c>
      <c r="G1881" s="16" t="str">
        <f t="shared" si="145"/>
        <v>Silica Sand</v>
      </c>
      <c r="H1881" s="4" t="s">
        <v>2611</v>
      </c>
      <c r="I1881" s="18" t="str" cm="1">
        <f t="array" ref="I1881">_xlfn.LET(_xlpm.text, D1881,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1" s="18" t="str" cm="1">
        <f t="array" ref="J1881">_xlfn.LET(_xlpm.text, E1881,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1" s="14">
        <f t="shared" si="146"/>
        <v>46040</v>
      </c>
      <c r="L1881" s="14">
        <f t="shared" si="147"/>
        <v>46040.624664351853</v>
      </c>
      <c r="N1881" s="12"/>
    </row>
    <row r="1882" spans="1:14" x14ac:dyDescent="0.25">
      <c r="A1882" s="4" t="s">
        <v>1912</v>
      </c>
      <c r="B1882" s="16" t="str">
        <f t="shared" si="143"/>
        <v>M/s SHREE VISHNU MINERALS</v>
      </c>
      <c r="C1882" s="16" t="str">
        <f t="shared" si="144"/>
        <v>Mokha Charnan / Kolayat / Bikaner</v>
      </c>
      <c r="D1882" s="4" t="s">
        <v>3035</v>
      </c>
      <c r="E1882" s="4" t="s">
        <v>3119</v>
      </c>
      <c r="F1882" s="5">
        <v>46041.999664351853</v>
      </c>
      <c r="G1882" s="16" t="str">
        <f t="shared" si="145"/>
        <v>Silica Sand</v>
      </c>
      <c r="H1882" s="4" t="s">
        <v>2611</v>
      </c>
      <c r="I1882" s="18" t="str" cm="1">
        <f t="array" ref="I1882">_xlfn.LET(_xlpm.text, D1882,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2" s="18" t="str" cm="1">
        <f t="array" ref="J1882">_xlfn.LET(_xlpm.text, E1882,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2" s="14">
        <f t="shared" si="146"/>
        <v>46042</v>
      </c>
      <c r="L1882" s="14">
        <f t="shared" si="147"/>
        <v>46042.624664351853</v>
      </c>
      <c r="N1882" s="12"/>
    </row>
    <row r="1883" spans="1:14" x14ac:dyDescent="0.25">
      <c r="A1883" s="4" t="s">
        <v>1913</v>
      </c>
      <c r="B1883" s="16" t="str">
        <f t="shared" si="143"/>
        <v>M/s SHREE VISHNU MINERALS</v>
      </c>
      <c r="C1883" s="16" t="str">
        <f t="shared" si="144"/>
        <v>Mokha Charnan / Kolayat / Bikaner</v>
      </c>
      <c r="D1883" s="4" t="s">
        <v>3035</v>
      </c>
      <c r="E1883" s="4" t="s">
        <v>3119</v>
      </c>
      <c r="F1883" s="5">
        <v>46038.999664351853</v>
      </c>
      <c r="G1883" s="16" t="str">
        <f t="shared" si="145"/>
        <v>Silica Sand</v>
      </c>
      <c r="H1883" s="4" t="s">
        <v>2611</v>
      </c>
      <c r="I1883" s="18" t="str" cm="1">
        <f t="array" ref="I1883">_xlfn.LET(_xlpm.text, D1883,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3" s="18" t="str" cm="1">
        <f t="array" ref="J1883">_xlfn.LET(_xlpm.text, E1883,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3" s="14">
        <f t="shared" si="146"/>
        <v>46039</v>
      </c>
      <c r="L1883" s="14">
        <f t="shared" si="147"/>
        <v>46039.624664351853</v>
      </c>
      <c r="N1883" s="12"/>
    </row>
    <row r="1884" spans="1:14" x14ac:dyDescent="0.25">
      <c r="A1884" s="4" t="s">
        <v>1914</v>
      </c>
      <c r="B1884" s="16" t="str">
        <f t="shared" si="143"/>
        <v>M/s SHREE VISHNU MINERALS</v>
      </c>
      <c r="C1884" s="16" t="str">
        <f t="shared" si="144"/>
        <v>Mokha Charnan / Kolayat / Bikaner</v>
      </c>
      <c r="D1884" s="4" t="s">
        <v>3035</v>
      </c>
      <c r="E1884" s="4" t="s">
        <v>3119</v>
      </c>
      <c r="F1884" s="5">
        <v>46036.999664351853</v>
      </c>
      <c r="G1884" s="16" t="str">
        <f t="shared" si="145"/>
        <v>Silica Sand</v>
      </c>
      <c r="H1884" s="4" t="s">
        <v>2617</v>
      </c>
      <c r="I1884" s="18" t="str" cm="1">
        <f t="array" ref="I1884">_xlfn.LET(_xlpm.text, D1884,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4" s="18" t="str" cm="1">
        <f t="array" ref="J1884">_xlfn.LET(_xlpm.text, E1884,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4" s="14">
        <f t="shared" si="146"/>
        <v>46037</v>
      </c>
      <c r="L1884" s="14">
        <f t="shared" si="147"/>
        <v>46037.624664351853</v>
      </c>
      <c r="N1884" s="12"/>
    </row>
    <row r="1885" spans="1:14" x14ac:dyDescent="0.25">
      <c r="A1885" s="4" t="s">
        <v>1915</v>
      </c>
      <c r="B1885" s="16" t="str">
        <f t="shared" si="143"/>
        <v>M/s SHREE VISHNU MINERALS</v>
      </c>
      <c r="C1885" s="16" t="str">
        <f t="shared" si="144"/>
        <v>Mokha Charnan / Kolayat / Bikaner</v>
      </c>
      <c r="D1885" s="4" t="s">
        <v>3035</v>
      </c>
      <c r="E1885" s="4" t="s">
        <v>3119</v>
      </c>
      <c r="F1885" s="5">
        <v>46035.999664351853</v>
      </c>
      <c r="G1885" s="16" t="str">
        <f t="shared" si="145"/>
        <v>Silica Sand</v>
      </c>
      <c r="H1885" s="4" t="s">
        <v>2611</v>
      </c>
      <c r="I1885" s="18" t="str" cm="1">
        <f t="array" ref="I1885">_xlfn.LET(_xlpm.text, D1885,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5" s="18" t="str" cm="1">
        <f t="array" ref="J1885">_xlfn.LET(_xlpm.text, E1885,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5" s="14">
        <f t="shared" si="146"/>
        <v>46036</v>
      </c>
      <c r="L1885" s="14">
        <f t="shared" si="147"/>
        <v>46036.624664351853</v>
      </c>
      <c r="N1885" s="12"/>
    </row>
    <row r="1886" spans="1:14" x14ac:dyDescent="0.25">
      <c r="A1886" s="4" t="s">
        <v>1916</v>
      </c>
      <c r="B1886" s="16" t="str">
        <f t="shared" si="143"/>
        <v>M/s SHREE VISHNU MINERALS</v>
      </c>
      <c r="C1886" s="16" t="str">
        <f t="shared" si="144"/>
        <v>Mokha Charnan / Kolayat / Bikaner</v>
      </c>
      <c r="D1886" s="4" t="s">
        <v>3035</v>
      </c>
      <c r="E1886" s="4" t="s">
        <v>3119</v>
      </c>
      <c r="F1886" s="5">
        <v>46034.999664351853</v>
      </c>
      <c r="G1886" s="16" t="str">
        <f t="shared" si="145"/>
        <v>Silica Sand</v>
      </c>
      <c r="H1886" s="4" t="s">
        <v>2611</v>
      </c>
      <c r="I1886" s="18" t="str" cm="1">
        <f t="array" ref="I1886">_xlfn.LET(_xlpm.text, D1886,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6" s="18" t="str" cm="1">
        <f t="array" ref="J1886">_xlfn.LET(_xlpm.text, E1886,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6" s="14">
        <f t="shared" si="146"/>
        <v>46035</v>
      </c>
      <c r="L1886" s="14">
        <f t="shared" si="147"/>
        <v>46035.624664351853</v>
      </c>
      <c r="N1886" s="12"/>
    </row>
    <row r="1887" spans="1:14" x14ac:dyDescent="0.25">
      <c r="A1887" s="4" t="s">
        <v>1917</v>
      </c>
      <c r="B1887" s="16" t="str">
        <f t="shared" si="143"/>
        <v>M/s SHREE VISHNU MINERALS</v>
      </c>
      <c r="C1887" s="16" t="str">
        <f t="shared" si="144"/>
        <v>Mokha Charnan / Kolayat / Bikaner</v>
      </c>
      <c r="D1887" s="4" t="s">
        <v>3035</v>
      </c>
      <c r="E1887" s="4" t="s">
        <v>3119</v>
      </c>
      <c r="F1887" s="5">
        <v>46033.999664351853</v>
      </c>
      <c r="G1887" s="16" t="str">
        <f t="shared" si="145"/>
        <v>Silica Sand</v>
      </c>
      <c r="H1887" s="4" t="s">
        <v>2611</v>
      </c>
      <c r="I1887" s="18" t="str" cm="1">
        <f t="array" ref="I1887">_xlfn.LET(_xlpm.text, D1887,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7" s="18" t="str" cm="1">
        <f t="array" ref="J1887">_xlfn.LET(_xlpm.text, E1887,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7" s="14">
        <f t="shared" si="146"/>
        <v>46034</v>
      </c>
      <c r="L1887" s="14">
        <f t="shared" si="147"/>
        <v>46034.624664351853</v>
      </c>
      <c r="N1887" s="12"/>
    </row>
    <row r="1888" spans="1:14" x14ac:dyDescent="0.25">
      <c r="A1888" s="4" t="s">
        <v>1918</v>
      </c>
      <c r="B1888" s="16" t="str">
        <f t="shared" si="143"/>
        <v>M/s SHREE VISHNU MINERALS</v>
      </c>
      <c r="C1888" s="16" t="str">
        <f t="shared" si="144"/>
        <v>Mokha Charnan / Kolayat / Bikaner</v>
      </c>
      <c r="D1888" s="4" t="s">
        <v>3035</v>
      </c>
      <c r="E1888" s="4" t="s">
        <v>3119</v>
      </c>
      <c r="F1888" s="5">
        <v>46032.999664351853</v>
      </c>
      <c r="G1888" s="16" t="str">
        <f t="shared" si="145"/>
        <v>Silica Sand</v>
      </c>
      <c r="H1888" s="4" t="s">
        <v>2617</v>
      </c>
      <c r="I1888" s="18" t="str" cm="1">
        <f t="array" ref="I1888">_xlfn.LET(_xlpm.text, D1888,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8" s="18" t="str" cm="1">
        <f t="array" ref="J1888">_xlfn.LET(_xlpm.text, E1888,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8" s="14">
        <f t="shared" si="146"/>
        <v>46033</v>
      </c>
      <c r="L1888" s="14">
        <f t="shared" si="147"/>
        <v>46033.624664351853</v>
      </c>
      <c r="N1888" s="12"/>
    </row>
    <row r="1889" spans="1:14" x14ac:dyDescent="0.25">
      <c r="A1889" s="4" t="s">
        <v>1919</v>
      </c>
      <c r="B1889" s="16" t="str">
        <f t="shared" si="143"/>
        <v>M/s SHREE VISHNU MINERALS</v>
      </c>
      <c r="C1889" s="16" t="str">
        <f t="shared" si="144"/>
        <v>Mokha Charnan / Kolayat / Bikaner</v>
      </c>
      <c r="D1889" s="4" t="s">
        <v>3035</v>
      </c>
      <c r="E1889" s="4" t="s">
        <v>3119</v>
      </c>
      <c r="F1889" s="5">
        <v>46025.999664351853</v>
      </c>
      <c r="G1889" s="16" t="str">
        <f t="shared" si="145"/>
        <v>Silica Sand</v>
      </c>
      <c r="H1889" s="4" t="s">
        <v>2611</v>
      </c>
      <c r="I1889" s="18" t="str" cm="1">
        <f t="array" ref="I1889">_xlfn.LET(_xlpm.text, D1889,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89" s="18" t="str" cm="1">
        <f t="array" ref="J1889">_xlfn.LET(_xlpm.text, E1889,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89" s="14">
        <f t="shared" si="146"/>
        <v>46026</v>
      </c>
      <c r="L1889" s="14">
        <f t="shared" si="147"/>
        <v>46026.624664351853</v>
      </c>
      <c r="N1889" s="12"/>
    </row>
    <row r="1890" spans="1:14" x14ac:dyDescent="0.25">
      <c r="A1890" s="4" t="s">
        <v>1920</v>
      </c>
      <c r="B1890" s="16" t="str">
        <f t="shared" si="143"/>
        <v>M/s SHREE VISHNU MINERALS</v>
      </c>
      <c r="C1890" s="16" t="str">
        <f t="shared" si="144"/>
        <v>Mokha Charnan / Kolayat / Bikaner</v>
      </c>
      <c r="D1890" s="4" t="s">
        <v>3035</v>
      </c>
      <c r="E1890" s="4" t="s">
        <v>3119</v>
      </c>
      <c r="F1890" s="5">
        <v>46028.999664351853</v>
      </c>
      <c r="G1890" s="16" t="str">
        <f t="shared" si="145"/>
        <v>Silica Sand</v>
      </c>
      <c r="H1890" s="4" t="s">
        <v>2611</v>
      </c>
      <c r="I1890" s="18" t="str" cm="1">
        <f t="array" ref="I1890">_xlfn.LET(_xlpm.text, D1890,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90" s="18" t="str" cm="1">
        <f t="array" ref="J1890">_xlfn.LET(_xlpm.text, E1890,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0" s="14">
        <f t="shared" si="146"/>
        <v>46029</v>
      </c>
      <c r="L1890" s="14">
        <f t="shared" si="147"/>
        <v>46029.624664351853</v>
      </c>
      <c r="N1890" s="12"/>
    </row>
    <row r="1891" spans="1:14" x14ac:dyDescent="0.25">
      <c r="A1891" s="4" t="s">
        <v>1921</v>
      </c>
      <c r="B1891" s="16" t="str">
        <f t="shared" si="143"/>
        <v>M/s SHREE VISHNU MINERALS</v>
      </c>
      <c r="C1891" s="16" t="str">
        <f t="shared" si="144"/>
        <v>Mokha Charnan / Kolayat / Bikaner</v>
      </c>
      <c r="D1891" s="4" t="s">
        <v>3035</v>
      </c>
      <c r="E1891" s="4" t="s">
        <v>3119</v>
      </c>
      <c r="F1891" s="5">
        <v>46022.999664351853</v>
      </c>
      <c r="G1891" s="16" t="str">
        <f t="shared" si="145"/>
        <v>Silica Sand</v>
      </c>
      <c r="H1891" s="4" t="s">
        <v>2611</v>
      </c>
      <c r="I1891" s="18" t="str" cm="1">
        <f t="array" ref="I1891">_xlfn.LET(_xlpm.text, D1891,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91" s="18" t="str" cm="1">
        <f t="array" ref="J1891">_xlfn.LET(_xlpm.text, E1891,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1" s="14">
        <f t="shared" si="146"/>
        <v>46023</v>
      </c>
      <c r="L1891" s="14">
        <f t="shared" si="147"/>
        <v>46023.624664351853</v>
      </c>
      <c r="N1891" s="12"/>
    </row>
    <row r="1892" spans="1:14" x14ac:dyDescent="0.25">
      <c r="A1892" s="4" t="s">
        <v>1922</v>
      </c>
      <c r="B1892" s="16" t="str">
        <f t="shared" si="143"/>
        <v>M/s SHREE VISHNU MINERALS</v>
      </c>
      <c r="C1892" s="16" t="str">
        <f t="shared" si="144"/>
        <v>Mokha Charnan / Kolayat / Bikaner</v>
      </c>
      <c r="D1892" s="4" t="s">
        <v>3035</v>
      </c>
      <c r="E1892" s="4" t="s">
        <v>3119</v>
      </c>
      <c r="F1892" s="5">
        <v>46023.999664351853</v>
      </c>
      <c r="G1892" s="16" t="str">
        <f t="shared" si="145"/>
        <v>Silica Sand</v>
      </c>
      <c r="H1892" s="4" t="s">
        <v>2611</v>
      </c>
      <c r="I1892" s="18" t="str" cm="1">
        <f t="array" ref="I1892">_xlfn.LET(_xlpm.text, D1892,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92" s="18" t="str" cm="1">
        <f t="array" ref="J1892">_xlfn.LET(_xlpm.text, E1892,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2" s="14">
        <f t="shared" si="146"/>
        <v>46024</v>
      </c>
      <c r="L1892" s="14">
        <f t="shared" si="147"/>
        <v>46024.624664351853</v>
      </c>
      <c r="N1892" s="12"/>
    </row>
    <row r="1893" spans="1:14" x14ac:dyDescent="0.25">
      <c r="A1893" s="4" t="s">
        <v>1923</v>
      </c>
      <c r="B1893" s="16" t="str">
        <f t="shared" si="143"/>
        <v>M/s SHREE VISHNU MINERALS</v>
      </c>
      <c r="C1893" s="16" t="str">
        <f t="shared" si="144"/>
        <v>Mokha Charnan / Kolayat / Bikaner</v>
      </c>
      <c r="D1893" s="4" t="s">
        <v>3035</v>
      </c>
      <c r="E1893" s="4" t="s">
        <v>3119</v>
      </c>
      <c r="F1893" s="5">
        <v>46024.999664351853</v>
      </c>
      <c r="G1893" s="16" t="str">
        <f t="shared" si="145"/>
        <v>Silica Sand</v>
      </c>
      <c r="H1893" s="4" t="s">
        <v>2961</v>
      </c>
      <c r="I1893" s="18" t="str" cm="1">
        <f t="array" ref="I1893">_xlfn.LET(_xlpm.text, D1893,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893" s="18" t="str" cm="1">
        <f t="array" ref="J1893">_xlfn.LET(_xlpm.text, E1893,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3" s="14">
        <f t="shared" si="146"/>
        <v>46025</v>
      </c>
      <c r="L1893" s="14">
        <f t="shared" si="147"/>
        <v>46025.624664351853</v>
      </c>
      <c r="N1893" s="12"/>
    </row>
    <row r="1894" spans="1:14" x14ac:dyDescent="0.25">
      <c r="A1894" s="4" t="s">
        <v>1924</v>
      </c>
      <c r="B1894" s="16" t="str">
        <f t="shared" si="143"/>
        <v>M/s SHREE VISHNU MINERALS</v>
      </c>
      <c r="C1894" s="16" t="str">
        <f t="shared" si="144"/>
        <v>Mokha Charnan / Kolayat / Bikaner</v>
      </c>
      <c r="D1894" s="4" t="s">
        <v>3032</v>
      </c>
      <c r="E1894" s="4" t="s">
        <v>3119</v>
      </c>
      <c r="F1894" s="5">
        <v>46056.999664351853</v>
      </c>
      <c r="G1894" s="16" t="str">
        <f t="shared" si="145"/>
        <v>Silica Sand</v>
      </c>
      <c r="H1894" s="4" t="s">
        <v>2661</v>
      </c>
      <c r="I1894" s="18" t="str" cm="1">
        <f t="array" ref="I1894">_xlfn.LET(_xlpm.text, D1894,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94" s="18" t="str" cm="1">
        <f t="array" ref="J1894">_xlfn.LET(_xlpm.text, E1894,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4" s="14">
        <f t="shared" si="146"/>
        <v>46057</v>
      </c>
      <c r="L1894" s="14">
        <f t="shared" si="147"/>
        <v>46057.624664351853</v>
      </c>
      <c r="N1894" s="12"/>
    </row>
    <row r="1895" spans="1:14" x14ac:dyDescent="0.25">
      <c r="A1895" s="4" t="s">
        <v>1925</v>
      </c>
      <c r="B1895" s="16" t="str">
        <f t="shared" si="143"/>
        <v>M/s SHREE VISHNU MINERALS</v>
      </c>
      <c r="C1895" s="16" t="str">
        <f t="shared" si="144"/>
        <v>Mokha Charnan / Kolayat / Bikaner</v>
      </c>
      <c r="D1895" s="4" t="s">
        <v>3032</v>
      </c>
      <c r="E1895" s="4" t="s">
        <v>3119</v>
      </c>
      <c r="F1895" s="5">
        <v>46051.999664351853</v>
      </c>
      <c r="G1895" s="16" t="str">
        <f t="shared" si="145"/>
        <v>Silica Sand</v>
      </c>
      <c r="H1895" s="4" t="s">
        <v>2661</v>
      </c>
      <c r="I1895" s="18" t="str" cm="1">
        <f t="array" ref="I1895">_xlfn.LET(_xlpm.text, D1895,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95" s="18" t="str" cm="1">
        <f t="array" ref="J1895">_xlfn.LET(_xlpm.text, E1895,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5" s="14">
        <f t="shared" si="146"/>
        <v>46052</v>
      </c>
      <c r="L1895" s="14">
        <f t="shared" si="147"/>
        <v>46052.624664351853</v>
      </c>
      <c r="N1895" s="12"/>
    </row>
    <row r="1896" spans="1:14" x14ac:dyDescent="0.25">
      <c r="A1896" s="4" t="s">
        <v>1926</v>
      </c>
      <c r="B1896" s="16" t="str">
        <f t="shared" si="143"/>
        <v>M/s SHREE VISHNU MINERALS</v>
      </c>
      <c r="C1896" s="16" t="str">
        <f t="shared" si="144"/>
        <v>Mokha Charnan / Kolayat / Bikaner</v>
      </c>
      <c r="D1896" s="4" t="s">
        <v>3032</v>
      </c>
      <c r="E1896" s="4" t="s">
        <v>3119</v>
      </c>
      <c r="F1896" s="5">
        <v>46052.999664351853</v>
      </c>
      <c r="G1896" s="16" t="str">
        <f t="shared" si="145"/>
        <v>Silica Sand</v>
      </c>
      <c r="H1896" s="4" t="s">
        <v>2661</v>
      </c>
      <c r="I1896" s="18" t="str" cm="1">
        <f t="array" ref="I1896">_xlfn.LET(_xlpm.text, D1896,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96" s="18" t="str" cm="1">
        <f t="array" ref="J1896">_xlfn.LET(_xlpm.text, E1896,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6" s="14">
        <f t="shared" si="146"/>
        <v>46053</v>
      </c>
      <c r="L1896" s="14">
        <f t="shared" si="147"/>
        <v>46053.624664351853</v>
      </c>
      <c r="N1896" s="12"/>
    </row>
    <row r="1897" spans="1:14" x14ac:dyDescent="0.25">
      <c r="A1897" s="4" t="s">
        <v>1927</v>
      </c>
      <c r="B1897" s="16" t="str">
        <f t="shared" si="143"/>
        <v>M/s SHREE VISHNU MINERALS</v>
      </c>
      <c r="C1897" s="16" t="str">
        <f t="shared" si="144"/>
        <v>Mokha Charnan / Kolayat / Bikaner</v>
      </c>
      <c r="D1897" s="4" t="s">
        <v>3032</v>
      </c>
      <c r="E1897" s="4" t="s">
        <v>3119</v>
      </c>
      <c r="F1897" s="5">
        <v>46055.999664351853</v>
      </c>
      <c r="G1897" s="16" t="str">
        <f t="shared" si="145"/>
        <v>Silica Sand</v>
      </c>
      <c r="H1897" s="4" t="s">
        <v>2661</v>
      </c>
      <c r="I1897" s="18" t="str" cm="1">
        <f t="array" ref="I1897">_xlfn.LET(_xlpm.text, D1897,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97" s="18" t="str" cm="1">
        <f t="array" ref="J1897">_xlfn.LET(_xlpm.text, E1897,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7" s="14">
        <f t="shared" si="146"/>
        <v>46056</v>
      </c>
      <c r="L1897" s="14">
        <f t="shared" si="147"/>
        <v>46056.624664351853</v>
      </c>
      <c r="N1897" s="12"/>
    </row>
    <row r="1898" spans="1:14" x14ac:dyDescent="0.25">
      <c r="A1898" s="4" t="s">
        <v>1928</v>
      </c>
      <c r="B1898" s="16" t="str">
        <f t="shared" si="143"/>
        <v>M/s SHREE VISHNU MINERALS</v>
      </c>
      <c r="C1898" s="16" t="str">
        <f t="shared" si="144"/>
        <v>Mokha Charnan / Kolayat / Bikaner</v>
      </c>
      <c r="D1898" s="4" t="s">
        <v>3032</v>
      </c>
      <c r="E1898" s="4" t="s">
        <v>3119</v>
      </c>
      <c r="F1898" s="5">
        <v>46054.999664351853</v>
      </c>
      <c r="G1898" s="16" t="str">
        <f t="shared" si="145"/>
        <v>Silica Sand</v>
      </c>
      <c r="H1898" s="4" t="s">
        <v>2926</v>
      </c>
      <c r="I1898" s="18" t="str" cm="1">
        <f t="array" ref="I1898">_xlfn.LET(_xlpm.text, D1898,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98" s="18" t="str" cm="1">
        <f t="array" ref="J1898">_xlfn.LET(_xlpm.text, E1898,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8" s="14">
        <f t="shared" si="146"/>
        <v>46055</v>
      </c>
      <c r="L1898" s="14">
        <f t="shared" si="147"/>
        <v>46055.624664351853</v>
      </c>
      <c r="N1898" s="12"/>
    </row>
    <row r="1899" spans="1:14" x14ac:dyDescent="0.25">
      <c r="A1899" s="4" t="s">
        <v>1929</v>
      </c>
      <c r="B1899" s="16" t="str">
        <f t="shared" si="143"/>
        <v>M/s SHREE VISHNU MINERALS</v>
      </c>
      <c r="C1899" s="16" t="str">
        <f t="shared" si="144"/>
        <v>Mokha Charnan / Kolayat / Bikaner</v>
      </c>
      <c r="D1899" s="4" t="s">
        <v>3032</v>
      </c>
      <c r="E1899" s="4" t="s">
        <v>3119</v>
      </c>
      <c r="F1899" s="5">
        <v>46054.999664351853</v>
      </c>
      <c r="G1899" s="16" t="str">
        <f t="shared" si="145"/>
        <v>Silica Sand</v>
      </c>
      <c r="H1899" s="4" t="s">
        <v>344</v>
      </c>
      <c r="I1899" s="18" t="str" cm="1">
        <f t="array" ref="I1899">_xlfn.LET(_xlpm.text, D1899,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899" s="18" t="str" cm="1">
        <f t="array" ref="J1899">_xlfn.LET(_xlpm.text, E1899,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899" s="14">
        <f t="shared" si="146"/>
        <v>46055</v>
      </c>
      <c r="L1899" s="14">
        <f t="shared" si="147"/>
        <v>46055.624664351853</v>
      </c>
      <c r="N1899" s="12"/>
    </row>
    <row r="1900" spans="1:14" x14ac:dyDescent="0.25">
      <c r="A1900" s="4" t="s">
        <v>1930</v>
      </c>
      <c r="B1900" s="16" t="str">
        <f t="shared" si="143"/>
        <v>M/s SHREE VISHNU MINERALS</v>
      </c>
      <c r="C1900" s="16" t="str">
        <f t="shared" si="144"/>
        <v>Mokha Charnan / Kolayat / Bikaner</v>
      </c>
      <c r="D1900" s="4" t="s">
        <v>3032</v>
      </c>
      <c r="E1900" s="4" t="s">
        <v>3119</v>
      </c>
      <c r="F1900" s="5">
        <v>46054.999664351853</v>
      </c>
      <c r="G1900" s="16" t="str">
        <f t="shared" si="145"/>
        <v>Silica Sand</v>
      </c>
      <c r="H1900" s="4" t="s">
        <v>2926</v>
      </c>
      <c r="I1900" s="18" t="str" cm="1">
        <f t="array" ref="I1900">_xlfn.LET(_xlpm.text, D1900,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0" s="18" t="str" cm="1">
        <f t="array" ref="J1900">_xlfn.LET(_xlpm.text, E1900,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0" s="14">
        <f t="shared" si="146"/>
        <v>46055</v>
      </c>
      <c r="L1900" s="14">
        <f t="shared" si="147"/>
        <v>46055.624664351853</v>
      </c>
      <c r="N1900" s="12"/>
    </row>
    <row r="1901" spans="1:14" x14ac:dyDescent="0.25">
      <c r="A1901" s="4" t="s">
        <v>1931</v>
      </c>
      <c r="B1901" s="16" t="str">
        <f t="shared" si="143"/>
        <v>M/s SHREE VISHNU MINERALS</v>
      </c>
      <c r="C1901" s="16" t="str">
        <f t="shared" si="144"/>
        <v>Mokha Charnan / Kolayat / Bikaner</v>
      </c>
      <c r="D1901" s="4" t="s">
        <v>3032</v>
      </c>
      <c r="E1901" s="4" t="s">
        <v>3119</v>
      </c>
      <c r="F1901" s="5">
        <v>46054.999664351853</v>
      </c>
      <c r="G1901" s="16" t="str">
        <f t="shared" si="145"/>
        <v>Silica Sand</v>
      </c>
      <c r="H1901" s="4" t="s">
        <v>412</v>
      </c>
      <c r="I1901" s="18" t="str" cm="1">
        <f t="array" ref="I1901">_xlfn.LET(_xlpm.text, D1901,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1" s="18" t="str" cm="1">
        <f t="array" ref="J1901">_xlfn.LET(_xlpm.text, E1901,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1" s="14">
        <f t="shared" si="146"/>
        <v>46055</v>
      </c>
      <c r="L1901" s="14">
        <f t="shared" si="147"/>
        <v>46055.624664351853</v>
      </c>
      <c r="N1901" s="12"/>
    </row>
    <row r="1902" spans="1:14" x14ac:dyDescent="0.25">
      <c r="A1902" s="4" t="s">
        <v>1932</v>
      </c>
      <c r="B1902" s="16" t="str">
        <f t="shared" si="143"/>
        <v>M/s SHREE VISHNU MINERALS</v>
      </c>
      <c r="C1902" s="16" t="str">
        <f t="shared" si="144"/>
        <v>Mokha Charnan / Kolayat / Bikaner</v>
      </c>
      <c r="D1902" s="4" t="s">
        <v>3032</v>
      </c>
      <c r="E1902" s="4" t="s">
        <v>3119</v>
      </c>
      <c r="F1902" s="5">
        <v>46054.999664351853</v>
      </c>
      <c r="G1902" s="16" t="str">
        <f t="shared" si="145"/>
        <v>Silica Sand</v>
      </c>
      <c r="H1902" s="4" t="s">
        <v>2766</v>
      </c>
      <c r="I1902" s="18" t="str" cm="1">
        <f t="array" ref="I1902">_xlfn.LET(_xlpm.text, D1902,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2" s="18" t="str" cm="1">
        <f t="array" ref="J1902">_xlfn.LET(_xlpm.text, E1902,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2" s="14">
        <f t="shared" si="146"/>
        <v>46055</v>
      </c>
      <c r="L1902" s="14">
        <f t="shared" si="147"/>
        <v>46055.624664351853</v>
      </c>
      <c r="N1902" s="12"/>
    </row>
    <row r="1903" spans="1:14" x14ac:dyDescent="0.25">
      <c r="A1903" s="4" t="s">
        <v>1933</v>
      </c>
      <c r="B1903" s="16" t="str">
        <f t="shared" si="143"/>
        <v>M/s SHREE VISHNU MINERALS</v>
      </c>
      <c r="C1903" s="16" t="str">
        <f t="shared" si="144"/>
        <v>Mokha Charnan / Kolayat / Bikaner</v>
      </c>
      <c r="D1903" s="4" t="s">
        <v>3032</v>
      </c>
      <c r="E1903" s="4" t="s">
        <v>3119</v>
      </c>
      <c r="F1903" s="5">
        <v>46053.999664351853</v>
      </c>
      <c r="G1903" s="16" t="str">
        <f t="shared" si="145"/>
        <v>Silica Sand</v>
      </c>
      <c r="H1903" s="4" t="s">
        <v>2611</v>
      </c>
      <c r="I1903" s="18" t="str" cm="1">
        <f t="array" ref="I1903">_xlfn.LET(_xlpm.text, D1903,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3" s="18" t="str" cm="1">
        <f t="array" ref="J1903">_xlfn.LET(_xlpm.text, E1903,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3" s="14">
        <f t="shared" si="146"/>
        <v>46054</v>
      </c>
      <c r="L1903" s="14">
        <f t="shared" si="147"/>
        <v>46054.624664351853</v>
      </c>
      <c r="N1903" s="12"/>
    </row>
    <row r="1904" spans="1:14" x14ac:dyDescent="0.25">
      <c r="A1904" s="4" t="s">
        <v>1934</v>
      </c>
      <c r="B1904" s="16" t="str">
        <f t="shared" si="143"/>
        <v>M/s SHREE VISHNU MINERALS</v>
      </c>
      <c r="C1904" s="16" t="str">
        <f t="shared" si="144"/>
        <v>Mokha Charnan / Kolayat / Bikaner</v>
      </c>
      <c r="D1904" s="4" t="s">
        <v>3032</v>
      </c>
      <c r="E1904" s="4" t="s">
        <v>3119</v>
      </c>
      <c r="F1904" s="5">
        <v>46052.999664351853</v>
      </c>
      <c r="G1904" s="16" t="str">
        <f t="shared" si="145"/>
        <v>Silica Sand</v>
      </c>
      <c r="H1904" s="4" t="s">
        <v>2912</v>
      </c>
      <c r="I1904" s="18" t="str" cm="1">
        <f t="array" ref="I1904">_xlfn.LET(_xlpm.text, D1904,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4" s="18" t="str" cm="1">
        <f t="array" ref="J1904">_xlfn.LET(_xlpm.text, E1904,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4" s="14">
        <f t="shared" si="146"/>
        <v>46053</v>
      </c>
      <c r="L1904" s="14">
        <f t="shared" si="147"/>
        <v>46053.624664351853</v>
      </c>
      <c r="N1904" s="12"/>
    </row>
    <row r="1905" spans="1:14" x14ac:dyDescent="0.25">
      <c r="A1905" s="4" t="s">
        <v>1935</v>
      </c>
      <c r="B1905" s="16" t="str">
        <f t="shared" si="143"/>
        <v>M/s SHREE VISHNU MINERALS</v>
      </c>
      <c r="C1905" s="16" t="str">
        <f t="shared" si="144"/>
        <v>Mokha Charnan / Kolayat / Bikaner</v>
      </c>
      <c r="D1905" s="4" t="s">
        <v>3032</v>
      </c>
      <c r="E1905" s="4" t="s">
        <v>3119</v>
      </c>
      <c r="F1905" s="5">
        <v>46052.999664351853</v>
      </c>
      <c r="G1905" s="16" t="str">
        <f t="shared" si="145"/>
        <v>Silica Sand</v>
      </c>
      <c r="H1905" s="4" t="s">
        <v>2926</v>
      </c>
      <c r="I1905" s="18" t="str" cm="1">
        <f t="array" ref="I1905">_xlfn.LET(_xlpm.text, D1905,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5" s="18" t="str" cm="1">
        <f t="array" ref="J1905">_xlfn.LET(_xlpm.text, E1905,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5" s="14">
        <f t="shared" si="146"/>
        <v>46053</v>
      </c>
      <c r="L1905" s="14">
        <f t="shared" si="147"/>
        <v>46053.624664351853</v>
      </c>
      <c r="N1905" s="12"/>
    </row>
    <row r="1906" spans="1:14" x14ac:dyDescent="0.25">
      <c r="A1906" s="4" t="s">
        <v>1936</v>
      </c>
      <c r="B1906" s="16" t="str">
        <f t="shared" si="143"/>
        <v>M/s SHREE VISHNU MINERALS</v>
      </c>
      <c r="C1906" s="16" t="str">
        <f t="shared" si="144"/>
        <v>Mokha Charnan / Kolayat / Bikaner</v>
      </c>
      <c r="D1906" s="4" t="s">
        <v>3032</v>
      </c>
      <c r="E1906" s="4" t="s">
        <v>3119</v>
      </c>
      <c r="F1906" s="5">
        <v>46052.999664351853</v>
      </c>
      <c r="G1906" s="16" t="str">
        <f t="shared" si="145"/>
        <v>Silica Sand</v>
      </c>
      <c r="H1906" s="4" t="s">
        <v>2315</v>
      </c>
      <c r="I1906" s="18" t="str" cm="1">
        <f t="array" ref="I1906">_xlfn.LET(_xlpm.text, D1906,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6" s="18" t="str" cm="1">
        <f t="array" ref="J1906">_xlfn.LET(_xlpm.text, E1906,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6" s="14">
        <f t="shared" si="146"/>
        <v>46053</v>
      </c>
      <c r="L1906" s="14">
        <f t="shared" si="147"/>
        <v>46053.624664351853</v>
      </c>
      <c r="N1906" s="12"/>
    </row>
    <row r="1907" spans="1:14" x14ac:dyDescent="0.25">
      <c r="A1907" s="4" t="s">
        <v>1937</v>
      </c>
      <c r="B1907" s="16" t="str">
        <f t="shared" si="143"/>
        <v>M/s SHREE VISHNU MINERALS</v>
      </c>
      <c r="C1907" s="16" t="str">
        <f t="shared" si="144"/>
        <v>Mokha Charnan / Kolayat / Bikaner</v>
      </c>
      <c r="D1907" s="4" t="s">
        <v>3032</v>
      </c>
      <c r="E1907" s="4" t="s">
        <v>3119</v>
      </c>
      <c r="F1907" s="5">
        <v>46052.999664351853</v>
      </c>
      <c r="G1907" s="16" t="str">
        <f t="shared" si="145"/>
        <v>Silica Sand</v>
      </c>
      <c r="H1907" s="4" t="s">
        <v>412</v>
      </c>
      <c r="I1907" s="18" t="str" cm="1">
        <f t="array" ref="I1907">_xlfn.LET(_xlpm.text, D1907,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7" s="18" t="str" cm="1">
        <f t="array" ref="J1907">_xlfn.LET(_xlpm.text, E1907,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7" s="14">
        <f t="shared" si="146"/>
        <v>46053</v>
      </c>
      <c r="L1907" s="14">
        <f t="shared" si="147"/>
        <v>46053.624664351853</v>
      </c>
      <c r="N1907" s="12"/>
    </row>
    <row r="1908" spans="1:14" x14ac:dyDescent="0.25">
      <c r="A1908" s="4" t="s">
        <v>1938</v>
      </c>
      <c r="B1908" s="16" t="str">
        <f t="shared" si="143"/>
        <v>M/s SHREE VISHNU MINERALS</v>
      </c>
      <c r="C1908" s="16" t="str">
        <f t="shared" si="144"/>
        <v>Mokha Charnan / Kolayat / Bikaner</v>
      </c>
      <c r="D1908" s="4" t="s">
        <v>3032</v>
      </c>
      <c r="E1908" s="4" t="s">
        <v>3119</v>
      </c>
      <c r="F1908" s="5">
        <v>46052.999664351853</v>
      </c>
      <c r="G1908" s="16" t="str">
        <f t="shared" si="145"/>
        <v>Silica Sand</v>
      </c>
      <c r="H1908" s="4" t="s">
        <v>2918</v>
      </c>
      <c r="I1908" s="18" t="str" cm="1">
        <f t="array" ref="I1908">_xlfn.LET(_xlpm.text, D1908,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8" s="18" t="str" cm="1">
        <f t="array" ref="J1908">_xlfn.LET(_xlpm.text, E1908,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8" s="14">
        <f t="shared" si="146"/>
        <v>46053</v>
      </c>
      <c r="L1908" s="14">
        <f t="shared" si="147"/>
        <v>46053.624664351853</v>
      </c>
      <c r="N1908" s="12"/>
    </row>
    <row r="1909" spans="1:14" x14ac:dyDescent="0.25">
      <c r="A1909" s="4" t="s">
        <v>1939</v>
      </c>
      <c r="B1909" s="16" t="str">
        <f t="shared" si="143"/>
        <v>M/s SHREE VISHNU MINERALS</v>
      </c>
      <c r="C1909" s="16" t="str">
        <f t="shared" si="144"/>
        <v>Mokha Charnan / Kolayat / Bikaner</v>
      </c>
      <c r="D1909" s="4" t="s">
        <v>3032</v>
      </c>
      <c r="E1909" s="4" t="s">
        <v>3119</v>
      </c>
      <c r="F1909" s="5">
        <v>46052.999664351853</v>
      </c>
      <c r="G1909" s="16" t="str">
        <f t="shared" si="145"/>
        <v>Silica Sand</v>
      </c>
      <c r="H1909" s="4" t="s">
        <v>2895</v>
      </c>
      <c r="I1909" s="18" t="str" cm="1">
        <f t="array" ref="I1909">_xlfn.LET(_xlpm.text, D1909,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09" s="18" t="str" cm="1">
        <f t="array" ref="J1909">_xlfn.LET(_xlpm.text, E1909,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09" s="14">
        <f t="shared" si="146"/>
        <v>46053</v>
      </c>
      <c r="L1909" s="14">
        <f t="shared" si="147"/>
        <v>46053.624664351853</v>
      </c>
      <c r="N1909" s="12"/>
    </row>
    <row r="1910" spans="1:14" x14ac:dyDescent="0.25">
      <c r="A1910" s="4" t="s">
        <v>1940</v>
      </c>
      <c r="B1910" s="16" t="str">
        <f t="shared" si="143"/>
        <v>M/s SHREE VISHNU MINERALS</v>
      </c>
      <c r="C1910" s="16" t="str">
        <f t="shared" si="144"/>
        <v>Mokha Charnan / Kolayat / Bikaner</v>
      </c>
      <c r="D1910" s="4" t="s">
        <v>3032</v>
      </c>
      <c r="E1910" s="4" t="s">
        <v>3119</v>
      </c>
      <c r="F1910" s="5">
        <v>46052.999664351853</v>
      </c>
      <c r="G1910" s="16" t="str">
        <f t="shared" si="145"/>
        <v>Silica Sand</v>
      </c>
      <c r="H1910" s="4" t="s">
        <v>2582</v>
      </c>
      <c r="I1910" s="18" t="str" cm="1">
        <f t="array" ref="I1910">_xlfn.LET(_xlpm.text, D1910,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0" s="18" t="str" cm="1">
        <f t="array" ref="J1910">_xlfn.LET(_xlpm.text, E1910,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0" s="14">
        <f t="shared" si="146"/>
        <v>46053</v>
      </c>
      <c r="L1910" s="14">
        <f t="shared" si="147"/>
        <v>46053.624664351853</v>
      </c>
      <c r="N1910" s="12"/>
    </row>
    <row r="1911" spans="1:14" x14ac:dyDescent="0.25">
      <c r="A1911" s="4" t="s">
        <v>1941</v>
      </c>
      <c r="B1911" s="16" t="str">
        <f t="shared" si="143"/>
        <v>M/s SHREE VISHNU MINERALS</v>
      </c>
      <c r="C1911" s="16" t="str">
        <f t="shared" si="144"/>
        <v>Mokha Charnan / Kolayat / Bikaner</v>
      </c>
      <c r="D1911" s="4" t="s">
        <v>3032</v>
      </c>
      <c r="E1911" s="4" t="s">
        <v>3119</v>
      </c>
      <c r="F1911" s="5">
        <v>46046.999664351853</v>
      </c>
      <c r="G1911" s="16" t="str">
        <f t="shared" si="145"/>
        <v>Silica Sand</v>
      </c>
      <c r="H1911" s="4" t="s">
        <v>2661</v>
      </c>
      <c r="I1911" s="18" t="str" cm="1">
        <f t="array" ref="I1911">_xlfn.LET(_xlpm.text, D1911,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1" s="18" t="str" cm="1">
        <f t="array" ref="J1911">_xlfn.LET(_xlpm.text, E1911,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1" s="14">
        <f t="shared" si="146"/>
        <v>46047</v>
      </c>
      <c r="L1911" s="14">
        <f t="shared" si="147"/>
        <v>46047.624664351853</v>
      </c>
      <c r="N1911" s="12"/>
    </row>
    <row r="1912" spans="1:14" x14ac:dyDescent="0.25">
      <c r="A1912" s="4" t="s">
        <v>1942</v>
      </c>
      <c r="B1912" s="16" t="str">
        <f t="shared" si="143"/>
        <v>M/s SHREE VISHNU MINERALS</v>
      </c>
      <c r="C1912" s="16" t="str">
        <f t="shared" si="144"/>
        <v>Mokha Charnan / Kolayat / Bikaner</v>
      </c>
      <c r="D1912" s="4" t="s">
        <v>3032</v>
      </c>
      <c r="E1912" s="4" t="s">
        <v>3119</v>
      </c>
      <c r="F1912" s="5">
        <v>46049.999664351853</v>
      </c>
      <c r="G1912" s="16" t="str">
        <f t="shared" si="145"/>
        <v>Silica Sand</v>
      </c>
      <c r="H1912" s="4" t="s">
        <v>2617</v>
      </c>
      <c r="I1912" s="18" t="str" cm="1">
        <f t="array" ref="I1912">_xlfn.LET(_xlpm.text, D1912,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2" s="18" t="str" cm="1">
        <f t="array" ref="J1912">_xlfn.LET(_xlpm.text, E1912,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2" s="14">
        <f t="shared" si="146"/>
        <v>46050</v>
      </c>
      <c r="L1912" s="14">
        <f t="shared" si="147"/>
        <v>46050.624664351853</v>
      </c>
      <c r="N1912" s="12"/>
    </row>
    <row r="1913" spans="1:14" x14ac:dyDescent="0.25">
      <c r="A1913" s="4" t="s">
        <v>1943</v>
      </c>
      <c r="B1913" s="16" t="str">
        <f t="shared" si="143"/>
        <v>M/s SHREE VISHNU MINERALS</v>
      </c>
      <c r="C1913" s="16" t="str">
        <f t="shared" si="144"/>
        <v>Mokha Charnan / Kolayat / Bikaner</v>
      </c>
      <c r="D1913" s="4" t="s">
        <v>3032</v>
      </c>
      <c r="E1913" s="4" t="s">
        <v>3119</v>
      </c>
      <c r="F1913" s="5">
        <v>46049.999664351853</v>
      </c>
      <c r="G1913" s="16" t="str">
        <f t="shared" si="145"/>
        <v>Silica Sand</v>
      </c>
      <c r="H1913" s="4" t="s">
        <v>2996</v>
      </c>
      <c r="I1913" s="18" t="str" cm="1">
        <f t="array" ref="I1913">_xlfn.LET(_xlpm.text, D1913,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3" s="18" t="str" cm="1">
        <f t="array" ref="J1913">_xlfn.LET(_xlpm.text, E1913,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3" s="14">
        <f t="shared" si="146"/>
        <v>46050</v>
      </c>
      <c r="L1913" s="14">
        <f t="shared" si="147"/>
        <v>46050.624664351853</v>
      </c>
      <c r="N1913" s="12"/>
    </row>
    <row r="1914" spans="1:14" x14ac:dyDescent="0.25">
      <c r="A1914" s="4" t="s">
        <v>1944</v>
      </c>
      <c r="B1914" s="16" t="str">
        <f t="shared" si="143"/>
        <v>M/s SHREE VISHNU MINERALS</v>
      </c>
      <c r="C1914" s="16" t="str">
        <f t="shared" si="144"/>
        <v>Mokha Charnan / Kolayat / Bikaner</v>
      </c>
      <c r="D1914" s="4" t="s">
        <v>3032</v>
      </c>
      <c r="E1914" s="4" t="s">
        <v>3119</v>
      </c>
      <c r="F1914" s="5">
        <v>46051.999664351853</v>
      </c>
      <c r="G1914" s="16" t="str">
        <f t="shared" si="145"/>
        <v>Silica Sand</v>
      </c>
      <c r="H1914" s="4" t="s">
        <v>2997</v>
      </c>
      <c r="I1914" s="18" t="str" cm="1">
        <f t="array" ref="I1914">_xlfn.LET(_xlpm.text, D1914,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4" s="18" t="str" cm="1">
        <f t="array" ref="J1914">_xlfn.LET(_xlpm.text, E1914,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4" s="14">
        <f t="shared" si="146"/>
        <v>46052</v>
      </c>
      <c r="L1914" s="14">
        <f t="shared" si="147"/>
        <v>46052.624664351853</v>
      </c>
      <c r="N1914" s="12"/>
    </row>
    <row r="1915" spans="1:14" x14ac:dyDescent="0.25">
      <c r="A1915" s="4" t="s">
        <v>1945</v>
      </c>
      <c r="B1915" s="16" t="str">
        <f t="shared" si="143"/>
        <v>M/s SHREE VISHNU MINERALS</v>
      </c>
      <c r="C1915" s="16" t="str">
        <f t="shared" si="144"/>
        <v>Mokha Charnan / Kolayat / Bikaner</v>
      </c>
      <c r="D1915" s="4" t="s">
        <v>3032</v>
      </c>
      <c r="E1915" s="4" t="s">
        <v>3119</v>
      </c>
      <c r="F1915" s="5">
        <v>46055.999664351853</v>
      </c>
      <c r="G1915" s="16" t="str">
        <f t="shared" si="145"/>
        <v>Silica Sand</v>
      </c>
      <c r="H1915" s="4" t="s">
        <v>2918</v>
      </c>
      <c r="I1915" s="18" t="str" cm="1">
        <f t="array" ref="I1915">_xlfn.LET(_xlpm.text, D1915,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5" s="18" t="str" cm="1">
        <f t="array" ref="J1915">_xlfn.LET(_xlpm.text, E1915,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5" s="14">
        <f t="shared" si="146"/>
        <v>46056</v>
      </c>
      <c r="L1915" s="14">
        <f t="shared" si="147"/>
        <v>46056.624664351853</v>
      </c>
      <c r="N1915" s="12"/>
    </row>
    <row r="1916" spans="1:14" x14ac:dyDescent="0.25">
      <c r="A1916" s="4" t="s">
        <v>1946</v>
      </c>
      <c r="B1916" s="16" t="str">
        <f t="shared" si="143"/>
        <v>M/s SHREE VISHNU MINERALS</v>
      </c>
      <c r="C1916" s="16" t="str">
        <f t="shared" si="144"/>
        <v>Mokha Charnan / Kolayat / Bikaner</v>
      </c>
      <c r="D1916" s="4" t="s">
        <v>3032</v>
      </c>
      <c r="E1916" s="4" t="s">
        <v>3119</v>
      </c>
      <c r="F1916" s="5">
        <v>46055.999664351853</v>
      </c>
      <c r="G1916" s="16" t="str">
        <f t="shared" si="145"/>
        <v>Silica Sand</v>
      </c>
      <c r="H1916" s="4" t="s">
        <v>2582</v>
      </c>
      <c r="I1916" s="18" t="str" cm="1">
        <f t="array" ref="I1916">_xlfn.LET(_xlpm.text, D1916,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6" s="18" t="str" cm="1">
        <f t="array" ref="J1916">_xlfn.LET(_xlpm.text, E1916,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6" s="14">
        <f t="shared" si="146"/>
        <v>46056</v>
      </c>
      <c r="L1916" s="14">
        <f t="shared" si="147"/>
        <v>46056.624664351853</v>
      </c>
      <c r="N1916" s="12"/>
    </row>
    <row r="1917" spans="1:14" x14ac:dyDescent="0.25">
      <c r="A1917" s="4" t="s">
        <v>1947</v>
      </c>
      <c r="B1917" s="16" t="str">
        <f t="shared" si="143"/>
        <v>M/s SHREE VISHNU MINERALS</v>
      </c>
      <c r="C1917" s="16" t="str">
        <f t="shared" si="144"/>
        <v>Mokha Charnan / Kolayat / Bikaner</v>
      </c>
      <c r="D1917" s="4" t="s">
        <v>3032</v>
      </c>
      <c r="E1917" s="4" t="s">
        <v>3119</v>
      </c>
      <c r="F1917" s="5">
        <v>46058.999664351853</v>
      </c>
      <c r="G1917" s="16" t="str">
        <f t="shared" si="145"/>
        <v>Silica Sand</v>
      </c>
      <c r="H1917" s="4" t="s">
        <v>2869</v>
      </c>
      <c r="I1917" s="18" t="str" cm="1">
        <f t="array" ref="I1917">_xlfn.LET(_xlpm.text, D1917,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17" s="18" t="str" cm="1">
        <f t="array" ref="J1917">_xlfn.LET(_xlpm.text, E1917,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7" s="14">
        <f t="shared" si="146"/>
        <v>46059</v>
      </c>
      <c r="L1917" s="14">
        <f t="shared" si="147"/>
        <v>46059.624664351853</v>
      </c>
      <c r="N1917" s="12"/>
    </row>
    <row r="1918" spans="1:14" x14ac:dyDescent="0.25">
      <c r="A1918" s="4" t="s">
        <v>1948</v>
      </c>
      <c r="B1918" s="16" t="str">
        <f t="shared" si="143"/>
        <v>S.R.MINES AND MINERLS</v>
      </c>
      <c r="C1918" s="16" t="str">
        <f t="shared" si="144"/>
        <v>Indo Ka Bala / Kolayat / Bikaner</v>
      </c>
      <c r="D1918" s="4" t="s">
        <v>3034</v>
      </c>
      <c r="E1918" s="4" t="s">
        <v>3119</v>
      </c>
      <c r="F1918" s="5">
        <v>46031.999664351853</v>
      </c>
      <c r="G1918" s="16" t="str">
        <f t="shared" si="145"/>
        <v>Silica Sand</v>
      </c>
      <c r="H1918" s="4" t="s">
        <v>2998</v>
      </c>
      <c r="I1918" s="18" t="str" cm="1">
        <f t="array" ref="I1918">_xlfn.LET(_xlpm.text, D1918,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18" s="18" t="str" cm="1">
        <f t="array" ref="J1918">_xlfn.LET(_xlpm.text, E1918,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8" s="14">
        <f t="shared" si="146"/>
        <v>46032</v>
      </c>
      <c r="L1918" s="14">
        <f t="shared" si="147"/>
        <v>46032.624664351853</v>
      </c>
      <c r="N1918" s="12"/>
    </row>
    <row r="1919" spans="1:14" x14ac:dyDescent="0.25">
      <c r="A1919" s="4" t="s">
        <v>1949</v>
      </c>
      <c r="B1919" s="16" t="str">
        <f t="shared" si="143"/>
        <v>S.R.MINES AND MINERLS</v>
      </c>
      <c r="C1919" s="16" t="str">
        <f t="shared" si="144"/>
        <v>Indo Ka Bala / Kolayat / Bikaner</v>
      </c>
      <c r="D1919" s="4" t="s">
        <v>3034</v>
      </c>
      <c r="E1919" s="4" t="s">
        <v>3119</v>
      </c>
      <c r="F1919" s="5">
        <v>46041.999664351853</v>
      </c>
      <c r="G1919" s="16" t="str">
        <f t="shared" si="145"/>
        <v>Silica Sand</v>
      </c>
      <c r="H1919" s="4" t="s">
        <v>2999</v>
      </c>
      <c r="I1919" s="18" t="str" cm="1">
        <f t="array" ref="I1919">_xlfn.LET(_xlpm.text, D1919,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19" s="18" t="str" cm="1">
        <f t="array" ref="J1919">_xlfn.LET(_xlpm.text, E1919,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19" s="14">
        <f t="shared" si="146"/>
        <v>46042</v>
      </c>
      <c r="L1919" s="14">
        <f t="shared" si="147"/>
        <v>46042.624664351853</v>
      </c>
      <c r="N1919" s="12"/>
    </row>
    <row r="1920" spans="1:14" x14ac:dyDescent="0.25">
      <c r="A1920" s="4" t="s">
        <v>1950</v>
      </c>
      <c r="B1920" s="16" t="str">
        <f t="shared" si="143"/>
        <v>M/s SHREE VISHNU MINERALS</v>
      </c>
      <c r="C1920" s="16" t="str">
        <f t="shared" si="144"/>
        <v>Mokha Charnan / Kolayat / Bikaner</v>
      </c>
      <c r="D1920" s="4" t="s">
        <v>3034</v>
      </c>
      <c r="E1920" s="4" t="s">
        <v>3119</v>
      </c>
      <c r="F1920" s="5">
        <v>46054.999664351853</v>
      </c>
      <c r="G1920" s="16" t="str">
        <f t="shared" si="145"/>
        <v>Silica Sand</v>
      </c>
      <c r="H1920" s="4" t="s">
        <v>2882</v>
      </c>
      <c r="I1920" s="18" t="str" cm="1">
        <f t="array" ref="I1920">_xlfn.LET(_xlpm.text, D1920,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20" s="18" t="str" cm="1">
        <f t="array" ref="J1920">_xlfn.LET(_xlpm.text, E1920,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0" s="14">
        <f t="shared" si="146"/>
        <v>46055</v>
      </c>
      <c r="L1920" s="14">
        <f t="shared" si="147"/>
        <v>46055.624664351853</v>
      </c>
      <c r="N1920" s="12"/>
    </row>
    <row r="1921" spans="1:14" x14ac:dyDescent="0.25">
      <c r="A1921" s="4" t="s">
        <v>1951</v>
      </c>
      <c r="B1921" s="16" t="str">
        <f t="shared" si="143"/>
        <v>M/s SHREE VISHNU MINERALS</v>
      </c>
      <c r="C1921" s="16" t="str">
        <f t="shared" si="144"/>
        <v>Mokha Charnan / Kolayat / Bikaner</v>
      </c>
      <c r="D1921" s="4" t="s">
        <v>3034</v>
      </c>
      <c r="E1921" s="4" t="s">
        <v>3119</v>
      </c>
      <c r="F1921" s="5">
        <v>46053.999664351853</v>
      </c>
      <c r="G1921" s="16" t="str">
        <f t="shared" si="145"/>
        <v>Silica Sand</v>
      </c>
      <c r="H1921" s="4" t="s">
        <v>2882</v>
      </c>
      <c r="I1921" s="18" t="str" cm="1">
        <f t="array" ref="I1921">_xlfn.LET(_xlpm.text, D1921,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21" s="18" t="str" cm="1">
        <f t="array" ref="J1921">_xlfn.LET(_xlpm.text, E1921,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1" s="14">
        <f t="shared" si="146"/>
        <v>46054</v>
      </c>
      <c r="L1921" s="14">
        <f t="shared" si="147"/>
        <v>46054.624664351853</v>
      </c>
      <c r="N1921" s="12"/>
    </row>
    <row r="1922" spans="1:14" x14ac:dyDescent="0.25">
      <c r="A1922" s="4" t="s">
        <v>1952</v>
      </c>
      <c r="B1922" s="16" t="str">
        <f t="shared" ref="B1922:B1985" si="148">VLOOKUP(LEFT($A1922,4)&amp;"*",$O$3:$R$17, 2, FALSE)</f>
        <v>M/s SHREE VISHNU MINERALS</v>
      </c>
      <c r="C1922" s="16" t="str">
        <f t="shared" ref="C1922:C1985" si="149">VLOOKUP(LEFT($A1922,4)&amp;"*",$O$3:$R$17, 3, FALSE)</f>
        <v>Mokha Charnan / Kolayat / Bikaner</v>
      </c>
      <c r="D1922" s="4" t="s">
        <v>3034</v>
      </c>
      <c r="E1922" s="4" t="s">
        <v>3119</v>
      </c>
      <c r="F1922" s="5">
        <v>46051.999664351853</v>
      </c>
      <c r="G1922" s="16" t="str">
        <f t="shared" ref="G1922:G1985" si="150">VLOOKUP(LEFT($A1922,4)&amp;"*",$O$3:$R$17, 4, FALSE)</f>
        <v>Silica Sand</v>
      </c>
      <c r="H1922" s="4" t="s">
        <v>2882</v>
      </c>
      <c r="I1922" s="18" t="str" cm="1">
        <f t="array" ref="I1922">_xlfn.LET(_xlpm.text, D1922,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22" s="18" t="str" cm="1">
        <f t="array" ref="J1922">_xlfn.LET(_xlpm.text, E1922,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2" s="14">
        <f t="shared" si="146"/>
        <v>46052</v>
      </c>
      <c r="L1922" s="14">
        <f t="shared" si="147"/>
        <v>46052.624664351853</v>
      </c>
      <c r="N1922" s="12"/>
    </row>
    <row r="1923" spans="1:14" x14ac:dyDescent="0.25">
      <c r="A1923" s="4" t="s">
        <v>1953</v>
      </c>
      <c r="B1923" s="16" t="str">
        <f t="shared" si="148"/>
        <v>M/s SHREE VISHNU MINERALS</v>
      </c>
      <c r="C1923" s="16" t="str">
        <f t="shared" si="149"/>
        <v>Mokha Charnan / Kolayat / Bikaner</v>
      </c>
      <c r="D1923" s="4" t="s">
        <v>3034</v>
      </c>
      <c r="E1923" s="4" t="s">
        <v>3119</v>
      </c>
      <c r="F1923" s="5">
        <v>46052.999664351853</v>
      </c>
      <c r="G1923" s="16" t="str">
        <f t="shared" si="150"/>
        <v>Silica Sand</v>
      </c>
      <c r="H1923" s="4" t="s">
        <v>3000</v>
      </c>
      <c r="I1923" s="18" t="str" cm="1">
        <f t="array" ref="I1923">_xlfn.LET(_xlpm.text, D1923,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23" s="18" t="str" cm="1">
        <f t="array" ref="J1923">_xlfn.LET(_xlpm.text, E1923,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3" s="14">
        <f t="shared" ref="K1923:K1986" si="151">F1923+(29/86400)</f>
        <v>46053</v>
      </c>
      <c r="L1923" s="14">
        <f t="shared" ref="L1923:L1986" si="152">F1923+(15/24)</f>
        <v>46053.624664351853</v>
      </c>
      <c r="N1923" s="12"/>
    </row>
    <row r="1924" spans="1:14" x14ac:dyDescent="0.25">
      <c r="A1924" s="4" t="s">
        <v>1954</v>
      </c>
      <c r="B1924" s="16" t="str">
        <f t="shared" si="148"/>
        <v>M/s SHREE VISHNU MINERALS</v>
      </c>
      <c r="C1924" s="16" t="str">
        <f t="shared" si="149"/>
        <v>Mokha Charnan / Kolayat / Bikaner</v>
      </c>
      <c r="D1924" s="4" t="s">
        <v>3032</v>
      </c>
      <c r="E1924" s="4" t="s">
        <v>3119</v>
      </c>
      <c r="F1924" s="5">
        <v>46059.999664351853</v>
      </c>
      <c r="G1924" s="16" t="str">
        <f t="shared" si="150"/>
        <v>Silica Sand</v>
      </c>
      <c r="H1924" s="4" t="s">
        <v>2661</v>
      </c>
      <c r="I1924" s="18" t="str" cm="1">
        <f t="array" ref="I1924">_xlfn.LET(_xlpm.text, D1924,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24" s="18" t="str" cm="1">
        <f t="array" ref="J1924">_xlfn.LET(_xlpm.text, E1924,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4" s="14">
        <f t="shared" si="151"/>
        <v>46060</v>
      </c>
      <c r="L1924" s="14">
        <f t="shared" si="152"/>
        <v>46060.624664351853</v>
      </c>
      <c r="N1924" s="12"/>
    </row>
    <row r="1925" spans="1:14" x14ac:dyDescent="0.25">
      <c r="A1925" s="4" t="s">
        <v>1955</v>
      </c>
      <c r="B1925" s="16" t="str">
        <f t="shared" si="148"/>
        <v>ANIL KUMAR KHICHER</v>
      </c>
      <c r="C1925" s="16" t="str">
        <f t="shared" si="149"/>
        <v>Kishnasar / Nokha / Bikaner</v>
      </c>
      <c r="D1925" s="4" t="s">
        <v>3034</v>
      </c>
      <c r="E1925" s="4" t="s">
        <v>3119</v>
      </c>
      <c r="F1925" s="5">
        <v>45985.999664351853</v>
      </c>
      <c r="G1925" s="16" t="str">
        <f t="shared" si="150"/>
        <v>Silica Sand</v>
      </c>
      <c r="H1925" s="4" t="s">
        <v>2575</v>
      </c>
      <c r="I1925" s="18" t="str" cm="1">
        <f t="array" ref="I1925">_xlfn.LET(_xlpm.text, D1925,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1925" s="18" t="str" cm="1">
        <f t="array" ref="J1925">_xlfn.LET(_xlpm.text, E1925,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5" s="14">
        <f t="shared" si="151"/>
        <v>45986</v>
      </c>
      <c r="L1925" s="14">
        <f t="shared" si="152"/>
        <v>45986.624664351853</v>
      </c>
      <c r="N1925" s="12"/>
    </row>
    <row r="1926" spans="1:14" x14ac:dyDescent="0.25">
      <c r="A1926" s="4" t="s">
        <v>1956</v>
      </c>
      <c r="B1926" s="16" t="str">
        <f t="shared" si="148"/>
        <v>M/s SHREE VISHNU MINERALS</v>
      </c>
      <c r="C1926" s="16" t="str">
        <f t="shared" si="149"/>
        <v>Mokha Charnan / Kolayat / Bikaner</v>
      </c>
      <c r="D1926" s="4" t="s">
        <v>3032</v>
      </c>
      <c r="E1926" s="4" t="s">
        <v>3119</v>
      </c>
      <c r="F1926" s="5">
        <v>46065.999664351853</v>
      </c>
      <c r="G1926" s="16" t="str">
        <f t="shared" si="150"/>
        <v>Silica Sand</v>
      </c>
      <c r="H1926" s="4" t="s">
        <v>2912</v>
      </c>
      <c r="I1926" s="18" t="str" cm="1">
        <f t="array" ref="I1926">_xlfn.LET(_xlpm.text, D1926,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26" s="18" t="str" cm="1">
        <f t="array" ref="J1926">_xlfn.LET(_xlpm.text, E1926,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6" s="14">
        <f t="shared" si="151"/>
        <v>46066</v>
      </c>
      <c r="L1926" s="14">
        <f t="shared" si="152"/>
        <v>46066.624664351853</v>
      </c>
      <c r="N1926" s="12"/>
    </row>
    <row r="1927" spans="1:14" x14ac:dyDescent="0.25">
      <c r="A1927" s="4" t="s">
        <v>1957</v>
      </c>
      <c r="B1927" s="16" t="str">
        <f t="shared" si="148"/>
        <v>M/s SHREE VISHNU MINERALS</v>
      </c>
      <c r="C1927" s="16" t="str">
        <f t="shared" si="149"/>
        <v>Mokha Charnan / Kolayat / Bikaner</v>
      </c>
      <c r="D1927" s="4" t="s">
        <v>3032</v>
      </c>
      <c r="E1927" s="4" t="s">
        <v>3119</v>
      </c>
      <c r="F1927" s="5">
        <v>46059.999664351853</v>
      </c>
      <c r="G1927" s="16" t="str">
        <f t="shared" si="150"/>
        <v>Silica Sand</v>
      </c>
      <c r="H1927" s="4" t="s">
        <v>2926</v>
      </c>
      <c r="I1927" s="18" t="str" cm="1">
        <f t="array" ref="I1927">_xlfn.LET(_xlpm.text, D1927,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27" s="18" t="str" cm="1">
        <f t="array" ref="J1927">_xlfn.LET(_xlpm.text, E1927,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7" s="14">
        <f t="shared" si="151"/>
        <v>46060</v>
      </c>
      <c r="L1927" s="14">
        <f t="shared" si="152"/>
        <v>46060.624664351853</v>
      </c>
      <c r="N1927" s="12"/>
    </row>
    <row r="1928" spans="1:14" x14ac:dyDescent="0.25">
      <c r="A1928" s="4" t="s">
        <v>1958</v>
      </c>
      <c r="B1928" s="16" t="str">
        <f t="shared" si="148"/>
        <v>M/s SHREE VISHNU MINERALS</v>
      </c>
      <c r="C1928" s="16" t="str">
        <f t="shared" si="149"/>
        <v>Mokha Charnan / Kolayat / Bikaner</v>
      </c>
      <c r="D1928" s="4" t="s">
        <v>3032</v>
      </c>
      <c r="E1928" s="4" t="s">
        <v>3119</v>
      </c>
      <c r="F1928" s="5">
        <v>46060.999664351853</v>
      </c>
      <c r="G1928" s="16" t="str">
        <f t="shared" si="150"/>
        <v>Silica Sand</v>
      </c>
      <c r="H1928" s="4" t="s">
        <v>2582</v>
      </c>
      <c r="I1928" s="18" t="str" cm="1">
        <f t="array" ref="I1928">_xlfn.LET(_xlpm.text, D1928,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28" s="18" t="str" cm="1">
        <f t="array" ref="J1928">_xlfn.LET(_xlpm.text, E1928,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8" s="14">
        <f t="shared" si="151"/>
        <v>46061</v>
      </c>
      <c r="L1928" s="14">
        <f t="shared" si="152"/>
        <v>46061.624664351853</v>
      </c>
      <c r="N1928" s="12"/>
    </row>
    <row r="1929" spans="1:14" x14ac:dyDescent="0.25">
      <c r="A1929" s="4" t="s">
        <v>1959</v>
      </c>
      <c r="B1929" s="16" t="str">
        <f t="shared" si="148"/>
        <v>M/s SHREE VISHNU MINERALS</v>
      </c>
      <c r="C1929" s="16" t="str">
        <f t="shared" si="149"/>
        <v>Mokha Charnan / Kolayat / Bikaner</v>
      </c>
      <c r="D1929" s="4" t="s">
        <v>3032</v>
      </c>
      <c r="E1929" s="4" t="s">
        <v>3119</v>
      </c>
      <c r="F1929" s="5">
        <v>46059.999664351853</v>
      </c>
      <c r="G1929" s="16" t="str">
        <f t="shared" si="150"/>
        <v>Silica Sand</v>
      </c>
      <c r="H1929" s="4" t="s">
        <v>2895</v>
      </c>
      <c r="I1929" s="18" t="str" cm="1">
        <f t="array" ref="I1929">_xlfn.LET(_xlpm.text, D1929,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29" s="18" t="str" cm="1">
        <f t="array" ref="J1929">_xlfn.LET(_xlpm.text, E1929,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29" s="14">
        <f t="shared" si="151"/>
        <v>46060</v>
      </c>
      <c r="L1929" s="14">
        <f t="shared" si="152"/>
        <v>46060.624664351853</v>
      </c>
      <c r="N1929" s="12"/>
    </row>
    <row r="1930" spans="1:14" x14ac:dyDescent="0.25">
      <c r="A1930" s="4" t="s">
        <v>1960</v>
      </c>
      <c r="B1930" s="16" t="str">
        <f t="shared" si="148"/>
        <v>M/s SHREE VISHNU MINERALS</v>
      </c>
      <c r="C1930" s="16" t="str">
        <f t="shared" si="149"/>
        <v>Mokha Charnan / Kolayat / Bikaner</v>
      </c>
      <c r="D1930" s="4" t="s">
        <v>3032</v>
      </c>
      <c r="E1930" s="4" t="s">
        <v>3119</v>
      </c>
      <c r="F1930" s="5">
        <v>46060.999664351853</v>
      </c>
      <c r="G1930" s="16" t="str">
        <f t="shared" si="150"/>
        <v>Silica Sand</v>
      </c>
      <c r="H1930" s="4" t="s">
        <v>2611</v>
      </c>
      <c r="I1930" s="18" t="str" cm="1">
        <f t="array" ref="I1930">_xlfn.LET(_xlpm.text, D1930,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0" s="18" t="str" cm="1">
        <f t="array" ref="J1930">_xlfn.LET(_xlpm.text, E1930,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0" s="14">
        <f t="shared" si="151"/>
        <v>46061</v>
      </c>
      <c r="L1930" s="14">
        <f t="shared" si="152"/>
        <v>46061.624664351853</v>
      </c>
      <c r="N1930" s="12"/>
    </row>
    <row r="1931" spans="1:14" x14ac:dyDescent="0.25">
      <c r="A1931" s="4" t="s">
        <v>1961</v>
      </c>
      <c r="B1931" s="16" t="str">
        <f t="shared" si="148"/>
        <v>M/s SHREE VISHNU MINERALS</v>
      </c>
      <c r="C1931" s="16" t="str">
        <f t="shared" si="149"/>
        <v>Mokha Charnan / Kolayat / Bikaner</v>
      </c>
      <c r="D1931" s="4" t="s">
        <v>3032</v>
      </c>
      <c r="E1931" s="4" t="s">
        <v>3119</v>
      </c>
      <c r="F1931" s="5">
        <v>46060.999664351853</v>
      </c>
      <c r="G1931" s="16" t="str">
        <f t="shared" si="150"/>
        <v>Silica Sand</v>
      </c>
      <c r="H1931" s="4" t="s">
        <v>2582</v>
      </c>
      <c r="I1931" s="18" t="str" cm="1">
        <f t="array" ref="I1931">_xlfn.LET(_xlpm.text, D1931,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1" s="18" t="str" cm="1">
        <f t="array" ref="J1931">_xlfn.LET(_xlpm.text, E1931,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1" s="14">
        <f t="shared" si="151"/>
        <v>46061</v>
      </c>
      <c r="L1931" s="14">
        <f t="shared" si="152"/>
        <v>46061.624664351853</v>
      </c>
      <c r="N1931" s="12"/>
    </row>
    <row r="1932" spans="1:14" x14ac:dyDescent="0.25">
      <c r="A1932" s="4" t="s">
        <v>1962</v>
      </c>
      <c r="B1932" s="16" t="str">
        <f t="shared" si="148"/>
        <v>M/s SHREE VISHNU MINERALS</v>
      </c>
      <c r="C1932" s="16" t="str">
        <f t="shared" si="149"/>
        <v>Mokha Charnan / Kolayat / Bikaner</v>
      </c>
      <c r="D1932" s="4" t="s">
        <v>3032</v>
      </c>
      <c r="E1932" s="4" t="s">
        <v>3119</v>
      </c>
      <c r="F1932" s="5">
        <v>46060.999664351853</v>
      </c>
      <c r="G1932" s="16" t="str">
        <f t="shared" si="150"/>
        <v>Silica Sand</v>
      </c>
      <c r="H1932" s="4" t="s">
        <v>2926</v>
      </c>
      <c r="I1932" s="18" t="str" cm="1">
        <f t="array" ref="I1932">_xlfn.LET(_xlpm.text, D1932,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2" s="18" t="str" cm="1">
        <f t="array" ref="J1932">_xlfn.LET(_xlpm.text, E1932,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2" s="14">
        <f t="shared" si="151"/>
        <v>46061</v>
      </c>
      <c r="L1932" s="14">
        <f t="shared" si="152"/>
        <v>46061.624664351853</v>
      </c>
      <c r="N1932" s="12"/>
    </row>
    <row r="1933" spans="1:14" x14ac:dyDescent="0.25">
      <c r="A1933" s="4" t="s">
        <v>1963</v>
      </c>
      <c r="B1933" s="16" t="str">
        <f t="shared" si="148"/>
        <v>M/s SHREE VISHNU MINERALS</v>
      </c>
      <c r="C1933" s="16" t="str">
        <f t="shared" si="149"/>
        <v>Mokha Charnan / Kolayat / Bikaner</v>
      </c>
      <c r="D1933" s="4" t="s">
        <v>3032</v>
      </c>
      <c r="E1933" s="4" t="s">
        <v>3119</v>
      </c>
      <c r="F1933" s="5">
        <v>46060.999664351853</v>
      </c>
      <c r="G1933" s="16" t="str">
        <f t="shared" si="150"/>
        <v>Silica Sand</v>
      </c>
      <c r="H1933" s="4" t="s">
        <v>2399</v>
      </c>
      <c r="I1933" s="18" t="str" cm="1">
        <f t="array" ref="I1933">_xlfn.LET(_xlpm.text, D1933,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3" s="18" t="str" cm="1">
        <f t="array" ref="J1933">_xlfn.LET(_xlpm.text, E1933,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3" s="14">
        <f t="shared" si="151"/>
        <v>46061</v>
      </c>
      <c r="L1933" s="14">
        <f t="shared" si="152"/>
        <v>46061.624664351853</v>
      </c>
      <c r="N1933" s="12"/>
    </row>
    <row r="1934" spans="1:14" x14ac:dyDescent="0.25">
      <c r="A1934" s="4" t="s">
        <v>1964</v>
      </c>
      <c r="B1934" s="16" t="str">
        <f t="shared" si="148"/>
        <v>M/s SHREE VISHNU MINERALS</v>
      </c>
      <c r="C1934" s="16" t="str">
        <f t="shared" si="149"/>
        <v>Mokha Charnan / Kolayat / Bikaner</v>
      </c>
      <c r="D1934" s="4" t="s">
        <v>3032</v>
      </c>
      <c r="E1934" s="4" t="s">
        <v>3119</v>
      </c>
      <c r="F1934" s="5">
        <v>46061.999664351853</v>
      </c>
      <c r="G1934" s="16" t="str">
        <f t="shared" si="150"/>
        <v>Silica Sand</v>
      </c>
      <c r="H1934" s="4" t="s">
        <v>2895</v>
      </c>
      <c r="I1934" s="18" t="str" cm="1">
        <f t="array" ref="I1934">_xlfn.LET(_xlpm.text, D1934,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4" s="18" t="str" cm="1">
        <f t="array" ref="J1934">_xlfn.LET(_xlpm.text, E1934,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4" s="14">
        <f t="shared" si="151"/>
        <v>46062</v>
      </c>
      <c r="L1934" s="14">
        <f t="shared" si="152"/>
        <v>46062.624664351853</v>
      </c>
      <c r="N1934" s="12"/>
    </row>
    <row r="1935" spans="1:14" x14ac:dyDescent="0.25">
      <c r="A1935" s="4" t="s">
        <v>1965</v>
      </c>
      <c r="B1935" s="16" t="str">
        <f t="shared" si="148"/>
        <v>M/s SHREE VISHNU MINERALS</v>
      </c>
      <c r="C1935" s="16" t="str">
        <f t="shared" si="149"/>
        <v>Mokha Charnan / Kolayat / Bikaner</v>
      </c>
      <c r="D1935" s="4" t="s">
        <v>3032</v>
      </c>
      <c r="E1935" s="4" t="s">
        <v>3119</v>
      </c>
      <c r="F1935" s="5">
        <v>46060.999664351853</v>
      </c>
      <c r="G1935" s="16" t="str">
        <f t="shared" si="150"/>
        <v>Silica Sand</v>
      </c>
      <c r="H1935" s="4" t="s">
        <v>2611</v>
      </c>
      <c r="I1935" s="18" t="str" cm="1">
        <f t="array" ref="I1935">_xlfn.LET(_xlpm.text, D1935,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5" s="18" t="str" cm="1">
        <f t="array" ref="J1935">_xlfn.LET(_xlpm.text, E1935,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5" s="14">
        <f t="shared" si="151"/>
        <v>46061</v>
      </c>
      <c r="L1935" s="14">
        <f t="shared" si="152"/>
        <v>46061.624664351853</v>
      </c>
      <c r="N1935" s="12"/>
    </row>
    <row r="1936" spans="1:14" x14ac:dyDescent="0.25">
      <c r="A1936" s="4" t="s">
        <v>1966</v>
      </c>
      <c r="B1936" s="16" t="str">
        <f t="shared" si="148"/>
        <v>M/s SHREE VISHNU MINERALS</v>
      </c>
      <c r="C1936" s="16" t="str">
        <f t="shared" si="149"/>
        <v>Mokha Charnan / Kolayat / Bikaner</v>
      </c>
      <c r="D1936" s="4" t="s">
        <v>3032</v>
      </c>
      <c r="E1936" s="4" t="s">
        <v>3119</v>
      </c>
      <c r="F1936" s="5">
        <v>46062.999664351853</v>
      </c>
      <c r="G1936" s="16" t="str">
        <f t="shared" si="150"/>
        <v>Silica Sand</v>
      </c>
      <c r="H1936" s="4" t="s">
        <v>344</v>
      </c>
      <c r="I1936" s="18" t="str" cm="1">
        <f t="array" ref="I1936">_xlfn.LET(_xlpm.text, D1936,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6" s="18" t="str" cm="1">
        <f t="array" ref="J1936">_xlfn.LET(_xlpm.text, E1936,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6" s="14">
        <f t="shared" si="151"/>
        <v>46063</v>
      </c>
      <c r="L1936" s="14">
        <f t="shared" si="152"/>
        <v>46063.624664351853</v>
      </c>
      <c r="N1936" s="12"/>
    </row>
    <row r="1937" spans="1:14" x14ac:dyDescent="0.25">
      <c r="A1937" s="4" t="s">
        <v>1967</v>
      </c>
      <c r="B1937" s="16" t="str">
        <f t="shared" si="148"/>
        <v>M/s SHREE VISHNU MINERALS</v>
      </c>
      <c r="C1937" s="16" t="str">
        <f t="shared" si="149"/>
        <v>Mokha Charnan / Kolayat / Bikaner</v>
      </c>
      <c r="D1937" s="4" t="s">
        <v>3032</v>
      </c>
      <c r="E1937" s="4" t="s">
        <v>3119</v>
      </c>
      <c r="F1937" s="5">
        <v>46063.999664351853</v>
      </c>
      <c r="G1937" s="16" t="str">
        <f t="shared" si="150"/>
        <v>Silica Sand</v>
      </c>
      <c r="H1937" s="4" t="s">
        <v>2895</v>
      </c>
      <c r="I1937" s="18" t="str" cm="1">
        <f t="array" ref="I1937">_xlfn.LET(_xlpm.text, D1937,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7" s="18" t="str" cm="1">
        <f t="array" ref="J1937">_xlfn.LET(_xlpm.text, E1937,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7" s="14">
        <f t="shared" si="151"/>
        <v>46064</v>
      </c>
      <c r="L1937" s="14">
        <f t="shared" si="152"/>
        <v>46064.624664351853</v>
      </c>
      <c r="N1937" s="12"/>
    </row>
    <row r="1938" spans="1:14" x14ac:dyDescent="0.25">
      <c r="A1938" s="4" t="s">
        <v>1968</v>
      </c>
      <c r="B1938" s="16" t="str">
        <f t="shared" si="148"/>
        <v>M/s SHREE VISHNU MINERALS</v>
      </c>
      <c r="C1938" s="16" t="str">
        <f t="shared" si="149"/>
        <v>Mokha Charnan / Kolayat / Bikaner</v>
      </c>
      <c r="D1938" s="4" t="s">
        <v>3032</v>
      </c>
      <c r="E1938" s="4" t="s">
        <v>3119</v>
      </c>
      <c r="F1938" s="5">
        <v>46062.999664351853</v>
      </c>
      <c r="G1938" s="16" t="str">
        <f t="shared" si="150"/>
        <v>Silica Sand</v>
      </c>
      <c r="H1938" s="4" t="s">
        <v>2907</v>
      </c>
      <c r="I1938" s="18" t="str" cm="1">
        <f t="array" ref="I1938">_xlfn.LET(_xlpm.text, D1938,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8" s="18" t="str" cm="1">
        <f t="array" ref="J1938">_xlfn.LET(_xlpm.text, E1938,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8" s="14">
        <f t="shared" si="151"/>
        <v>46063</v>
      </c>
      <c r="L1938" s="14">
        <f t="shared" si="152"/>
        <v>46063.624664351853</v>
      </c>
      <c r="N1938" s="12"/>
    </row>
    <row r="1939" spans="1:14" x14ac:dyDescent="0.25">
      <c r="A1939" s="4" t="s">
        <v>1969</v>
      </c>
      <c r="B1939" s="16" t="str">
        <f t="shared" si="148"/>
        <v>M/s SHREE VISHNU MINERALS</v>
      </c>
      <c r="C1939" s="16" t="str">
        <f t="shared" si="149"/>
        <v>Mokha Charnan / Kolayat / Bikaner</v>
      </c>
      <c r="D1939" s="4" t="s">
        <v>3032</v>
      </c>
      <c r="E1939" s="4" t="s">
        <v>3119</v>
      </c>
      <c r="F1939" s="5">
        <v>46062.999664351853</v>
      </c>
      <c r="G1939" s="16" t="str">
        <f t="shared" si="150"/>
        <v>Silica Sand</v>
      </c>
      <c r="H1939" s="4" t="s">
        <v>2918</v>
      </c>
      <c r="I1939" s="18" t="str" cm="1">
        <f t="array" ref="I1939">_xlfn.LET(_xlpm.text, D1939,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39" s="18" t="str" cm="1">
        <f t="array" ref="J1939">_xlfn.LET(_xlpm.text, E1939,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39" s="14">
        <f t="shared" si="151"/>
        <v>46063</v>
      </c>
      <c r="L1939" s="14">
        <f t="shared" si="152"/>
        <v>46063.624664351853</v>
      </c>
      <c r="N1939" s="12"/>
    </row>
    <row r="1940" spans="1:14" x14ac:dyDescent="0.25">
      <c r="A1940" s="4" t="s">
        <v>1970</v>
      </c>
      <c r="B1940" s="16" t="str">
        <f t="shared" si="148"/>
        <v>M/s SHREE VISHNU MINERALS</v>
      </c>
      <c r="C1940" s="16" t="str">
        <f t="shared" si="149"/>
        <v>Mokha Charnan / Kolayat / Bikaner</v>
      </c>
      <c r="D1940" s="4" t="s">
        <v>3032</v>
      </c>
      <c r="E1940" s="4" t="s">
        <v>3119</v>
      </c>
      <c r="F1940" s="5">
        <v>46062.999664351853</v>
      </c>
      <c r="G1940" s="16" t="str">
        <f t="shared" si="150"/>
        <v>Silica Sand</v>
      </c>
      <c r="H1940" s="4" t="s">
        <v>2964</v>
      </c>
      <c r="I1940" s="18" t="str" cm="1">
        <f t="array" ref="I1940">_xlfn.LET(_xlpm.text, D1940,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0" s="18" t="str" cm="1">
        <f t="array" ref="J1940">_xlfn.LET(_xlpm.text, E1940,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0" s="14">
        <f t="shared" si="151"/>
        <v>46063</v>
      </c>
      <c r="L1940" s="14">
        <f t="shared" si="152"/>
        <v>46063.624664351853</v>
      </c>
      <c r="N1940" s="12"/>
    </row>
    <row r="1941" spans="1:14" x14ac:dyDescent="0.25">
      <c r="A1941" s="4" t="s">
        <v>1971</v>
      </c>
      <c r="B1941" s="16" t="str">
        <f t="shared" si="148"/>
        <v>M/s SHREE VISHNU MINERALS</v>
      </c>
      <c r="C1941" s="16" t="str">
        <f t="shared" si="149"/>
        <v>Mokha Charnan / Kolayat / Bikaner</v>
      </c>
      <c r="D1941" s="4" t="s">
        <v>3032</v>
      </c>
      <c r="E1941" s="4" t="s">
        <v>3119</v>
      </c>
      <c r="F1941" s="5">
        <v>46063.999664351853</v>
      </c>
      <c r="G1941" s="16" t="str">
        <f t="shared" si="150"/>
        <v>Silica Sand</v>
      </c>
      <c r="H1941" s="4" t="s">
        <v>2926</v>
      </c>
      <c r="I1941" s="18" t="str" cm="1">
        <f t="array" ref="I1941">_xlfn.LET(_xlpm.text, D1941,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1" s="18" t="str" cm="1">
        <f t="array" ref="J1941">_xlfn.LET(_xlpm.text, E1941,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1" s="14">
        <f t="shared" si="151"/>
        <v>46064</v>
      </c>
      <c r="L1941" s="14">
        <f t="shared" si="152"/>
        <v>46064.624664351853</v>
      </c>
      <c r="N1941" s="12"/>
    </row>
    <row r="1942" spans="1:14" x14ac:dyDescent="0.25">
      <c r="A1942" s="4" t="s">
        <v>1972</v>
      </c>
      <c r="B1942" s="16" t="str">
        <f t="shared" si="148"/>
        <v>M/s SHREE VISHNU MINERALS</v>
      </c>
      <c r="C1942" s="16" t="str">
        <f t="shared" si="149"/>
        <v>Mokha Charnan / Kolayat / Bikaner</v>
      </c>
      <c r="D1942" s="4" t="s">
        <v>3032</v>
      </c>
      <c r="E1942" s="4" t="s">
        <v>3119</v>
      </c>
      <c r="F1942" s="5">
        <v>46063.999664351853</v>
      </c>
      <c r="G1942" s="16" t="str">
        <f t="shared" si="150"/>
        <v>Silica Sand</v>
      </c>
      <c r="H1942" s="4" t="s">
        <v>2895</v>
      </c>
      <c r="I1942" s="18" t="str" cm="1">
        <f t="array" ref="I1942">_xlfn.LET(_xlpm.text, D1942,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2" s="18" t="str" cm="1">
        <f t="array" ref="J1942">_xlfn.LET(_xlpm.text, E1942,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2" s="14">
        <f t="shared" si="151"/>
        <v>46064</v>
      </c>
      <c r="L1942" s="14">
        <f t="shared" si="152"/>
        <v>46064.624664351853</v>
      </c>
      <c r="N1942" s="12"/>
    </row>
    <row r="1943" spans="1:14" x14ac:dyDescent="0.25">
      <c r="A1943" s="4" t="s">
        <v>1973</v>
      </c>
      <c r="B1943" s="16" t="str">
        <f t="shared" si="148"/>
        <v>M/s SHREE VISHNU MINERALS</v>
      </c>
      <c r="C1943" s="16" t="str">
        <f t="shared" si="149"/>
        <v>Mokha Charnan / Kolayat / Bikaner</v>
      </c>
      <c r="D1943" s="4" t="s">
        <v>3032</v>
      </c>
      <c r="E1943" s="4" t="s">
        <v>3119</v>
      </c>
      <c r="F1943" s="5">
        <v>46056.999664351853</v>
      </c>
      <c r="G1943" s="16" t="str">
        <f t="shared" si="150"/>
        <v>Silica Sand</v>
      </c>
      <c r="H1943" s="4" t="s">
        <v>2926</v>
      </c>
      <c r="I1943" s="18" t="str" cm="1">
        <f t="array" ref="I1943">_xlfn.LET(_xlpm.text, D1943,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3" s="18" t="str" cm="1">
        <f t="array" ref="J1943">_xlfn.LET(_xlpm.text, E1943,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3" s="14">
        <f t="shared" si="151"/>
        <v>46057</v>
      </c>
      <c r="L1943" s="14">
        <f t="shared" si="152"/>
        <v>46057.624664351853</v>
      </c>
      <c r="N1943" s="12"/>
    </row>
    <row r="1944" spans="1:14" x14ac:dyDescent="0.25">
      <c r="A1944" s="4" t="s">
        <v>1974</v>
      </c>
      <c r="B1944" s="16" t="str">
        <f t="shared" si="148"/>
        <v>M/s SHREE VISHNU MINERALS</v>
      </c>
      <c r="C1944" s="16" t="str">
        <f t="shared" si="149"/>
        <v>Mokha Charnan / Kolayat / Bikaner</v>
      </c>
      <c r="D1944" s="4" t="s">
        <v>3032</v>
      </c>
      <c r="E1944" s="4" t="s">
        <v>3119</v>
      </c>
      <c r="F1944" s="5">
        <v>46056.999664351853</v>
      </c>
      <c r="G1944" s="16" t="str">
        <f t="shared" si="150"/>
        <v>Silica Sand</v>
      </c>
      <c r="H1944" s="4" t="s">
        <v>412</v>
      </c>
      <c r="I1944" s="18" t="str" cm="1">
        <f t="array" ref="I1944">_xlfn.LET(_xlpm.text, D1944,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4" s="18" t="str" cm="1">
        <f t="array" ref="J1944">_xlfn.LET(_xlpm.text, E1944,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4" s="14">
        <f t="shared" si="151"/>
        <v>46057</v>
      </c>
      <c r="L1944" s="14">
        <f t="shared" si="152"/>
        <v>46057.624664351853</v>
      </c>
      <c r="N1944" s="12"/>
    </row>
    <row r="1945" spans="1:14" x14ac:dyDescent="0.25">
      <c r="A1945" s="4" t="s">
        <v>1975</v>
      </c>
      <c r="B1945" s="16" t="str">
        <f t="shared" si="148"/>
        <v>M/s SHREE VISHNU MINERALS</v>
      </c>
      <c r="C1945" s="16" t="str">
        <f t="shared" si="149"/>
        <v>Mokha Charnan / Kolayat / Bikaner</v>
      </c>
      <c r="D1945" s="4" t="s">
        <v>3032</v>
      </c>
      <c r="E1945" s="4" t="s">
        <v>3119</v>
      </c>
      <c r="F1945" s="5">
        <v>46056.999664351853</v>
      </c>
      <c r="G1945" s="16" t="str">
        <f t="shared" si="150"/>
        <v>Silica Sand</v>
      </c>
      <c r="H1945" s="4" t="s">
        <v>344</v>
      </c>
      <c r="I1945" s="18" t="str" cm="1">
        <f t="array" ref="I1945">_xlfn.LET(_xlpm.text, D1945,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5" s="18" t="str" cm="1">
        <f t="array" ref="J1945">_xlfn.LET(_xlpm.text, E1945,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5" s="14">
        <f t="shared" si="151"/>
        <v>46057</v>
      </c>
      <c r="L1945" s="14">
        <f t="shared" si="152"/>
        <v>46057.624664351853</v>
      </c>
      <c r="N1945" s="12"/>
    </row>
    <row r="1946" spans="1:14" x14ac:dyDescent="0.25">
      <c r="A1946" s="4" t="s">
        <v>1976</v>
      </c>
      <c r="B1946" s="16" t="str">
        <f t="shared" si="148"/>
        <v>M/s SHREE VISHNU MINERALS</v>
      </c>
      <c r="C1946" s="16" t="str">
        <f t="shared" si="149"/>
        <v>Mokha Charnan / Kolayat / Bikaner</v>
      </c>
      <c r="D1946" s="4" t="s">
        <v>3032</v>
      </c>
      <c r="E1946" s="4" t="s">
        <v>3119</v>
      </c>
      <c r="F1946" s="5">
        <v>46057.999664351853</v>
      </c>
      <c r="G1946" s="16" t="str">
        <f t="shared" si="150"/>
        <v>Silica Sand</v>
      </c>
      <c r="H1946" s="4" t="s">
        <v>2918</v>
      </c>
      <c r="I1946" s="18" t="str" cm="1">
        <f t="array" ref="I1946">_xlfn.LET(_xlpm.text, D1946,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6" s="18" t="str" cm="1">
        <f t="array" ref="J1946">_xlfn.LET(_xlpm.text, E1946,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6" s="14">
        <f t="shared" si="151"/>
        <v>46058</v>
      </c>
      <c r="L1946" s="14">
        <f t="shared" si="152"/>
        <v>46058.624664351853</v>
      </c>
      <c r="N1946" s="12"/>
    </row>
    <row r="1947" spans="1:14" x14ac:dyDescent="0.25">
      <c r="A1947" s="4" t="s">
        <v>1977</v>
      </c>
      <c r="B1947" s="16" t="str">
        <f t="shared" si="148"/>
        <v>M/s SHREE VISHNU MINERALS</v>
      </c>
      <c r="C1947" s="16" t="str">
        <f t="shared" si="149"/>
        <v>Mokha Charnan / Kolayat / Bikaner</v>
      </c>
      <c r="D1947" s="4" t="s">
        <v>3032</v>
      </c>
      <c r="E1947" s="4" t="s">
        <v>3119</v>
      </c>
      <c r="F1947" s="5">
        <v>46058.999664351853</v>
      </c>
      <c r="G1947" s="16" t="str">
        <f t="shared" si="150"/>
        <v>Silica Sand</v>
      </c>
      <c r="H1947" s="4" t="s">
        <v>2926</v>
      </c>
      <c r="I1947" s="18" t="str" cm="1">
        <f t="array" ref="I1947">_xlfn.LET(_xlpm.text, D1947,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7" s="18" t="str" cm="1">
        <f t="array" ref="J1947">_xlfn.LET(_xlpm.text, E1947,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7" s="14">
        <f t="shared" si="151"/>
        <v>46059</v>
      </c>
      <c r="L1947" s="14">
        <f t="shared" si="152"/>
        <v>46059.624664351853</v>
      </c>
      <c r="N1947" s="12"/>
    </row>
    <row r="1948" spans="1:14" x14ac:dyDescent="0.25">
      <c r="A1948" s="4" t="s">
        <v>1978</v>
      </c>
      <c r="B1948" s="16" t="str">
        <f t="shared" si="148"/>
        <v>M/s SHREE VISHNU MINERALS</v>
      </c>
      <c r="C1948" s="16" t="str">
        <f t="shared" si="149"/>
        <v>Mokha Charnan / Kolayat / Bikaner</v>
      </c>
      <c r="D1948" s="4" t="s">
        <v>3032</v>
      </c>
      <c r="E1948" s="4" t="s">
        <v>3119</v>
      </c>
      <c r="F1948" s="5">
        <v>46058.999664351853</v>
      </c>
      <c r="G1948" s="16" t="str">
        <f t="shared" si="150"/>
        <v>Silica Sand</v>
      </c>
      <c r="H1948" s="4" t="s">
        <v>344</v>
      </c>
      <c r="I1948" s="18" t="str" cm="1">
        <f t="array" ref="I1948">_xlfn.LET(_xlpm.text, D1948,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8" s="18" t="str" cm="1">
        <f t="array" ref="J1948">_xlfn.LET(_xlpm.text, E1948,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8" s="14">
        <f t="shared" si="151"/>
        <v>46059</v>
      </c>
      <c r="L1948" s="14">
        <f t="shared" si="152"/>
        <v>46059.624664351853</v>
      </c>
      <c r="N1948" s="12"/>
    </row>
    <row r="1949" spans="1:14" x14ac:dyDescent="0.25">
      <c r="A1949" s="4" t="s">
        <v>1979</v>
      </c>
      <c r="B1949" s="16" t="str">
        <f t="shared" si="148"/>
        <v>M/s SHREE VISHNU MINERALS</v>
      </c>
      <c r="C1949" s="16" t="str">
        <f t="shared" si="149"/>
        <v>Mokha Charnan / Kolayat / Bikaner</v>
      </c>
      <c r="D1949" s="4" t="s">
        <v>3032</v>
      </c>
      <c r="E1949" s="4" t="s">
        <v>3119</v>
      </c>
      <c r="F1949" s="5">
        <v>46058.999664351853</v>
      </c>
      <c r="G1949" s="16" t="str">
        <f t="shared" si="150"/>
        <v>Silica Sand</v>
      </c>
      <c r="H1949" s="4" t="s">
        <v>412</v>
      </c>
      <c r="I1949" s="18" t="str" cm="1">
        <f t="array" ref="I1949">_xlfn.LET(_xlpm.text, D1949,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1949" s="18" t="str" cm="1">
        <f t="array" ref="J1949">_xlfn.LET(_xlpm.text, E1949,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49" s="14">
        <f t="shared" si="151"/>
        <v>46059</v>
      </c>
      <c r="L1949" s="14">
        <f t="shared" si="152"/>
        <v>46059.624664351853</v>
      </c>
      <c r="N1949" s="12"/>
    </row>
    <row r="1950" spans="1:14" x14ac:dyDescent="0.25">
      <c r="A1950" s="4" t="s">
        <v>1980</v>
      </c>
      <c r="B1950" s="16" t="str">
        <f t="shared" si="148"/>
        <v>M/s SHREE VISHNU MINERALS</v>
      </c>
      <c r="C1950" s="16" t="str">
        <f t="shared" si="149"/>
        <v>Mokha Charnan / Kolayat / Bikaner</v>
      </c>
      <c r="D1950" s="4" t="s">
        <v>3035</v>
      </c>
      <c r="E1950" s="4" t="s">
        <v>3119</v>
      </c>
      <c r="F1950" s="5">
        <v>46073.999664351853</v>
      </c>
      <c r="G1950" s="16" t="str">
        <f t="shared" si="150"/>
        <v>Silica Sand</v>
      </c>
      <c r="H1950" s="4" t="s">
        <v>2611</v>
      </c>
      <c r="I1950" s="18" t="str" cm="1">
        <f t="array" ref="I1950">_xlfn.LET(_xlpm.text, D1950,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0" s="18" t="str" cm="1">
        <f t="array" ref="J1950">_xlfn.LET(_xlpm.text, E1950,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0" s="14">
        <f t="shared" si="151"/>
        <v>46074</v>
      </c>
      <c r="L1950" s="14">
        <f t="shared" si="152"/>
        <v>46074.624664351853</v>
      </c>
      <c r="N1950" s="12"/>
    </row>
    <row r="1951" spans="1:14" x14ac:dyDescent="0.25">
      <c r="A1951" s="4" t="s">
        <v>1981</v>
      </c>
      <c r="B1951" s="16" t="str">
        <f t="shared" si="148"/>
        <v>M/s SHREE VISHNU MINERALS</v>
      </c>
      <c r="C1951" s="16" t="str">
        <f t="shared" si="149"/>
        <v>Mokha Charnan / Kolayat / Bikaner</v>
      </c>
      <c r="D1951" s="4" t="s">
        <v>3035</v>
      </c>
      <c r="E1951" s="4" t="s">
        <v>3119</v>
      </c>
      <c r="F1951" s="5">
        <v>46072.999664351853</v>
      </c>
      <c r="G1951" s="16" t="str">
        <f t="shared" si="150"/>
        <v>Silica Sand</v>
      </c>
      <c r="H1951" s="4" t="s">
        <v>2611</v>
      </c>
      <c r="I1951" s="18" t="str" cm="1">
        <f t="array" ref="I1951">_xlfn.LET(_xlpm.text, D1951,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1" s="18" t="str" cm="1">
        <f t="array" ref="J1951">_xlfn.LET(_xlpm.text, E1951,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1" s="14">
        <f t="shared" si="151"/>
        <v>46073</v>
      </c>
      <c r="L1951" s="14">
        <f t="shared" si="152"/>
        <v>46073.624664351853</v>
      </c>
      <c r="N1951" s="12"/>
    </row>
    <row r="1952" spans="1:14" x14ac:dyDescent="0.25">
      <c r="A1952" s="4" t="s">
        <v>1982</v>
      </c>
      <c r="B1952" s="16" t="str">
        <f t="shared" si="148"/>
        <v>M/s SHREE VISHNU MINERALS</v>
      </c>
      <c r="C1952" s="16" t="str">
        <f t="shared" si="149"/>
        <v>Mokha Charnan / Kolayat / Bikaner</v>
      </c>
      <c r="D1952" s="4" t="s">
        <v>3035</v>
      </c>
      <c r="E1952" s="4" t="s">
        <v>3119</v>
      </c>
      <c r="F1952" s="5">
        <v>46070.999664351853</v>
      </c>
      <c r="G1952" s="16" t="str">
        <f t="shared" si="150"/>
        <v>Silica Sand</v>
      </c>
      <c r="H1952" s="4" t="s">
        <v>2611</v>
      </c>
      <c r="I1952" s="18" t="str" cm="1">
        <f t="array" ref="I1952">_xlfn.LET(_xlpm.text, D1952,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2" s="18" t="str" cm="1">
        <f t="array" ref="J1952">_xlfn.LET(_xlpm.text, E1952,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2" s="14">
        <f t="shared" si="151"/>
        <v>46071</v>
      </c>
      <c r="L1952" s="14">
        <f t="shared" si="152"/>
        <v>46071.624664351853</v>
      </c>
      <c r="N1952" s="12"/>
    </row>
    <row r="1953" spans="1:14" x14ac:dyDescent="0.25">
      <c r="A1953" s="4" t="s">
        <v>1983</v>
      </c>
      <c r="B1953" s="16" t="str">
        <f t="shared" si="148"/>
        <v>M/s SHREE VISHNU MINERALS</v>
      </c>
      <c r="C1953" s="16" t="str">
        <f t="shared" si="149"/>
        <v>Mokha Charnan / Kolayat / Bikaner</v>
      </c>
      <c r="D1953" s="4" t="s">
        <v>3035</v>
      </c>
      <c r="E1953" s="4" t="s">
        <v>3119</v>
      </c>
      <c r="F1953" s="5">
        <v>46070.999664351853</v>
      </c>
      <c r="G1953" s="16" t="str">
        <f t="shared" si="150"/>
        <v>Silica Sand</v>
      </c>
      <c r="H1953" s="4" t="s">
        <v>2611</v>
      </c>
      <c r="I1953" s="18" t="str" cm="1">
        <f t="array" ref="I1953">_xlfn.LET(_xlpm.text, D1953,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3" s="18" t="str" cm="1">
        <f t="array" ref="J1953">_xlfn.LET(_xlpm.text, E1953,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3" s="14">
        <f t="shared" si="151"/>
        <v>46071</v>
      </c>
      <c r="L1953" s="14">
        <f t="shared" si="152"/>
        <v>46071.624664351853</v>
      </c>
      <c r="N1953" s="12"/>
    </row>
    <row r="1954" spans="1:14" x14ac:dyDescent="0.25">
      <c r="A1954" s="4" t="s">
        <v>1984</v>
      </c>
      <c r="B1954" s="16" t="str">
        <f t="shared" si="148"/>
        <v>M/s SHREE VISHNU MINERALS</v>
      </c>
      <c r="C1954" s="16" t="str">
        <f t="shared" si="149"/>
        <v>Mokha Charnan / Kolayat / Bikaner</v>
      </c>
      <c r="D1954" s="4" t="s">
        <v>3035</v>
      </c>
      <c r="E1954" s="4" t="s">
        <v>3119</v>
      </c>
      <c r="F1954" s="5">
        <v>46066.999664351853</v>
      </c>
      <c r="G1954" s="16" t="str">
        <f t="shared" si="150"/>
        <v>Silica Sand</v>
      </c>
      <c r="H1954" s="4" t="s">
        <v>2611</v>
      </c>
      <c r="I1954" s="18" t="str" cm="1">
        <f t="array" ref="I1954">_xlfn.LET(_xlpm.text, D1954,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4" s="18" t="str" cm="1">
        <f t="array" ref="J1954">_xlfn.LET(_xlpm.text, E1954,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4" s="14">
        <f t="shared" si="151"/>
        <v>46067</v>
      </c>
      <c r="L1954" s="14">
        <f t="shared" si="152"/>
        <v>46067.624664351853</v>
      </c>
      <c r="N1954" s="12"/>
    </row>
    <row r="1955" spans="1:14" x14ac:dyDescent="0.25">
      <c r="A1955" s="4" t="s">
        <v>1985</v>
      </c>
      <c r="B1955" s="16" t="str">
        <f t="shared" si="148"/>
        <v>M/s SHREE VISHNU MINERALS</v>
      </c>
      <c r="C1955" s="16" t="str">
        <f t="shared" si="149"/>
        <v>Mokha Charnan / Kolayat / Bikaner</v>
      </c>
      <c r="D1955" s="4" t="s">
        <v>3035</v>
      </c>
      <c r="E1955" s="4" t="s">
        <v>3119</v>
      </c>
      <c r="F1955" s="5">
        <v>46065.999664351853</v>
      </c>
      <c r="G1955" s="16" t="str">
        <f t="shared" si="150"/>
        <v>Silica Sand</v>
      </c>
      <c r="H1955" s="4" t="s">
        <v>2611</v>
      </c>
      <c r="I1955" s="18" t="str" cm="1">
        <f t="array" ref="I1955">_xlfn.LET(_xlpm.text, D1955,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5" s="18" t="str" cm="1">
        <f t="array" ref="J1955">_xlfn.LET(_xlpm.text, E1955,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5" s="14">
        <f t="shared" si="151"/>
        <v>46066</v>
      </c>
      <c r="L1955" s="14">
        <f t="shared" si="152"/>
        <v>46066.624664351853</v>
      </c>
      <c r="N1955" s="12"/>
    </row>
    <row r="1956" spans="1:14" x14ac:dyDescent="0.25">
      <c r="A1956" s="4" t="s">
        <v>1986</v>
      </c>
      <c r="B1956" s="16" t="str">
        <f t="shared" si="148"/>
        <v>M/s SHREE VISHNU MINERALS</v>
      </c>
      <c r="C1956" s="16" t="str">
        <f t="shared" si="149"/>
        <v>Mokha Charnan / Kolayat / Bikaner</v>
      </c>
      <c r="D1956" s="4" t="s">
        <v>3035</v>
      </c>
      <c r="E1956" s="4" t="s">
        <v>3119</v>
      </c>
      <c r="F1956" s="5">
        <v>46071.999664351853</v>
      </c>
      <c r="G1956" s="16" t="str">
        <f t="shared" si="150"/>
        <v>Silica Sand</v>
      </c>
      <c r="H1956" s="4" t="s">
        <v>2582</v>
      </c>
      <c r="I1956" s="18" t="str" cm="1">
        <f t="array" ref="I1956">_xlfn.LET(_xlpm.text, D1956,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6" s="18" t="str" cm="1">
        <f t="array" ref="J1956">_xlfn.LET(_xlpm.text, E1956,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6" s="14">
        <f t="shared" si="151"/>
        <v>46072</v>
      </c>
      <c r="L1956" s="14">
        <f t="shared" si="152"/>
        <v>46072.624664351853</v>
      </c>
      <c r="N1956" s="12"/>
    </row>
    <row r="1957" spans="1:14" x14ac:dyDescent="0.25">
      <c r="A1957" s="4" t="s">
        <v>1987</v>
      </c>
      <c r="B1957" s="16" t="str">
        <f t="shared" si="148"/>
        <v>M/s SHREE VISHNU MINERALS</v>
      </c>
      <c r="C1957" s="16" t="str">
        <f t="shared" si="149"/>
        <v>Mokha Charnan / Kolayat / Bikaner</v>
      </c>
      <c r="D1957" s="4" t="s">
        <v>3035</v>
      </c>
      <c r="E1957" s="4" t="s">
        <v>3119</v>
      </c>
      <c r="F1957" s="5">
        <v>46071.999664351853</v>
      </c>
      <c r="G1957" s="16" t="str">
        <f t="shared" si="150"/>
        <v>Silica Sand</v>
      </c>
      <c r="H1957" s="4" t="s">
        <v>2315</v>
      </c>
      <c r="I1957" s="18" t="str" cm="1">
        <f t="array" ref="I1957">_xlfn.LET(_xlpm.text, D1957,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7" s="18" t="str" cm="1">
        <f t="array" ref="J1957">_xlfn.LET(_xlpm.text, E1957,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7" s="14">
        <f t="shared" si="151"/>
        <v>46072</v>
      </c>
      <c r="L1957" s="14">
        <f t="shared" si="152"/>
        <v>46072.624664351853</v>
      </c>
      <c r="N1957" s="12"/>
    </row>
    <row r="1958" spans="1:14" x14ac:dyDescent="0.25">
      <c r="A1958" s="4" t="s">
        <v>1988</v>
      </c>
      <c r="B1958" s="16" t="str">
        <f t="shared" si="148"/>
        <v>M/s SHREE VISHNU MINERALS</v>
      </c>
      <c r="C1958" s="16" t="str">
        <f t="shared" si="149"/>
        <v>Mokha Charnan / Kolayat / Bikaner</v>
      </c>
      <c r="D1958" s="4" t="s">
        <v>3035</v>
      </c>
      <c r="E1958" s="4" t="s">
        <v>3119</v>
      </c>
      <c r="F1958" s="5">
        <v>46071.999664351853</v>
      </c>
      <c r="G1958" s="16" t="str">
        <f t="shared" si="150"/>
        <v>Silica Sand</v>
      </c>
      <c r="H1958" s="4" t="s">
        <v>2926</v>
      </c>
      <c r="I1958" s="18" t="str" cm="1">
        <f t="array" ref="I1958">_xlfn.LET(_xlpm.text, D1958,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8" s="18" t="str" cm="1">
        <f t="array" ref="J1958">_xlfn.LET(_xlpm.text, E1958,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8" s="14">
        <f t="shared" si="151"/>
        <v>46072</v>
      </c>
      <c r="L1958" s="14">
        <f t="shared" si="152"/>
        <v>46072.624664351853</v>
      </c>
      <c r="N1958" s="12"/>
    </row>
    <row r="1959" spans="1:14" x14ac:dyDescent="0.25">
      <c r="A1959" s="4" t="s">
        <v>1989</v>
      </c>
      <c r="B1959" s="16" t="str">
        <f t="shared" si="148"/>
        <v>M/s SHREE VISHNU MINERALS</v>
      </c>
      <c r="C1959" s="16" t="str">
        <f t="shared" si="149"/>
        <v>Mokha Charnan / Kolayat / Bikaner</v>
      </c>
      <c r="D1959" s="4" t="s">
        <v>3035</v>
      </c>
      <c r="E1959" s="4" t="s">
        <v>3119</v>
      </c>
      <c r="F1959" s="5">
        <v>46071.999664351853</v>
      </c>
      <c r="G1959" s="16" t="str">
        <f t="shared" si="150"/>
        <v>Silica Sand</v>
      </c>
      <c r="H1959" s="4" t="s">
        <v>344</v>
      </c>
      <c r="I1959" s="18" t="str" cm="1">
        <f t="array" ref="I1959">_xlfn.LET(_xlpm.text, D1959,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59" s="18" t="str" cm="1">
        <f t="array" ref="J1959">_xlfn.LET(_xlpm.text, E1959,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59" s="14">
        <f t="shared" si="151"/>
        <v>46072</v>
      </c>
      <c r="L1959" s="14">
        <f t="shared" si="152"/>
        <v>46072.624664351853</v>
      </c>
      <c r="N1959" s="12"/>
    </row>
    <row r="1960" spans="1:14" x14ac:dyDescent="0.25">
      <c r="A1960" s="4" t="s">
        <v>1990</v>
      </c>
      <c r="B1960" s="16" t="str">
        <f t="shared" si="148"/>
        <v>M/s SHREE VISHNU MINERALS</v>
      </c>
      <c r="C1960" s="16" t="str">
        <f t="shared" si="149"/>
        <v>Mokha Charnan / Kolayat / Bikaner</v>
      </c>
      <c r="D1960" s="4" t="s">
        <v>3035</v>
      </c>
      <c r="E1960" s="4" t="s">
        <v>3119</v>
      </c>
      <c r="F1960" s="5">
        <v>46070.999664351853</v>
      </c>
      <c r="G1960" s="16" t="str">
        <f t="shared" si="150"/>
        <v>Silica Sand</v>
      </c>
      <c r="H1960" s="4" t="s">
        <v>3001</v>
      </c>
      <c r="I1960" s="18" t="str" cm="1">
        <f t="array" ref="I1960">_xlfn.LET(_xlpm.text, D1960,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0" s="18" t="str" cm="1">
        <f t="array" ref="J1960">_xlfn.LET(_xlpm.text, E1960,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0" s="14">
        <f t="shared" si="151"/>
        <v>46071</v>
      </c>
      <c r="L1960" s="14">
        <f t="shared" si="152"/>
        <v>46071.624664351853</v>
      </c>
      <c r="N1960" s="12"/>
    </row>
    <row r="1961" spans="1:14" x14ac:dyDescent="0.25">
      <c r="A1961" s="4" t="s">
        <v>1991</v>
      </c>
      <c r="B1961" s="16" t="str">
        <f t="shared" si="148"/>
        <v>M/s SHREE VISHNU MINERALS</v>
      </c>
      <c r="C1961" s="16" t="str">
        <f t="shared" si="149"/>
        <v>Mokha Charnan / Kolayat / Bikaner</v>
      </c>
      <c r="D1961" s="4" t="s">
        <v>3035</v>
      </c>
      <c r="E1961" s="4" t="s">
        <v>3119</v>
      </c>
      <c r="F1961" s="5">
        <v>46070.999664351853</v>
      </c>
      <c r="G1961" s="16" t="str">
        <f t="shared" si="150"/>
        <v>Silica Sand</v>
      </c>
      <c r="H1961" s="4" t="s">
        <v>2611</v>
      </c>
      <c r="I1961" s="18" t="str" cm="1">
        <f t="array" ref="I1961">_xlfn.LET(_xlpm.text, D1961,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1" s="18" t="str" cm="1">
        <f t="array" ref="J1961">_xlfn.LET(_xlpm.text, E1961,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1" s="14">
        <f t="shared" si="151"/>
        <v>46071</v>
      </c>
      <c r="L1961" s="14">
        <f t="shared" si="152"/>
        <v>46071.624664351853</v>
      </c>
      <c r="N1961" s="12"/>
    </row>
    <row r="1962" spans="1:14" x14ac:dyDescent="0.25">
      <c r="A1962" s="4" t="s">
        <v>1992</v>
      </c>
      <c r="B1962" s="16" t="str">
        <f t="shared" si="148"/>
        <v>M/s SHREE VISHNU MINERALS</v>
      </c>
      <c r="C1962" s="16" t="str">
        <f t="shared" si="149"/>
        <v>Mokha Charnan / Kolayat / Bikaner</v>
      </c>
      <c r="D1962" s="4" t="s">
        <v>3035</v>
      </c>
      <c r="E1962" s="4" t="s">
        <v>3119</v>
      </c>
      <c r="F1962" s="5">
        <v>46070.999664351853</v>
      </c>
      <c r="G1962" s="16" t="str">
        <f t="shared" si="150"/>
        <v>Silica Sand</v>
      </c>
      <c r="H1962" s="4" t="s">
        <v>2661</v>
      </c>
      <c r="I1962" s="18" t="str" cm="1">
        <f t="array" ref="I1962">_xlfn.LET(_xlpm.text, D1962,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2" s="18" t="str" cm="1">
        <f t="array" ref="J1962">_xlfn.LET(_xlpm.text, E1962,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2" s="14">
        <f t="shared" si="151"/>
        <v>46071</v>
      </c>
      <c r="L1962" s="14">
        <f t="shared" si="152"/>
        <v>46071.624664351853</v>
      </c>
      <c r="N1962" s="12"/>
    </row>
    <row r="1963" spans="1:14" x14ac:dyDescent="0.25">
      <c r="A1963" s="4" t="s">
        <v>1993</v>
      </c>
      <c r="B1963" s="16" t="str">
        <f t="shared" si="148"/>
        <v>M/s SHREE VISHNU MINERALS</v>
      </c>
      <c r="C1963" s="16" t="str">
        <f t="shared" si="149"/>
        <v>Mokha Charnan / Kolayat / Bikaner</v>
      </c>
      <c r="D1963" s="4" t="s">
        <v>3035</v>
      </c>
      <c r="E1963" s="4" t="s">
        <v>3119</v>
      </c>
      <c r="F1963" s="5">
        <v>46071.999664351853</v>
      </c>
      <c r="G1963" s="16" t="str">
        <f t="shared" si="150"/>
        <v>Silica Sand</v>
      </c>
      <c r="H1963" s="4" t="s">
        <v>2926</v>
      </c>
      <c r="I1963" s="18" t="str" cm="1">
        <f t="array" ref="I1963">_xlfn.LET(_xlpm.text, D1963,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3" s="18" t="str" cm="1">
        <f t="array" ref="J1963">_xlfn.LET(_xlpm.text, E1963,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3" s="14">
        <f t="shared" si="151"/>
        <v>46072</v>
      </c>
      <c r="L1963" s="14">
        <f t="shared" si="152"/>
        <v>46072.624664351853</v>
      </c>
      <c r="N1963" s="12"/>
    </row>
    <row r="1964" spans="1:14" x14ac:dyDescent="0.25">
      <c r="A1964" s="4" t="s">
        <v>1994</v>
      </c>
      <c r="B1964" s="16" t="str">
        <f t="shared" si="148"/>
        <v>M/s SHREE VISHNU MINERALS</v>
      </c>
      <c r="C1964" s="16" t="str">
        <f t="shared" si="149"/>
        <v>Mokha Charnan / Kolayat / Bikaner</v>
      </c>
      <c r="D1964" s="4" t="s">
        <v>3035</v>
      </c>
      <c r="E1964" s="4" t="s">
        <v>3119</v>
      </c>
      <c r="F1964" s="5">
        <v>46070.999664351853</v>
      </c>
      <c r="G1964" s="16" t="str">
        <f t="shared" si="150"/>
        <v>Silica Sand</v>
      </c>
      <c r="H1964" s="4" t="s">
        <v>2582</v>
      </c>
      <c r="I1964" s="18" t="str" cm="1">
        <f t="array" ref="I1964">_xlfn.LET(_xlpm.text, D1964,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4" s="18" t="str" cm="1">
        <f t="array" ref="J1964">_xlfn.LET(_xlpm.text, E1964,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4" s="14">
        <f t="shared" si="151"/>
        <v>46071</v>
      </c>
      <c r="L1964" s="14">
        <f t="shared" si="152"/>
        <v>46071.624664351853</v>
      </c>
      <c r="N1964" s="12"/>
    </row>
    <row r="1965" spans="1:14" x14ac:dyDescent="0.25">
      <c r="A1965" s="4" t="s">
        <v>1995</v>
      </c>
      <c r="B1965" s="16" t="str">
        <f t="shared" si="148"/>
        <v>M/s SHREE VISHNU MINERALS</v>
      </c>
      <c r="C1965" s="16" t="str">
        <f t="shared" si="149"/>
        <v>Mokha Charnan / Kolayat / Bikaner</v>
      </c>
      <c r="D1965" s="4" t="s">
        <v>3035</v>
      </c>
      <c r="E1965" s="4" t="s">
        <v>3119</v>
      </c>
      <c r="F1965" s="5">
        <v>46069.999664351853</v>
      </c>
      <c r="G1965" s="16" t="str">
        <f t="shared" si="150"/>
        <v>Silica Sand</v>
      </c>
      <c r="H1965" s="4" t="s">
        <v>2582</v>
      </c>
      <c r="I1965" s="18" t="str" cm="1">
        <f t="array" ref="I1965">_xlfn.LET(_xlpm.text, D1965,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5" s="18" t="str" cm="1">
        <f t="array" ref="J1965">_xlfn.LET(_xlpm.text, E1965,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5" s="14">
        <f t="shared" si="151"/>
        <v>46070</v>
      </c>
      <c r="L1965" s="14">
        <f t="shared" si="152"/>
        <v>46070.624664351853</v>
      </c>
      <c r="N1965" s="12"/>
    </row>
    <row r="1966" spans="1:14" x14ac:dyDescent="0.25">
      <c r="A1966" s="4" t="s">
        <v>1996</v>
      </c>
      <c r="B1966" s="16" t="str">
        <f t="shared" si="148"/>
        <v>M/s SHREE VISHNU MINERALS</v>
      </c>
      <c r="C1966" s="16" t="str">
        <f t="shared" si="149"/>
        <v>Mokha Charnan / Kolayat / Bikaner</v>
      </c>
      <c r="D1966" s="4" t="s">
        <v>3035</v>
      </c>
      <c r="E1966" s="4" t="s">
        <v>3119</v>
      </c>
      <c r="F1966" s="5">
        <v>46070.999664351853</v>
      </c>
      <c r="G1966" s="16" t="str">
        <f t="shared" si="150"/>
        <v>Silica Sand</v>
      </c>
      <c r="H1966" s="4" t="s">
        <v>2315</v>
      </c>
      <c r="I1966" s="18" t="str" cm="1">
        <f t="array" ref="I1966">_xlfn.LET(_xlpm.text, D1966,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6" s="18" t="str" cm="1">
        <f t="array" ref="J1966">_xlfn.LET(_xlpm.text, E1966,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6" s="14">
        <f t="shared" si="151"/>
        <v>46071</v>
      </c>
      <c r="L1966" s="14">
        <f t="shared" si="152"/>
        <v>46071.624664351853</v>
      </c>
      <c r="N1966" s="12"/>
    </row>
    <row r="1967" spans="1:14" x14ac:dyDescent="0.25">
      <c r="A1967" s="4" t="s">
        <v>1997</v>
      </c>
      <c r="B1967" s="16" t="str">
        <f t="shared" si="148"/>
        <v>M/s SHREE VISHNU MINERALS</v>
      </c>
      <c r="C1967" s="16" t="str">
        <f t="shared" si="149"/>
        <v>Mokha Charnan / Kolayat / Bikaner</v>
      </c>
      <c r="D1967" s="4" t="s">
        <v>3035</v>
      </c>
      <c r="E1967" s="4" t="s">
        <v>3119</v>
      </c>
      <c r="F1967" s="5">
        <v>46068.999664351853</v>
      </c>
      <c r="G1967" s="16" t="str">
        <f t="shared" si="150"/>
        <v>Silica Sand</v>
      </c>
      <c r="H1967" s="4" t="s">
        <v>2611</v>
      </c>
      <c r="I1967" s="18" t="str" cm="1">
        <f t="array" ref="I1967">_xlfn.LET(_xlpm.text, D1967,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7" s="18" t="str" cm="1">
        <f t="array" ref="J1967">_xlfn.LET(_xlpm.text, E1967,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7" s="14">
        <f t="shared" si="151"/>
        <v>46069</v>
      </c>
      <c r="L1967" s="14">
        <f t="shared" si="152"/>
        <v>46069.624664351853</v>
      </c>
      <c r="N1967" s="12"/>
    </row>
    <row r="1968" spans="1:14" x14ac:dyDescent="0.25">
      <c r="A1968" s="4" t="s">
        <v>1998</v>
      </c>
      <c r="B1968" s="16" t="str">
        <f t="shared" si="148"/>
        <v>M/s SHREE VISHNU MINERALS</v>
      </c>
      <c r="C1968" s="16" t="str">
        <f t="shared" si="149"/>
        <v>Mokha Charnan / Kolayat / Bikaner</v>
      </c>
      <c r="D1968" s="4" t="s">
        <v>3035</v>
      </c>
      <c r="E1968" s="4" t="s">
        <v>3119</v>
      </c>
      <c r="F1968" s="5">
        <v>46067.999664351853</v>
      </c>
      <c r="G1968" s="16" t="str">
        <f t="shared" si="150"/>
        <v>Silica Sand</v>
      </c>
      <c r="H1968" s="4" t="s">
        <v>2611</v>
      </c>
      <c r="I1968" s="18" t="str" cm="1">
        <f t="array" ref="I1968">_xlfn.LET(_xlpm.text, D1968,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8" s="18" t="str" cm="1">
        <f t="array" ref="J1968">_xlfn.LET(_xlpm.text, E1968,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8" s="14">
        <f t="shared" si="151"/>
        <v>46068</v>
      </c>
      <c r="L1968" s="14">
        <f t="shared" si="152"/>
        <v>46068.624664351853</v>
      </c>
      <c r="N1968" s="12"/>
    </row>
    <row r="1969" spans="1:14" x14ac:dyDescent="0.25">
      <c r="A1969" s="4" t="s">
        <v>1999</v>
      </c>
      <c r="B1969" s="16" t="str">
        <f t="shared" si="148"/>
        <v>M/s SHREE VISHNU MINERALS</v>
      </c>
      <c r="C1969" s="16" t="str">
        <f t="shared" si="149"/>
        <v>Mokha Charnan / Kolayat / Bikaner</v>
      </c>
      <c r="D1969" s="4" t="s">
        <v>3035</v>
      </c>
      <c r="E1969" s="4" t="s">
        <v>3119</v>
      </c>
      <c r="F1969" s="5">
        <v>46068.999664351853</v>
      </c>
      <c r="G1969" s="16" t="str">
        <f t="shared" si="150"/>
        <v>Silica Sand</v>
      </c>
      <c r="H1969" s="4" t="s">
        <v>2918</v>
      </c>
      <c r="I1969" s="18" t="str" cm="1">
        <f t="array" ref="I1969">_xlfn.LET(_xlpm.text, D1969,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69" s="18" t="str" cm="1">
        <f t="array" ref="J1969">_xlfn.LET(_xlpm.text, E1969,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69" s="14">
        <f t="shared" si="151"/>
        <v>46069</v>
      </c>
      <c r="L1969" s="14">
        <f t="shared" si="152"/>
        <v>46069.624664351853</v>
      </c>
      <c r="N1969" s="12"/>
    </row>
    <row r="1970" spans="1:14" x14ac:dyDescent="0.25">
      <c r="A1970" s="4" t="s">
        <v>2000</v>
      </c>
      <c r="B1970" s="16" t="str">
        <f t="shared" si="148"/>
        <v>M/s SHREE VISHNU MINERALS</v>
      </c>
      <c r="C1970" s="16" t="str">
        <f t="shared" si="149"/>
        <v>Mokha Charnan / Kolayat / Bikaner</v>
      </c>
      <c r="D1970" s="4" t="s">
        <v>3035</v>
      </c>
      <c r="E1970" s="4" t="s">
        <v>3119</v>
      </c>
      <c r="F1970" s="5">
        <v>46067.999664351853</v>
      </c>
      <c r="G1970" s="16" t="str">
        <f t="shared" si="150"/>
        <v>Silica Sand</v>
      </c>
      <c r="H1970" s="4" t="s">
        <v>2960</v>
      </c>
      <c r="I1970" s="18" t="str" cm="1">
        <f t="array" ref="I1970">_xlfn.LET(_xlpm.text, D1970,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0" s="18" t="str" cm="1">
        <f t="array" ref="J1970">_xlfn.LET(_xlpm.text, E1970,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0" s="14">
        <f t="shared" si="151"/>
        <v>46068</v>
      </c>
      <c r="L1970" s="14">
        <f t="shared" si="152"/>
        <v>46068.624664351853</v>
      </c>
      <c r="N1970" s="12"/>
    </row>
    <row r="1971" spans="1:14" x14ac:dyDescent="0.25">
      <c r="A1971" s="4" t="s">
        <v>2001</v>
      </c>
      <c r="B1971" s="16" t="str">
        <f t="shared" si="148"/>
        <v>M/s SHREE VISHNU MINERALS</v>
      </c>
      <c r="C1971" s="16" t="str">
        <f t="shared" si="149"/>
        <v>Mokha Charnan / Kolayat / Bikaner</v>
      </c>
      <c r="D1971" s="4" t="s">
        <v>3035</v>
      </c>
      <c r="E1971" s="4" t="s">
        <v>3119</v>
      </c>
      <c r="F1971" s="5">
        <v>46068.999664351853</v>
      </c>
      <c r="G1971" s="16" t="str">
        <f t="shared" si="150"/>
        <v>Silica Sand</v>
      </c>
      <c r="H1971" s="4" t="s">
        <v>3002</v>
      </c>
      <c r="I1971" s="18" t="str" cm="1">
        <f t="array" ref="I1971">_xlfn.LET(_xlpm.text, D1971,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1" s="18" t="str" cm="1">
        <f t="array" ref="J1971">_xlfn.LET(_xlpm.text, E1971,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1" s="14">
        <f t="shared" si="151"/>
        <v>46069</v>
      </c>
      <c r="L1971" s="14">
        <f t="shared" si="152"/>
        <v>46069.624664351853</v>
      </c>
      <c r="N1971" s="12"/>
    </row>
    <row r="1972" spans="1:14" x14ac:dyDescent="0.25">
      <c r="A1972" s="4" t="s">
        <v>2002</v>
      </c>
      <c r="B1972" s="16" t="str">
        <f t="shared" si="148"/>
        <v>M/s SHREE VISHNU MINERALS</v>
      </c>
      <c r="C1972" s="16" t="str">
        <f t="shared" si="149"/>
        <v>Mokha Charnan / Kolayat / Bikaner</v>
      </c>
      <c r="D1972" s="4" t="s">
        <v>3035</v>
      </c>
      <c r="E1972" s="4" t="s">
        <v>3119</v>
      </c>
      <c r="F1972" s="5">
        <v>46068.999664351853</v>
      </c>
      <c r="G1972" s="16" t="str">
        <f t="shared" si="150"/>
        <v>Silica Sand</v>
      </c>
      <c r="H1972" s="4" t="s">
        <v>2856</v>
      </c>
      <c r="I1972" s="18" t="str" cm="1">
        <f t="array" ref="I1972">_xlfn.LET(_xlpm.text, D1972,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2" s="18" t="str" cm="1">
        <f t="array" ref="J1972">_xlfn.LET(_xlpm.text, E1972,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2" s="14">
        <f t="shared" si="151"/>
        <v>46069</v>
      </c>
      <c r="L1972" s="14">
        <f t="shared" si="152"/>
        <v>46069.624664351853</v>
      </c>
      <c r="N1972" s="12"/>
    </row>
    <row r="1973" spans="1:14" x14ac:dyDescent="0.25">
      <c r="A1973" s="4" t="s">
        <v>2003</v>
      </c>
      <c r="B1973" s="16" t="str">
        <f t="shared" si="148"/>
        <v>M/s SHREE VISHNU MINERALS</v>
      </c>
      <c r="C1973" s="16" t="str">
        <f t="shared" si="149"/>
        <v>Mokha Charnan / Kolayat / Bikaner</v>
      </c>
      <c r="D1973" s="4" t="s">
        <v>3035</v>
      </c>
      <c r="E1973" s="4" t="s">
        <v>3119</v>
      </c>
      <c r="F1973" s="5">
        <v>46068.999664351853</v>
      </c>
      <c r="G1973" s="16" t="str">
        <f t="shared" si="150"/>
        <v>Silica Sand</v>
      </c>
      <c r="H1973" s="4" t="s">
        <v>2895</v>
      </c>
      <c r="I1973" s="18" t="str" cm="1">
        <f t="array" ref="I1973">_xlfn.LET(_xlpm.text, D1973,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3" s="18" t="str" cm="1">
        <f t="array" ref="J1973">_xlfn.LET(_xlpm.text, E1973,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3" s="14">
        <f t="shared" si="151"/>
        <v>46069</v>
      </c>
      <c r="L1973" s="14">
        <f t="shared" si="152"/>
        <v>46069.624664351853</v>
      </c>
      <c r="N1973" s="12"/>
    </row>
    <row r="1974" spans="1:14" x14ac:dyDescent="0.25">
      <c r="A1974" s="4" t="s">
        <v>2004</v>
      </c>
      <c r="B1974" s="16" t="str">
        <f t="shared" si="148"/>
        <v>M/s SHREE VISHNU MINERALS</v>
      </c>
      <c r="C1974" s="16" t="str">
        <f t="shared" si="149"/>
        <v>Mokha Charnan / Kolayat / Bikaner</v>
      </c>
      <c r="D1974" s="4" t="s">
        <v>3035</v>
      </c>
      <c r="E1974" s="4" t="s">
        <v>3119</v>
      </c>
      <c r="F1974" s="5">
        <v>46069.999664351853</v>
      </c>
      <c r="G1974" s="16" t="str">
        <f t="shared" si="150"/>
        <v>Silica Sand</v>
      </c>
      <c r="H1974" s="4" t="s">
        <v>3002</v>
      </c>
      <c r="I1974" s="18" t="str" cm="1">
        <f t="array" ref="I1974">_xlfn.LET(_xlpm.text, D1974,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4" s="18" t="str" cm="1">
        <f t="array" ref="J1974">_xlfn.LET(_xlpm.text, E1974,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4" s="14">
        <f t="shared" si="151"/>
        <v>46070</v>
      </c>
      <c r="L1974" s="14">
        <f t="shared" si="152"/>
        <v>46070.624664351853</v>
      </c>
      <c r="N1974" s="12"/>
    </row>
    <row r="1975" spans="1:14" x14ac:dyDescent="0.25">
      <c r="A1975" s="4" t="s">
        <v>2005</v>
      </c>
      <c r="B1975" s="16" t="str">
        <f t="shared" si="148"/>
        <v>M/s SHREE VISHNU MINERALS</v>
      </c>
      <c r="C1975" s="16" t="str">
        <f t="shared" si="149"/>
        <v>Mokha Charnan / Kolayat / Bikaner</v>
      </c>
      <c r="D1975" s="4" t="s">
        <v>3035</v>
      </c>
      <c r="E1975" s="4" t="s">
        <v>3119</v>
      </c>
      <c r="F1975" s="5">
        <v>46068.999664351853</v>
      </c>
      <c r="G1975" s="16" t="str">
        <f t="shared" si="150"/>
        <v>Silica Sand</v>
      </c>
      <c r="H1975" s="4" t="s">
        <v>2582</v>
      </c>
      <c r="I1975" s="18" t="str" cm="1">
        <f t="array" ref="I1975">_xlfn.LET(_xlpm.text, D1975,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5" s="18" t="str" cm="1">
        <f t="array" ref="J1975">_xlfn.LET(_xlpm.text, E1975,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5" s="14">
        <f t="shared" si="151"/>
        <v>46069</v>
      </c>
      <c r="L1975" s="14">
        <f t="shared" si="152"/>
        <v>46069.624664351853</v>
      </c>
      <c r="N1975" s="12"/>
    </row>
    <row r="1976" spans="1:14" x14ac:dyDescent="0.25">
      <c r="A1976" s="4" t="s">
        <v>2006</v>
      </c>
      <c r="B1976" s="16" t="str">
        <f t="shared" si="148"/>
        <v>M/s SHREE VISHNU MINERALS</v>
      </c>
      <c r="C1976" s="16" t="str">
        <f t="shared" si="149"/>
        <v>Mokha Charnan / Kolayat / Bikaner</v>
      </c>
      <c r="D1976" s="4" t="s">
        <v>3035</v>
      </c>
      <c r="E1976" s="4" t="s">
        <v>3119</v>
      </c>
      <c r="F1976" s="5">
        <v>46069.999664351853</v>
      </c>
      <c r="G1976" s="16" t="str">
        <f t="shared" si="150"/>
        <v>Silica Sand</v>
      </c>
      <c r="H1976" s="4" t="s">
        <v>2399</v>
      </c>
      <c r="I1976" s="18" t="str" cm="1">
        <f t="array" ref="I1976">_xlfn.LET(_xlpm.text, D1976,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6" s="18" t="str" cm="1">
        <f t="array" ref="J1976">_xlfn.LET(_xlpm.text, E1976,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6" s="14">
        <f t="shared" si="151"/>
        <v>46070</v>
      </c>
      <c r="L1976" s="14">
        <f t="shared" si="152"/>
        <v>46070.624664351853</v>
      </c>
      <c r="N1976" s="12"/>
    </row>
    <row r="1977" spans="1:14" x14ac:dyDescent="0.25">
      <c r="A1977" s="4" t="s">
        <v>2007</v>
      </c>
      <c r="B1977" s="16" t="str">
        <f t="shared" si="148"/>
        <v>M/s SHREE VISHNU MINERALS</v>
      </c>
      <c r="C1977" s="16" t="str">
        <f t="shared" si="149"/>
        <v>Mokha Charnan / Kolayat / Bikaner</v>
      </c>
      <c r="D1977" s="4" t="s">
        <v>3035</v>
      </c>
      <c r="E1977" s="4" t="s">
        <v>3119</v>
      </c>
      <c r="F1977" s="5">
        <v>46069.999664351853</v>
      </c>
      <c r="G1977" s="16" t="str">
        <f t="shared" si="150"/>
        <v>Silica Sand</v>
      </c>
      <c r="H1977" s="4" t="s">
        <v>2895</v>
      </c>
      <c r="I1977" s="18" t="str" cm="1">
        <f t="array" ref="I1977">_xlfn.LET(_xlpm.text, D1977,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7" s="18" t="str" cm="1">
        <f t="array" ref="J1977">_xlfn.LET(_xlpm.text, E1977,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7" s="14">
        <f t="shared" si="151"/>
        <v>46070</v>
      </c>
      <c r="L1977" s="14">
        <f t="shared" si="152"/>
        <v>46070.624664351853</v>
      </c>
      <c r="N1977" s="12"/>
    </row>
    <row r="1978" spans="1:14" x14ac:dyDescent="0.25">
      <c r="A1978" s="4" t="s">
        <v>2008</v>
      </c>
      <c r="B1978" s="16" t="str">
        <f t="shared" si="148"/>
        <v>M/s SHREE VISHNU MINERALS</v>
      </c>
      <c r="C1978" s="16" t="str">
        <f t="shared" si="149"/>
        <v>Mokha Charnan / Kolayat / Bikaner</v>
      </c>
      <c r="D1978" s="4" t="s">
        <v>3035</v>
      </c>
      <c r="E1978" s="4" t="s">
        <v>3119</v>
      </c>
      <c r="F1978" s="5">
        <v>46069.999664351853</v>
      </c>
      <c r="G1978" s="16" t="str">
        <f t="shared" si="150"/>
        <v>Silica Sand</v>
      </c>
      <c r="H1978" s="4" t="s">
        <v>2315</v>
      </c>
      <c r="I1978" s="18" t="str" cm="1">
        <f t="array" ref="I1978">_xlfn.LET(_xlpm.text, D1978,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8" s="18" t="str" cm="1">
        <f t="array" ref="J1978">_xlfn.LET(_xlpm.text, E1978,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8" s="14">
        <f t="shared" si="151"/>
        <v>46070</v>
      </c>
      <c r="L1978" s="14">
        <f t="shared" si="152"/>
        <v>46070.624664351853</v>
      </c>
      <c r="N1978" s="12"/>
    </row>
    <row r="1979" spans="1:14" x14ac:dyDescent="0.25">
      <c r="A1979" s="4" t="s">
        <v>2009</v>
      </c>
      <c r="B1979" s="16" t="str">
        <f t="shared" si="148"/>
        <v>M/s SHREE VISHNU MINERALS</v>
      </c>
      <c r="C1979" s="16" t="str">
        <f t="shared" si="149"/>
        <v>Mokha Charnan / Kolayat / Bikaner</v>
      </c>
      <c r="D1979" s="4" t="s">
        <v>3035</v>
      </c>
      <c r="E1979" s="4" t="s">
        <v>3119</v>
      </c>
      <c r="F1979" s="5">
        <v>46067.999664351853</v>
      </c>
      <c r="G1979" s="16" t="str">
        <f t="shared" si="150"/>
        <v>Silica Sand</v>
      </c>
      <c r="H1979" s="4" t="s">
        <v>2315</v>
      </c>
      <c r="I1979" s="18" t="str" cm="1">
        <f t="array" ref="I1979">_xlfn.LET(_xlpm.text, D1979,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79" s="18" t="str" cm="1">
        <f t="array" ref="J1979">_xlfn.LET(_xlpm.text, E1979,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79" s="14">
        <f t="shared" si="151"/>
        <v>46068</v>
      </c>
      <c r="L1979" s="14">
        <f t="shared" si="152"/>
        <v>46068.624664351853</v>
      </c>
      <c r="N1979" s="12"/>
    </row>
    <row r="1980" spans="1:14" x14ac:dyDescent="0.25">
      <c r="A1980" s="4" t="s">
        <v>2010</v>
      </c>
      <c r="B1980" s="16" t="str">
        <f t="shared" si="148"/>
        <v>M/s SHREE VISHNU MINERALS</v>
      </c>
      <c r="C1980" s="16" t="str">
        <f t="shared" si="149"/>
        <v>Mokha Charnan / Kolayat / Bikaner</v>
      </c>
      <c r="D1980" s="4" t="s">
        <v>3035</v>
      </c>
      <c r="E1980" s="4" t="s">
        <v>3119</v>
      </c>
      <c r="F1980" s="5">
        <v>46067.999664351853</v>
      </c>
      <c r="G1980" s="16" t="str">
        <f t="shared" si="150"/>
        <v>Silica Sand</v>
      </c>
      <c r="H1980" s="4" t="s">
        <v>2895</v>
      </c>
      <c r="I1980" s="18" t="str" cm="1">
        <f t="array" ref="I1980">_xlfn.LET(_xlpm.text, D1980,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0" s="18" t="str" cm="1">
        <f t="array" ref="J1980">_xlfn.LET(_xlpm.text, E1980,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0" s="14">
        <f t="shared" si="151"/>
        <v>46068</v>
      </c>
      <c r="L1980" s="14">
        <f t="shared" si="152"/>
        <v>46068.624664351853</v>
      </c>
      <c r="N1980" s="12"/>
    </row>
    <row r="1981" spans="1:14" x14ac:dyDescent="0.25">
      <c r="A1981" s="4" t="s">
        <v>2011</v>
      </c>
      <c r="B1981" s="16" t="str">
        <f t="shared" si="148"/>
        <v>M/s SHREE VISHNU MINERALS</v>
      </c>
      <c r="C1981" s="16" t="str">
        <f t="shared" si="149"/>
        <v>Mokha Charnan / Kolayat / Bikaner</v>
      </c>
      <c r="D1981" s="4" t="s">
        <v>3035</v>
      </c>
      <c r="E1981" s="4" t="s">
        <v>3119</v>
      </c>
      <c r="F1981" s="5">
        <v>46067.999664351853</v>
      </c>
      <c r="G1981" s="16" t="str">
        <f t="shared" si="150"/>
        <v>Silica Sand</v>
      </c>
      <c r="H1981" s="4" t="s">
        <v>3003</v>
      </c>
      <c r="I1981" s="18" t="str" cm="1">
        <f t="array" ref="I1981">_xlfn.LET(_xlpm.text, D1981,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1" s="18" t="str" cm="1">
        <f t="array" ref="J1981">_xlfn.LET(_xlpm.text, E1981,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1" s="14">
        <f t="shared" si="151"/>
        <v>46068</v>
      </c>
      <c r="L1981" s="14">
        <f t="shared" si="152"/>
        <v>46068.624664351853</v>
      </c>
      <c r="N1981" s="12"/>
    </row>
    <row r="1982" spans="1:14" x14ac:dyDescent="0.25">
      <c r="A1982" s="4" t="s">
        <v>2012</v>
      </c>
      <c r="B1982" s="16" t="str">
        <f t="shared" si="148"/>
        <v>M/s SHREE VISHNU MINERALS</v>
      </c>
      <c r="C1982" s="16" t="str">
        <f t="shared" si="149"/>
        <v>Mokha Charnan / Kolayat / Bikaner</v>
      </c>
      <c r="D1982" s="4" t="s">
        <v>3035</v>
      </c>
      <c r="E1982" s="4" t="s">
        <v>3119</v>
      </c>
      <c r="F1982" s="5">
        <v>46067.999664351853</v>
      </c>
      <c r="G1982" s="16" t="str">
        <f t="shared" si="150"/>
        <v>Silica Sand</v>
      </c>
      <c r="H1982" s="4" t="s">
        <v>2926</v>
      </c>
      <c r="I1982" s="18" t="str" cm="1">
        <f t="array" ref="I1982">_xlfn.LET(_xlpm.text, D1982,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2" s="18" t="str" cm="1">
        <f t="array" ref="J1982">_xlfn.LET(_xlpm.text, E1982,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2" s="14">
        <f t="shared" si="151"/>
        <v>46068</v>
      </c>
      <c r="L1982" s="14">
        <f t="shared" si="152"/>
        <v>46068.624664351853</v>
      </c>
      <c r="N1982" s="12"/>
    </row>
    <row r="1983" spans="1:14" x14ac:dyDescent="0.25">
      <c r="A1983" s="4" t="s">
        <v>2013</v>
      </c>
      <c r="B1983" s="16" t="str">
        <f t="shared" si="148"/>
        <v>M/s SHREE VISHNU MINERALS</v>
      </c>
      <c r="C1983" s="16" t="str">
        <f t="shared" si="149"/>
        <v>Mokha Charnan / Kolayat / Bikaner</v>
      </c>
      <c r="D1983" s="4" t="s">
        <v>3035</v>
      </c>
      <c r="E1983" s="4" t="s">
        <v>3119</v>
      </c>
      <c r="F1983" s="5">
        <v>46067.999664351853</v>
      </c>
      <c r="G1983" s="16" t="str">
        <f t="shared" si="150"/>
        <v>Silica Sand</v>
      </c>
      <c r="H1983" s="4" t="s">
        <v>2766</v>
      </c>
      <c r="I1983" s="18" t="str" cm="1">
        <f t="array" ref="I1983">_xlfn.LET(_xlpm.text, D1983,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3" s="18" t="str" cm="1">
        <f t="array" ref="J1983">_xlfn.LET(_xlpm.text, E1983,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3" s="14">
        <f t="shared" si="151"/>
        <v>46068</v>
      </c>
      <c r="L1983" s="14">
        <f t="shared" si="152"/>
        <v>46068.624664351853</v>
      </c>
      <c r="N1983" s="12"/>
    </row>
    <row r="1984" spans="1:14" x14ac:dyDescent="0.25">
      <c r="A1984" s="4" t="s">
        <v>2014</v>
      </c>
      <c r="B1984" s="16" t="str">
        <f t="shared" si="148"/>
        <v>M/s SHREE VISHNU MINERALS</v>
      </c>
      <c r="C1984" s="16" t="str">
        <f t="shared" si="149"/>
        <v>Mokha Charnan / Kolayat / Bikaner</v>
      </c>
      <c r="D1984" s="4" t="s">
        <v>3035</v>
      </c>
      <c r="E1984" s="4" t="s">
        <v>3119</v>
      </c>
      <c r="F1984" s="5">
        <v>46067.999664351853</v>
      </c>
      <c r="G1984" s="16" t="str">
        <f t="shared" si="150"/>
        <v>Silica Sand</v>
      </c>
      <c r="H1984" s="4" t="s">
        <v>2582</v>
      </c>
      <c r="I1984" s="18" t="str" cm="1">
        <f t="array" ref="I1984">_xlfn.LET(_xlpm.text, D1984,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4" s="18" t="str" cm="1">
        <f t="array" ref="J1984">_xlfn.LET(_xlpm.text, E1984,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4" s="14">
        <f t="shared" si="151"/>
        <v>46068</v>
      </c>
      <c r="L1984" s="14">
        <f t="shared" si="152"/>
        <v>46068.624664351853</v>
      </c>
      <c r="N1984" s="12"/>
    </row>
    <row r="1985" spans="1:14" x14ac:dyDescent="0.25">
      <c r="A1985" s="4" t="s">
        <v>2015</v>
      </c>
      <c r="B1985" s="16" t="str">
        <f t="shared" si="148"/>
        <v>M/s SHREE VISHNU MINERALS</v>
      </c>
      <c r="C1985" s="16" t="str">
        <f t="shared" si="149"/>
        <v>Mokha Charnan / Kolayat / Bikaner</v>
      </c>
      <c r="D1985" s="4" t="s">
        <v>3035</v>
      </c>
      <c r="E1985" s="4" t="s">
        <v>3119</v>
      </c>
      <c r="F1985" s="5">
        <v>46066.999664351853</v>
      </c>
      <c r="G1985" s="16" t="str">
        <f t="shared" si="150"/>
        <v>Silica Sand</v>
      </c>
      <c r="H1985" s="4" t="s">
        <v>2926</v>
      </c>
      <c r="I1985" s="18" t="str" cm="1">
        <f t="array" ref="I1985">_xlfn.LET(_xlpm.text, D1985,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5" s="18" t="str" cm="1">
        <f t="array" ref="J1985">_xlfn.LET(_xlpm.text, E1985,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5" s="14">
        <f t="shared" si="151"/>
        <v>46067</v>
      </c>
      <c r="L1985" s="14">
        <f t="shared" si="152"/>
        <v>46067.624664351853</v>
      </c>
      <c r="N1985" s="12"/>
    </row>
    <row r="1986" spans="1:14" x14ac:dyDescent="0.25">
      <c r="A1986" s="4" t="s">
        <v>2016</v>
      </c>
      <c r="B1986" s="16" t="str">
        <f t="shared" ref="B1986:B2049" si="153">VLOOKUP(LEFT($A1986,4)&amp;"*",$O$3:$R$17, 2, FALSE)</f>
        <v>M/s SHREE VISHNU MINERALS</v>
      </c>
      <c r="C1986" s="16" t="str">
        <f t="shared" ref="C1986:C2049" si="154">VLOOKUP(LEFT($A1986,4)&amp;"*",$O$3:$R$17, 3, FALSE)</f>
        <v>Mokha Charnan / Kolayat / Bikaner</v>
      </c>
      <c r="D1986" s="4" t="s">
        <v>3035</v>
      </c>
      <c r="E1986" s="4" t="s">
        <v>3119</v>
      </c>
      <c r="F1986" s="5">
        <v>46067.999664351853</v>
      </c>
      <c r="G1986" s="16" t="str">
        <f t="shared" ref="G1986:G2049" si="155">VLOOKUP(LEFT($A1986,4)&amp;"*",$O$3:$R$17, 4, FALSE)</f>
        <v>Silica Sand</v>
      </c>
      <c r="H1986" s="4" t="s">
        <v>3002</v>
      </c>
      <c r="I1986" s="18" t="str" cm="1">
        <f t="array" ref="I1986">_xlfn.LET(_xlpm.text, D1986,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6" s="18" t="str" cm="1">
        <f t="array" ref="J1986">_xlfn.LET(_xlpm.text, E1986,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6" s="14">
        <f t="shared" si="151"/>
        <v>46068</v>
      </c>
      <c r="L1986" s="14">
        <f t="shared" si="152"/>
        <v>46068.624664351853</v>
      </c>
      <c r="N1986" s="12"/>
    </row>
    <row r="1987" spans="1:14" x14ac:dyDescent="0.25">
      <c r="A1987" s="4" t="s">
        <v>2017</v>
      </c>
      <c r="B1987" s="16" t="str">
        <f t="shared" si="153"/>
        <v>M/s SHREE VISHNU MINERALS</v>
      </c>
      <c r="C1987" s="16" t="str">
        <f t="shared" si="154"/>
        <v>Mokha Charnan / Kolayat / Bikaner</v>
      </c>
      <c r="D1987" s="4" t="s">
        <v>3035</v>
      </c>
      <c r="E1987" s="4" t="s">
        <v>3119</v>
      </c>
      <c r="F1987" s="5">
        <v>46066.999664351853</v>
      </c>
      <c r="G1987" s="16" t="str">
        <f t="shared" si="155"/>
        <v>Silica Sand</v>
      </c>
      <c r="H1987" s="4" t="s">
        <v>344</v>
      </c>
      <c r="I1987" s="18" t="str" cm="1">
        <f t="array" ref="I1987">_xlfn.LET(_xlpm.text, D1987,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7" s="18" t="str" cm="1">
        <f t="array" ref="J1987">_xlfn.LET(_xlpm.text, E1987,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7" s="14">
        <f t="shared" ref="K1987:K2050" si="156">F1987+(29/86400)</f>
        <v>46067</v>
      </c>
      <c r="L1987" s="14">
        <f t="shared" ref="L1987:L2050" si="157">F1987+(15/24)</f>
        <v>46067.624664351853</v>
      </c>
      <c r="N1987" s="12"/>
    </row>
    <row r="1988" spans="1:14" x14ac:dyDescent="0.25">
      <c r="A1988" s="4" t="s">
        <v>2018</v>
      </c>
      <c r="B1988" s="16" t="str">
        <f t="shared" si="153"/>
        <v>M/s SHREE VISHNU MINERALS</v>
      </c>
      <c r="C1988" s="16" t="str">
        <f t="shared" si="154"/>
        <v>Mokha Charnan / Kolayat / Bikaner</v>
      </c>
      <c r="D1988" s="4" t="s">
        <v>3035</v>
      </c>
      <c r="E1988" s="4" t="s">
        <v>3119</v>
      </c>
      <c r="F1988" s="5">
        <v>46067.999664351853</v>
      </c>
      <c r="G1988" s="16" t="str">
        <f t="shared" si="155"/>
        <v>Silica Sand</v>
      </c>
      <c r="H1988" s="4" t="s">
        <v>2912</v>
      </c>
      <c r="I1988" s="18" t="str" cm="1">
        <f t="array" ref="I1988">_xlfn.LET(_xlpm.text, D1988,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8" s="18" t="str" cm="1">
        <f t="array" ref="J1988">_xlfn.LET(_xlpm.text, E1988,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8" s="14">
        <f t="shared" si="156"/>
        <v>46068</v>
      </c>
      <c r="L1988" s="14">
        <f t="shared" si="157"/>
        <v>46068.624664351853</v>
      </c>
      <c r="N1988" s="12"/>
    </row>
    <row r="1989" spans="1:14" x14ac:dyDescent="0.25">
      <c r="A1989" s="4" t="s">
        <v>2019</v>
      </c>
      <c r="B1989" s="16" t="str">
        <f t="shared" si="153"/>
        <v>M/s SHREE VISHNU MINERALS</v>
      </c>
      <c r="C1989" s="16" t="str">
        <f t="shared" si="154"/>
        <v>Mokha Charnan / Kolayat / Bikaner</v>
      </c>
      <c r="D1989" s="4" t="s">
        <v>3035</v>
      </c>
      <c r="E1989" s="4" t="s">
        <v>3119</v>
      </c>
      <c r="F1989" s="5">
        <v>46066.999664351853</v>
      </c>
      <c r="G1989" s="16" t="str">
        <f t="shared" si="155"/>
        <v>Silica Sand</v>
      </c>
      <c r="H1989" s="4" t="s">
        <v>2895</v>
      </c>
      <c r="I1989" s="18" t="str" cm="1">
        <f t="array" ref="I1989">_xlfn.LET(_xlpm.text, D1989,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89" s="18" t="str" cm="1">
        <f t="array" ref="J1989">_xlfn.LET(_xlpm.text, E1989,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89" s="14">
        <f t="shared" si="156"/>
        <v>46067</v>
      </c>
      <c r="L1989" s="14">
        <f t="shared" si="157"/>
        <v>46067.624664351853</v>
      </c>
      <c r="N1989" s="12"/>
    </row>
    <row r="1990" spans="1:14" x14ac:dyDescent="0.25">
      <c r="A1990" s="4" t="s">
        <v>2020</v>
      </c>
      <c r="B1990" s="16" t="str">
        <f t="shared" si="153"/>
        <v>M/s SHREE VISHNU MINERALS</v>
      </c>
      <c r="C1990" s="16" t="str">
        <f t="shared" si="154"/>
        <v>Mokha Charnan / Kolayat / Bikaner</v>
      </c>
      <c r="D1990" s="4" t="s">
        <v>3035</v>
      </c>
      <c r="E1990" s="4" t="s">
        <v>3119</v>
      </c>
      <c r="F1990" s="5">
        <v>46066.999664351853</v>
      </c>
      <c r="G1990" s="16" t="str">
        <f t="shared" si="155"/>
        <v>Silica Sand</v>
      </c>
      <c r="H1990" s="4" t="s">
        <v>2582</v>
      </c>
      <c r="I1990" s="18" t="str" cm="1">
        <f t="array" ref="I1990">_xlfn.LET(_xlpm.text, D1990,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0" s="18" t="str" cm="1">
        <f t="array" ref="J1990">_xlfn.LET(_xlpm.text, E1990,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0" s="14">
        <f t="shared" si="156"/>
        <v>46067</v>
      </c>
      <c r="L1990" s="14">
        <f t="shared" si="157"/>
        <v>46067.624664351853</v>
      </c>
      <c r="N1990" s="12"/>
    </row>
    <row r="1991" spans="1:14" x14ac:dyDescent="0.25">
      <c r="A1991" s="4" t="s">
        <v>2021</v>
      </c>
      <c r="B1991" s="16" t="str">
        <f t="shared" si="153"/>
        <v>M/s SHREE VISHNU MINERALS</v>
      </c>
      <c r="C1991" s="16" t="str">
        <f t="shared" si="154"/>
        <v>Mokha Charnan / Kolayat / Bikaner</v>
      </c>
      <c r="D1991" s="4" t="s">
        <v>3035</v>
      </c>
      <c r="E1991" s="4" t="s">
        <v>3119</v>
      </c>
      <c r="F1991" s="5">
        <v>46066.999664351853</v>
      </c>
      <c r="G1991" s="16" t="str">
        <f t="shared" si="155"/>
        <v>Silica Sand</v>
      </c>
      <c r="H1991" s="4" t="s">
        <v>2611</v>
      </c>
      <c r="I1991" s="18" t="str" cm="1">
        <f t="array" ref="I1991">_xlfn.LET(_xlpm.text, D1991,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1" s="18" t="str" cm="1">
        <f t="array" ref="J1991">_xlfn.LET(_xlpm.text, E1991,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1" s="14">
        <f t="shared" si="156"/>
        <v>46067</v>
      </c>
      <c r="L1991" s="14">
        <f t="shared" si="157"/>
        <v>46067.624664351853</v>
      </c>
      <c r="N1991" s="12"/>
    </row>
    <row r="1992" spans="1:14" x14ac:dyDescent="0.25">
      <c r="A1992" s="4" t="s">
        <v>2022</v>
      </c>
      <c r="B1992" s="16" t="str">
        <f t="shared" si="153"/>
        <v>M/s SHREE VISHNU MINERALS</v>
      </c>
      <c r="C1992" s="16" t="str">
        <f t="shared" si="154"/>
        <v>Mokha Charnan / Kolayat / Bikaner</v>
      </c>
      <c r="D1992" s="4" t="s">
        <v>3035</v>
      </c>
      <c r="E1992" s="4" t="s">
        <v>3119</v>
      </c>
      <c r="F1992" s="5">
        <v>46065.999664351853</v>
      </c>
      <c r="G1992" s="16" t="str">
        <f t="shared" si="155"/>
        <v>Silica Sand</v>
      </c>
      <c r="H1992" s="4" t="s">
        <v>2315</v>
      </c>
      <c r="I1992" s="18" t="str" cm="1">
        <f t="array" ref="I1992">_xlfn.LET(_xlpm.text, D1992,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2" s="18" t="str" cm="1">
        <f t="array" ref="J1992">_xlfn.LET(_xlpm.text, E1992,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2" s="14">
        <f t="shared" si="156"/>
        <v>46066</v>
      </c>
      <c r="L1992" s="14">
        <f t="shared" si="157"/>
        <v>46066.624664351853</v>
      </c>
      <c r="N1992" s="12"/>
    </row>
    <row r="1993" spans="1:14" x14ac:dyDescent="0.25">
      <c r="A1993" s="4" t="s">
        <v>2023</v>
      </c>
      <c r="B1993" s="16" t="str">
        <f t="shared" si="153"/>
        <v>M/s SHREE VISHNU MINERALS</v>
      </c>
      <c r="C1993" s="16" t="str">
        <f t="shared" si="154"/>
        <v>Mokha Charnan / Kolayat / Bikaner</v>
      </c>
      <c r="D1993" s="4" t="s">
        <v>3035</v>
      </c>
      <c r="E1993" s="4" t="s">
        <v>3119</v>
      </c>
      <c r="F1993" s="5">
        <v>46065.999664351853</v>
      </c>
      <c r="G1993" s="16" t="str">
        <f t="shared" si="155"/>
        <v>Silica Sand</v>
      </c>
      <c r="H1993" s="4" t="s">
        <v>2960</v>
      </c>
      <c r="I1993" s="18" t="str" cm="1">
        <f t="array" ref="I1993">_xlfn.LET(_xlpm.text, D1993,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3" s="18" t="str" cm="1">
        <f t="array" ref="J1993">_xlfn.LET(_xlpm.text, E1993,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3" s="14">
        <f t="shared" si="156"/>
        <v>46066</v>
      </c>
      <c r="L1993" s="14">
        <f t="shared" si="157"/>
        <v>46066.624664351853</v>
      </c>
      <c r="N1993" s="12"/>
    </row>
    <row r="1994" spans="1:14" x14ac:dyDescent="0.25">
      <c r="A1994" s="4" t="s">
        <v>2024</v>
      </c>
      <c r="B1994" s="16" t="str">
        <f t="shared" si="153"/>
        <v>M/s SHREE VISHNU MINERALS</v>
      </c>
      <c r="C1994" s="16" t="str">
        <f t="shared" si="154"/>
        <v>Mokha Charnan / Kolayat / Bikaner</v>
      </c>
      <c r="D1994" s="4" t="s">
        <v>3035</v>
      </c>
      <c r="E1994" s="4" t="s">
        <v>3119</v>
      </c>
      <c r="F1994" s="5">
        <v>46066.999664351853</v>
      </c>
      <c r="G1994" s="16" t="str">
        <f t="shared" si="155"/>
        <v>Silica Sand</v>
      </c>
      <c r="H1994" s="4" t="s">
        <v>2315</v>
      </c>
      <c r="I1994" s="18" t="str" cm="1">
        <f t="array" ref="I1994">_xlfn.LET(_xlpm.text, D1994,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4" s="18" t="str" cm="1">
        <f t="array" ref="J1994">_xlfn.LET(_xlpm.text, E1994,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4" s="14">
        <f t="shared" si="156"/>
        <v>46067</v>
      </c>
      <c r="L1994" s="14">
        <f t="shared" si="157"/>
        <v>46067.624664351853</v>
      </c>
      <c r="N1994" s="12"/>
    </row>
    <row r="1995" spans="1:14" x14ac:dyDescent="0.25">
      <c r="A1995" s="4" t="s">
        <v>2025</v>
      </c>
      <c r="B1995" s="16" t="str">
        <f t="shared" si="153"/>
        <v>M/s SHREE VISHNU MINERALS</v>
      </c>
      <c r="C1995" s="16" t="str">
        <f t="shared" si="154"/>
        <v>Mokha Charnan / Kolayat / Bikaner</v>
      </c>
      <c r="D1995" s="4" t="s">
        <v>3035</v>
      </c>
      <c r="E1995" s="4" t="s">
        <v>3119</v>
      </c>
      <c r="F1995" s="5">
        <v>46066.999664351853</v>
      </c>
      <c r="G1995" s="16" t="str">
        <f t="shared" si="155"/>
        <v>Silica Sand</v>
      </c>
      <c r="H1995" s="4" t="s">
        <v>3001</v>
      </c>
      <c r="I1995" s="18" t="str" cm="1">
        <f t="array" ref="I1995">_xlfn.LET(_xlpm.text, D1995,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5" s="18" t="str" cm="1">
        <f t="array" ref="J1995">_xlfn.LET(_xlpm.text, E1995,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5" s="14">
        <f t="shared" si="156"/>
        <v>46067</v>
      </c>
      <c r="L1995" s="14">
        <f t="shared" si="157"/>
        <v>46067.624664351853</v>
      </c>
      <c r="N1995" s="12"/>
    </row>
    <row r="1996" spans="1:14" x14ac:dyDescent="0.25">
      <c r="A1996" s="4" t="s">
        <v>2026</v>
      </c>
      <c r="B1996" s="16" t="str">
        <f t="shared" si="153"/>
        <v>M/s SHREE VISHNU MINERALS</v>
      </c>
      <c r="C1996" s="16" t="str">
        <f t="shared" si="154"/>
        <v>Mokha Charnan / Kolayat / Bikaner</v>
      </c>
      <c r="D1996" s="4" t="s">
        <v>3035</v>
      </c>
      <c r="E1996" s="4" t="s">
        <v>3119</v>
      </c>
      <c r="F1996" s="5">
        <v>46065.999664351853</v>
      </c>
      <c r="G1996" s="16" t="str">
        <f t="shared" si="155"/>
        <v>Silica Sand</v>
      </c>
      <c r="H1996" s="4" t="s">
        <v>2895</v>
      </c>
      <c r="I1996" s="18" t="str" cm="1">
        <f t="array" ref="I1996">_xlfn.LET(_xlpm.text, D1996,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6" s="18" t="str" cm="1">
        <f t="array" ref="J1996">_xlfn.LET(_xlpm.text, E1996,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6" s="14">
        <f t="shared" si="156"/>
        <v>46066</v>
      </c>
      <c r="L1996" s="14">
        <f t="shared" si="157"/>
        <v>46066.624664351853</v>
      </c>
      <c r="N1996" s="12"/>
    </row>
    <row r="1997" spans="1:14" x14ac:dyDescent="0.25">
      <c r="A1997" s="4" t="s">
        <v>2027</v>
      </c>
      <c r="B1997" s="16" t="str">
        <f t="shared" si="153"/>
        <v>M/s SHREE VISHNU MINERALS</v>
      </c>
      <c r="C1997" s="16" t="str">
        <f t="shared" si="154"/>
        <v>Mokha Charnan / Kolayat / Bikaner</v>
      </c>
      <c r="D1997" s="4" t="s">
        <v>3035</v>
      </c>
      <c r="E1997" s="4" t="s">
        <v>3119</v>
      </c>
      <c r="F1997" s="5">
        <v>46065.999664351853</v>
      </c>
      <c r="G1997" s="16" t="str">
        <f t="shared" si="155"/>
        <v>Silica Sand</v>
      </c>
      <c r="H1997" s="4" t="s">
        <v>2399</v>
      </c>
      <c r="I1997" s="18" t="str" cm="1">
        <f t="array" ref="I1997">_xlfn.LET(_xlpm.text, D1997,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7" s="18" t="str" cm="1">
        <f t="array" ref="J1997">_xlfn.LET(_xlpm.text, E1997,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7" s="14">
        <f t="shared" si="156"/>
        <v>46066</v>
      </c>
      <c r="L1997" s="14">
        <f t="shared" si="157"/>
        <v>46066.624664351853</v>
      </c>
      <c r="N1997" s="12"/>
    </row>
    <row r="1998" spans="1:14" x14ac:dyDescent="0.25">
      <c r="A1998" s="4" t="s">
        <v>2028</v>
      </c>
      <c r="B1998" s="16" t="str">
        <f t="shared" si="153"/>
        <v>M/s SHREE VISHNU MINERALS</v>
      </c>
      <c r="C1998" s="16" t="str">
        <f t="shared" si="154"/>
        <v>Mokha Charnan / Kolayat / Bikaner</v>
      </c>
      <c r="D1998" s="4" t="s">
        <v>3035</v>
      </c>
      <c r="E1998" s="4" t="s">
        <v>3119</v>
      </c>
      <c r="F1998" s="5">
        <v>46065.999664351853</v>
      </c>
      <c r="G1998" s="16" t="str">
        <f t="shared" si="155"/>
        <v>Silica Sand</v>
      </c>
      <c r="H1998" s="4" t="s">
        <v>2882</v>
      </c>
      <c r="I1998" s="18" t="str" cm="1">
        <f t="array" ref="I1998">_xlfn.LET(_xlpm.text, D1998,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8" s="18" t="str" cm="1">
        <f t="array" ref="J1998">_xlfn.LET(_xlpm.text, E1998,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8" s="14">
        <f t="shared" si="156"/>
        <v>46066</v>
      </c>
      <c r="L1998" s="14">
        <f t="shared" si="157"/>
        <v>46066.624664351853</v>
      </c>
      <c r="N1998" s="12"/>
    </row>
    <row r="1999" spans="1:14" x14ac:dyDescent="0.25">
      <c r="A1999" s="4" t="s">
        <v>2029</v>
      </c>
      <c r="B1999" s="16" t="str">
        <f t="shared" si="153"/>
        <v>M/s SHREE VISHNU MINERALS</v>
      </c>
      <c r="C1999" s="16" t="str">
        <f t="shared" si="154"/>
        <v>Mokha Charnan / Kolayat / Bikaner</v>
      </c>
      <c r="D1999" s="4" t="s">
        <v>3035</v>
      </c>
      <c r="E1999" s="4" t="s">
        <v>3119</v>
      </c>
      <c r="F1999" s="5">
        <v>46066.999664351853</v>
      </c>
      <c r="G1999" s="16" t="str">
        <f t="shared" si="155"/>
        <v>Silica Sand</v>
      </c>
      <c r="H1999" s="4" t="s">
        <v>3004</v>
      </c>
      <c r="I1999" s="18" t="str" cm="1">
        <f t="array" ref="I1999">_xlfn.LET(_xlpm.text, D1999,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1999" s="18" t="str" cm="1">
        <f t="array" ref="J1999">_xlfn.LET(_xlpm.text, E1999,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1999" s="14">
        <f t="shared" si="156"/>
        <v>46067</v>
      </c>
      <c r="L1999" s="14">
        <f t="shared" si="157"/>
        <v>46067.624664351853</v>
      </c>
      <c r="N1999" s="12"/>
    </row>
    <row r="2000" spans="1:14" x14ac:dyDescent="0.25">
      <c r="A2000" s="4" t="s">
        <v>2030</v>
      </c>
      <c r="B2000" s="16" t="str">
        <f t="shared" si="153"/>
        <v>M/s SHREE VISHNU MINERALS</v>
      </c>
      <c r="C2000" s="16" t="str">
        <f t="shared" si="154"/>
        <v>Mokha Charnan / Kolayat / Bikaner</v>
      </c>
      <c r="D2000" s="4" t="s">
        <v>3035</v>
      </c>
      <c r="E2000" s="4" t="s">
        <v>3119</v>
      </c>
      <c r="F2000" s="5">
        <v>46066.999664351853</v>
      </c>
      <c r="G2000" s="16" t="str">
        <f t="shared" si="155"/>
        <v>Silica Sand</v>
      </c>
      <c r="H2000" s="4" t="s">
        <v>2499</v>
      </c>
      <c r="I2000" s="18" t="str" cm="1">
        <f t="array" ref="I2000">_xlfn.LET(_xlpm.text, D2000,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0" s="18" t="str" cm="1">
        <f t="array" ref="J2000">_xlfn.LET(_xlpm.text, E2000,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0" s="14">
        <f t="shared" si="156"/>
        <v>46067</v>
      </c>
      <c r="L2000" s="14">
        <f t="shared" si="157"/>
        <v>46067.624664351853</v>
      </c>
      <c r="N2000" s="12"/>
    </row>
    <row r="2001" spans="1:14" x14ac:dyDescent="0.25">
      <c r="A2001" s="4" t="s">
        <v>2031</v>
      </c>
      <c r="B2001" s="16" t="str">
        <f t="shared" si="153"/>
        <v>M/s SHREE VISHNU MINERALS</v>
      </c>
      <c r="C2001" s="16" t="str">
        <f t="shared" si="154"/>
        <v>Mokha Charnan / Kolayat / Bikaner</v>
      </c>
      <c r="D2001" s="4" t="s">
        <v>3035</v>
      </c>
      <c r="E2001" s="4" t="s">
        <v>3119</v>
      </c>
      <c r="F2001" s="5">
        <v>46064.999664351853</v>
      </c>
      <c r="G2001" s="16" t="str">
        <f t="shared" si="155"/>
        <v>Silica Sand</v>
      </c>
      <c r="H2001" s="4" t="s">
        <v>2918</v>
      </c>
      <c r="I2001" s="18" t="str" cm="1">
        <f t="array" ref="I2001">_xlfn.LET(_xlpm.text, D2001,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1" s="18" t="str" cm="1">
        <f t="array" ref="J2001">_xlfn.LET(_xlpm.text, E2001,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1" s="14">
        <f t="shared" si="156"/>
        <v>46065</v>
      </c>
      <c r="L2001" s="14">
        <f t="shared" si="157"/>
        <v>46065.624664351853</v>
      </c>
      <c r="N2001" s="12"/>
    </row>
    <row r="2002" spans="1:14" x14ac:dyDescent="0.25">
      <c r="A2002" s="4" t="s">
        <v>2032</v>
      </c>
      <c r="B2002" s="16" t="str">
        <f t="shared" si="153"/>
        <v>M/s SHREE VISHNU MINERALS</v>
      </c>
      <c r="C2002" s="16" t="str">
        <f t="shared" si="154"/>
        <v>Mokha Charnan / Kolayat / Bikaner</v>
      </c>
      <c r="D2002" s="4" t="s">
        <v>3035</v>
      </c>
      <c r="E2002" s="4" t="s">
        <v>3119</v>
      </c>
      <c r="F2002" s="5">
        <v>46064.999664351853</v>
      </c>
      <c r="G2002" s="16" t="str">
        <f t="shared" si="155"/>
        <v>Silica Sand</v>
      </c>
      <c r="H2002" s="4" t="s">
        <v>3004</v>
      </c>
      <c r="I2002" s="18" t="str" cm="1">
        <f t="array" ref="I2002">_xlfn.LET(_xlpm.text, D2002,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2" s="18" t="str" cm="1">
        <f t="array" ref="J2002">_xlfn.LET(_xlpm.text, E2002,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2" s="14">
        <f t="shared" si="156"/>
        <v>46065</v>
      </c>
      <c r="L2002" s="14">
        <f t="shared" si="157"/>
        <v>46065.624664351853</v>
      </c>
      <c r="N2002" s="12"/>
    </row>
    <row r="2003" spans="1:14" x14ac:dyDescent="0.25">
      <c r="A2003" s="4" t="s">
        <v>2033</v>
      </c>
      <c r="B2003" s="16" t="str">
        <f t="shared" si="153"/>
        <v>M/s SHREE VISHNU MINERALS</v>
      </c>
      <c r="C2003" s="16" t="str">
        <f t="shared" si="154"/>
        <v>Mokha Charnan / Kolayat / Bikaner</v>
      </c>
      <c r="D2003" s="4" t="s">
        <v>3035</v>
      </c>
      <c r="E2003" s="4" t="s">
        <v>3119</v>
      </c>
      <c r="F2003" s="5">
        <v>46065.999664351853</v>
      </c>
      <c r="G2003" s="16" t="str">
        <f t="shared" si="155"/>
        <v>Silica Sand</v>
      </c>
      <c r="H2003" s="4" t="s">
        <v>3001</v>
      </c>
      <c r="I2003" s="18" t="str" cm="1">
        <f t="array" ref="I2003">_xlfn.LET(_xlpm.text, D2003,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3" s="18" t="str" cm="1">
        <f t="array" ref="J2003">_xlfn.LET(_xlpm.text, E2003,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3" s="14">
        <f t="shared" si="156"/>
        <v>46066</v>
      </c>
      <c r="L2003" s="14">
        <f t="shared" si="157"/>
        <v>46066.624664351853</v>
      </c>
      <c r="N2003" s="12"/>
    </row>
    <row r="2004" spans="1:14" x14ac:dyDescent="0.25">
      <c r="A2004" s="4" t="s">
        <v>2034</v>
      </c>
      <c r="B2004" s="16" t="str">
        <f t="shared" si="153"/>
        <v>M/s SHREE VISHNU MINERALS</v>
      </c>
      <c r="C2004" s="16" t="str">
        <f t="shared" si="154"/>
        <v>Mokha Charnan / Kolayat / Bikaner</v>
      </c>
      <c r="D2004" s="4" t="s">
        <v>3035</v>
      </c>
      <c r="E2004" s="4" t="s">
        <v>3119</v>
      </c>
      <c r="F2004" s="5">
        <v>46065.999664351853</v>
      </c>
      <c r="G2004" s="16" t="str">
        <f t="shared" si="155"/>
        <v>Silica Sand</v>
      </c>
      <c r="H2004" s="4" t="s">
        <v>2895</v>
      </c>
      <c r="I2004" s="18" t="str" cm="1">
        <f t="array" ref="I2004">_xlfn.LET(_xlpm.text, D2004,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4" s="18" t="str" cm="1">
        <f t="array" ref="J2004">_xlfn.LET(_xlpm.text, E2004,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4" s="14">
        <f t="shared" si="156"/>
        <v>46066</v>
      </c>
      <c r="L2004" s="14">
        <f t="shared" si="157"/>
        <v>46066.624664351853</v>
      </c>
      <c r="N2004" s="12"/>
    </row>
    <row r="2005" spans="1:14" x14ac:dyDescent="0.25">
      <c r="A2005" s="4" t="s">
        <v>2035</v>
      </c>
      <c r="B2005" s="16" t="str">
        <f t="shared" si="153"/>
        <v>M/s SHREE VISHNU MINERALS</v>
      </c>
      <c r="C2005" s="16" t="str">
        <f t="shared" si="154"/>
        <v>Mokha Charnan / Kolayat / Bikaner</v>
      </c>
      <c r="D2005" s="4" t="s">
        <v>3035</v>
      </c>
      <c r="E2005" s="4" t="s">
        <v>3119</v>
      </c>
      <c r="F2005" s="5">
        <v>46065.999664351853</v>
      </c>
      <c r="G2005" s="16" t="str">
        <f t="shared" si="155"/>
        <v>Silica Sand</v>
      </c>
      <c r="H2005" s="4" t="s">
        <v>2582</v>
      </c>
      <c r="I2005" s="18" t="str" cm="1">
        <f t="array" ref="I2005">_xlfn.LET(_xlpm.text, D2005,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5" s="18" t="str" cm="1">
        <f t="array" ref="J2005">_xlfn.LET(_xlpm.text, E2005,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5" s="14">
        <f t="shared" si="156"/>
        <v>46066</v>
      </c>
      <c r="L2005" s="14">
        <f t="shared" si="157"/>
        <v>46066.624664351853</v>
      </c>
      <c r="N2005" s="12"/>
    </row>
    <row r="2006" spans="1:14" x14ac:dyDescent="0.25">
      <c r="A2006" s="4" t="s">
        <v>2036</v>
      </c>
      <c r="B2006" s="16" t="str">
        <f t="shared" si="153"/>
        <v>M/s SHREE VISHNU MINERALS</v>
      </c>
      <c r="C2006" s="16" t="str">
        <f t="shared" si="154"/>
        <v>Mokha Charnan / Kolayat / Bikaner</v>
      </c>
      <c r="D2006" s="4" t="s">
        <v>3035</v>
      </c>
      <c r="E2006" s="4" t="s">
        <v>3119</v>
      </c>
      <c r="F2006" s="5">
        <v>46064.999664351853</v>
      </c>
      <c r="G2006" s="16" t="str">
        <f t="shared" si="155"/>
        <v>Silica Sand</v>
      </c>
      <c r="H2006" s="4" t="s">
        <v>344</v>
      </c>
      <c r="I2006" s="18" t="str" cm="1">
        <f t="array" ref="I2006">_xlfn.LET(_xlpm.text, D2006,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6" s="18" t="str" cm="1">
        <f t="array" ref="J2006">_xlfn.LET(_xlpm.text, E2006,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6" s="14">
        <f t="shared" si="156"/>
        <v>46065</v>
      </c>
      <c r="L2006" s="14">
        <f t="shared" si="157"/>
        <v>46065.624664351853</v>
      </c>
      <c r="N2006" s="12"/>
    </row>
    <row r="2007" spans="1:14" x14ac:dyDescent="0.25">
      <c r="A2007" s="4" t="s">
        <v>2037</v>
      </c>
      <c r="B2007" s="16" t="str">
        <f t="shared" si="153"/>
        <v>M/s SHREE VISHNU MINERALS</v>
      </c>
      <c r="C2007" s="16" t="str">
        <f t="shared" si="154"/>
        <v>Mokha Charnan / Kolayat / Bikaner</v>
      </c>
      <c r="D2007" s="4" t="s">
        <v>3035</v>
      </c>
      <c r="E2007" s="4" t="s">
        <v>3119</v>
      </c>
      <c r="F2007" s="5">
        <v>46064.999664351853</v>
      </c>
      <c r="G2007" s="16" t="str">
        <f t="shared" si="155"/>
        <v>Silica Sand</v>
      </c>
      <c r="H2007" s="4" t="s">
        <v>2926</v>
      </c>
      <c r="I2007" s="18" t="str" cm="1">
        <f t="array" ref="I2007">_xlfn.LET(_xlpm.text, D2007,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7" s="18" t="str" cm="1">
        <f t="array" ref="J2007">_xlfn.LET(_xlpm.text, E2007,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7" s="14">
        <f t="shared" si="156"/>
        <v>46065</v>
      </c>
      <c r="L2007" s="14">
        <f t="shared" si="157"/>
        <v>46065.624664351853</v>
      </c>
      <c r="N2007" s="12"/>
    </row>
    <row r="2008" spans="1:14" x14ac:dyDescent="0.25">
      <c r="A2008" s="4" t="s">
        <v>2038</v>
      </c>
      <c r="B2008" s="16" t="str">
        <f t="shared" si="153"/>
        <v>M/s SHREE VISHNU MINERALS</v>
      </c>
      <c r="C2008" s="16" t="str">
        <f t="shared" si="154"/>
        <v>Mokha Charnan / Kolayat / Bikaner</v>
      </c>
      <c r="D2008" s="4" t="s">
        <v>3035</v>
      </c>
      <c r="E2008" s="4" t="s">
        <v>3119</v>
      </c>
      <c r="F2008" s="5">
        <v>46065.999664351853</v>
      </c>
      <c r="G2008" s="16" t="str">
        <f t="shared" si="155"/>
        <v>Silica Sand</v>
      </c>
      <c r="H2008" s="4" t="s">
        <v>2912</v>
      </c>
      <c r="I2008" s="18" t="str" cm="1">
        <f t="array" ref="I2008">_xlfn.LET(_xlpm.text, D2008,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008" s="18" t="str" cm="1">
        <f t="array" ref="J2008">_xlfn.LET(_xlpm.text, E2008,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8" s="14">
        <f t="shared" si="156"/>
        <v>46066</v>
      </c>
      <c r="L2008" s="14">
        <f t="shared" si="157"/>
        <v>46066.624664351853</v>
      </c>
      <c r="N2008" s="12"/>
    </row>
    <row r="2009" spans="1:14" x14ac:dyDescent="0.25">
      <c r="A2009" s="4" t="s">
        <v>2039</v>
      </c>
      <c r="B2009" s="16" t="str">
        <f t="shared" si="153"/>
        <v>S.R.MINES AND MINERLS</v>
      </c>
      <c r="C2009" s="16" t="str">
        <f t="shared" si="154"/>
        <v>Indo Ka Bala / Kolayat / Bikaner</v>
      </c>
      <c r="D2009" s="4" t="s">
        <v>1382</v>
      </c>
      <c r="E2009" s="4" t="s">
        <v>3119</v>
      </c>
      <c r="F2009" s="5">
        <v>46071.999664351853</v>
      </c>
      <c r="G2009" s="16" t="str">
        <f t="shared" si="155"/>
        <v>Silica Sand</v>
      </c>
      <c r="H2009" s="4" t="s">
        <v>2988</v>
      </c>
      <c r="I2009" s="18" t="str" cm="1">
        <f t="array" ref="I2009">_xlfn.LET(_xlpm.text, D2009,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09" s="18" t="str" cm="1">
        <f t="array" ref="J2009">_xlfn.LET(_xlpm.text, E2009,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09" s="14">
        <f t="shared" si="156"/>
        <v>46072</v>
      </c>
      <c r="L2009" s="14">
        <f t="shared" si="157"/>
        <v>46072.624664351853</v>
      </c>
      <c r="N2009" s="12"/>
    </row>
    <row r="2010" spans="1:14" x14ac:dyDescent="0.25">
      <c r="A2010" s="4" t="s">
        <v>2040</v>
      </c>
      <c r="B2010" s="16" t="str">
        <f t="shared" si="153"/>
        <v>S.R.MINES AND MINERLS</v>
      </c>
      <c r="C2010" s="16" t="str">
        <f t="shared" si="154"/>
        <v>Indo Ka Bala / Kolayat / Bikaner</v>
      </c>
      <c r="D2010" s="4" t="s">
        <v>1382</v>
      </c>
      <c r="E2010" s="4" t="s">
        <v>3119</v>
      </c>
      <c r="F2010" s="5">
        <v>46069.999664351853</v>
      </c>
      <c r="G2010" s="16" t="str">
        <f t="shared" si="155"/>
        <v>Silica Sand</v>
      </c>
      <c r="H2010" s="4" t="s">
        <v>2985</v>
      </c>
      <c r="I2010" s="18" t="str" cm="1">
        <f t="array" ref="I2010">_xlfn.LET(_xlpm.text, D2010,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0" s="18" t="str" cm="1">
        <f t="array" ref="J2010">_xlfn.LET(_xlpm.text, E2010,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0" s="14">
        <f t="shared" si="156"/>
        <v>46070</v>
      </c>
      <c r="L2010" s="14">
        <f t="shared" si="157"/>
        <v>46070.624664351853</v>
      </c>
      <c r="N2010" s="12"/>
    </row>
    <row r="2011" spans="1:14" x14ac:dyDescent="0.25">
      <c r="A2011" s="4" t="s">
        <v>2041</v>
      </c>
      <c r="B2011" s="16" t="str">
        <f t="shared" si="153"/>
        <v>S.R.MINES AND MINERLS</v>
      </c>
      <c r="C2011" s="16" t="str">
        <f t="shared" si="154"/>
        <v>Indo Ka Bala / Kolayat / Bikaner</v>
      </c>
      <c r="D2011" s="4" t="s">
        <v>1382</v>
      </c>
      <c r="E2011" s="4" t="s">
        <v>3119</v>
      </c>
      <c r="F2011" s="5">
        <v>46070.999664351853</v>
      </c>
      <c r="G2011" s="16" t="str">
        <f t="shared" si="155"/>
        <v>Silica Sand</v>
      </c>
      <c r="H2011" s="4" t="s">
        <v>2985</v>
      </c>
      <c r="I2011" s="18" t="str" cm="1">
        <f t="array" ref="I2011">_xlfn.LET(_xlpm.text, D2011,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1" s="18" t="str" cm="1">
        <f t="array" ref="J2011">_xlfn.LET(_xlpm.text, E2011,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1" s="14">
        <f t="shared" si="156"/>
        <v>46071</v>
      </c>
      <c r="L2011" s="14">
        <f t="shared" si="157"/>
        <v>46071.624664351853</v>
      </c>
      <c r="N2011" s="12"/>
    </row>
    <row r="2012" spans="1:14" x14ac:dyDescent="0.25">
      <c r="A2012" s="4" t="s">
        <v>2042</v>
      </c>
      <c r="B2012" s="16" t="str">
        <f t="shared" si="153"/>
        <v>S.R.MINES AND MINERLS</v>
      </c>
      <c r="C2012" s="16" t="str">
        <f t="shared" si="154"/>
        <v>Indo Ka Bala / Kolayat / Bikaner</v>
      </c>
      <c r="D2012" s="4" t="s">
        <v>1382</v>
      </c>
      <c r="E2012" s="4" t="s">
        <v>3119</v>
      </c>
      <c r="F2012" s="5">
        <v>46071.999664351853</v>
      </c>
      <c r="G2012" s="16" t="str">
        <f t="shared" si="155"/>
        <v>Silica Sand</v>
      </c>
      <c r="H2012" s="4" t="s">
        <v>2987</v>
      </c>
      <c r="I2012" s="18" t="str" cm="1">
        <f t="array" ref="I2012">_xlfn.LET(_xlpm.text, D2012,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2" s="18" t="str" cm="1">
        <f t="array" ref="J2012">_xlfn.LET(_xlpm.text, E2012,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2" s="14">
        <f t="shared" si="156"/>
        <v>46072</v>
      </c>
      <c r="L2012" s="14">
        <f t="shared" si="157"/>
        <v>46072.624664351853</v>
      </c>
      <c r="N2012" s="12"/>
    </row>
    <row r="2013" spans="1:14" x14ac:dyDescent="0.25">
      <c r="A2013" s="4" t="s">
        <v>2043</v>
      </c>
      <c r="B2013" s="16" t="str">
        <f t="shared" si="153"/>
        <v>S.R.MINES AND MINERLS</v>
      </c>
      <c r="C2013" s="16" t="str">
        <f t="shared" si="154"/>
        <v>Indo Ka Bala / Kolayat / Bikaner</v>
      </c>
      <c r="D2013" s="4" t="s">
        <v>1382</v>
      </c>
      <c r="E2013" s="4" t="s">
        <v>3119</v>
      </c>
      <c r="F2013" s="5">
        <v>46069.999664351853</v>
      </c>
      <c r="G2013" s="16" t="str">
        <f t="shared" si="155"/>
        <v>Silica Sand</v>
      </c>
      <c r="H2013" s="4" t="s">
        <v>2986</v>
      </c>
      <c r="I2013" s="18" t="str" cm="1">
        <f t="array" ref="I2013">_xlfn.LET(_xlpm.text, D2013,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3" s="18" t="str" cm="1">
        <f t="array" ref="J2013">_xlfn.LET(_xlpm.text, E2013,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3" s="14">
        <f t="shared" si="156"/>
        <v>46070</v>
      </c>
      <c r="L2013" s="14">
        <f t="shared" si="157"/>
        <v>46070.624664351853</v>
      </c>
      <c r="N2013" s="12"/>
    </row>
    <row r="2014" spans="1:14" x14ac:dyDescent="0.25">
      <c r="A2014" s="4" t="s">
        <v>2044</v>
      </c>
      <c r="B2014" s="16" t="str">
        <f t="shared" si="153"/>
        <v>S.R.MINES AND MINERLS</v>
      </c>
      <c r="C2014" s="16" t="str">
        <f t="shared" si="154"/>
        <v>Indo Ka Bala / Kolayat / Bikaner</v>
      </c>
      <c r="D2014" s="4" t="s">
        <v>1382</v>
      </c>
      <c r="E2014" s="4" t="s">
        <v>3119</v>
      </c>
      <c r="F2014" s="5">
        <v>46070.999664351853</v>
      </c>
      <c r="G2014" s="16" t="str">
        <f t="shared" si="155"/>
        <v>Silica Sand</v>
      </c>
      <c r="H2014" s="4" t="s">
        <v>2955</v>
      </c>
      <c r="I2014" s="18" t="str" cm="1">
        <f t="array" ref="I2014">_xlfn.LET(_xlpm.text, D2014,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4" s="18" t="str" cm="1">
        <f t="array" ref="J2014">_xlfn.LET(_xlpm.text, E2014,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4" s="14">
        <f t="shared" si="156"/>
        <v>46071</v>
      </c>
      <c r="L2014" s="14">
        <f t="shared" si="157"/>
        <v>46071.624664351853</v>
      </c>
      <c r="N2014" s="12"/>
    </row>
    <row r="2015" spans="1:14" x14ac:dyDescent="0.25">
      <c r="A2015" s="4" t="s">
        <v>2045</v>
      </c>
      <c r="B2015" s="16" t="str">
        <f t="shared" si="153"/>
        <v>S.R.MINES AND MINERLS</v>
      </c>
      <c r="C2015" s="16" t="str">
        <f t="shared" si="154"/>
        <v>Indo Ka Bala / Kolayat / Bikaner</v>
      </c>
      <c r="D2015" s="4" t="s">
        <v>1382</v>
      </c>
      <c r="E2015" s="4" t="s">
        <v>3119</v>
      </c>
      <c r="F2015" s="5">
        <v>46069.999664351853</v>
      </c>
      <c r="G2015" s="16" t="str">
        <f t="shared" si="155"/>
        <v>Silica Sand</v>
      </c>
      <c r="H2015" s="4" t="s">
        <v>2989</v>
      </c>
      <c r="I2015" s="18" t="str" cm="1">
        <f t="array" ref="I2015">_xlfn.LET(_xlpm.text, D2015,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5" s="18" t="str" cm="1">
        <f t="array" ref="J2015">_xlfn.LET(_xlpm.text, E2015,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5" s="14">
        <f t="shared" si="156"/>
        <v>46070</v>
      </c>
      <c r="L2015" s="14">
        <f t="shared" si="157"/>
        <v>46070.624664351853</v>
      </c>
      <c r="N2015" s="12"/>
    </row>
    <row r="2016" spans="1:14" x14ac:dyDescent="0.25">
      <c r="A2016" s="4" t="s">
        <v>2046</v>
      </c>
      <c r="B2016" s="16" t="str">
        <f t="shared" si="153"/>
        <v>S.R.MINES AND MINERLS</v>
      </c>
      <c r="C2016" s="16" t="str">
        <f t="shared" si="154"/>
        <v>Indo Ka Bala / Kolayat / Bikaner</v>
      </c>
      <c r="D2016" s="4" t="s">
        <v>1382</v>
      </c>
      <c r="E2016" s="4" t="s">
        <v>3119</v>
      </c>
      <c r="F2016" s="5">
        <v>46068.999664351853</v>
      </c>
      <c r="G2016" s="16" t="str">
        <f t="shared" si="155"/>
        <v>Silica Sand</v>
      </c>
      <c r="H2016" s="4" t="s">
        <v>2985</v>
      </c>
      <c r="I2016" s="18" t="str" cm="1">
        <f t="array" ref="I2016">_xlfn.LET(_xlpm.text, D2016,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6" s="18" t="str" cm="1">
        <f t="array" ref="J2016">_xlfn.LET(_xlpm.text, E2016,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6" s="14">
        <f t="shared" si="156"/>
        <v>46069</v>
      </c>
      <c r="L2016" s="14">
        <f t="shared" si="157"/>
        <v>46069.624664351853</v>
      </c>
      <c r="N2016" s="12"/>
    </row>
    <row r="2017" spans="1:14" x14ac:dyDescent="0.25">
      <c r="A2017" s="4" t="s">
        <v>2047</v>
      </c>
      <c r="B2017" s="16" t="str">
        <f t="shared" si="153"/>
        <v>S.R.MINES AND MINERLS</v>
      </c>
      <c r="C2017" s="16" t="str">
        <f t="shared" si="154"/>
        <v>Indo Ka Bala / Kolayat / Bikaner</v>
      </c>
      <c r="D2017" s="4" t="s">
        <v>1382</v>
      </c>
      <c r="E2017" s="4" t="s">
        <v>3119</v>
      </c>
      <c r="F2017" s="5">
        <v>46069.999664351853</v>
      </c>
      <c r="G2017" s="16" t="str">
        <f t="shared" si="155"/>
        <v>Silica Sand</v>
      </c>
      <c r="H2017" s="4" t="s">
        <v>2955</v>
      </c>
      <c r="I2017" s="18" t="str" cm="1">
        <f t="array" ref="I2017">_xlfn.LET(_xlpm.text, D2017,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7" s="18" t="str" cm="1">
        <f t="array" ref="J2017">_xlfn.LET(_xlpm.text, E2017,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7" s="14">
        <f t="shared" si="156"/>
        <v>46070</v>
      </c>
      <c r="L2017" s="14">
        <f t="shared" si="157"/>
        <v>46070.624664351853</v>
      </c>
      <c r="N2017" s="12"/>
    </row>
    <row r="2018" spans="1:14" x14ac:dyDescent="0.25">
      <c r="A2018" s="4" t="s">
        <v>2048</v>
      </c>
      <c r="B2018" s="16" t="str">
        <f t="shared" si="153"/>
        <v>S.R.MINES AND MINERLS</v>
      </c>
      <c r="C2018" s="16" t="str">
        <f t="shared" si="154"/>
        <v>Indo Ka Bala / Kolayat / Bikaner</v>
      </c>
      <c r="D2018" s="4" t="s">
        <v>1382</v>
      </c>
      <c r="E2018" s="4" t="s">
        <v>3119</v>
      </c>
      <c r="F2018" s="5">
        <v>46071.999664351853</v>
      </c>
      <c r="G2018" s="16" t="str">
        <f t="shared" si="155"/>
        <v>Silica Sand</v>
      </c>
      <c r="H2018" s="4" t="s">
        <v>2985</v>
      </c>
      <c r="I2018" s="18" t="str" cm="1">
        <f t="array" ref="I2018">_xlfn.LET(_xlpm.text, D2018,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8" s="18" t="str" cm="1">
        <f t="array" ref="J2018">_xlfn.LET(_xlpm.text, E2018,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8" s="14">
        <f t="shared" si="156"/>
        <v>46072</v>
      </c>
      <c r="L2018" s="14">
        <f t="shared" si="157"/>
        <v>46072.624664351853</v>
      </c>
      <c r="N2018" s="12"/>
    </row>
    <row r="2019" spans="1:14" x14ac:dyDescent="0.25">
      <c r="A2019" s="4" t="s">
        <v>2049</v>
      </c>
      <c r="B2019" s="16" t="str">
        <f t="shared" si="153"/>
        <v>S.R.MINES AND MINERLS</v>
      </c>
      <c r="C2019" s="16" t="str">
        <f t="shared" si="154"/>
        <v>Indo Ka Bala / Kolayat / Bikaner</v>
      </c>
      <c r="D2019" s="4" t="s">
        <v>1382</v>
      </c>
      <c r="E2019" s="4" t="s">
        <v>3119</v>
      </c>
      <c r="F2019" s="5">
        <v>46071.999664351853</v>
      </c>
      <c r="G2019" s="16" t="str">
        <f t="shared" si="155"/>
        <v>Silica Sand</v>
      </c>
      <c r="H2019" s="4" t="s">
        <v>3005</v>
      </c>
      <c r="I2019" s="18" t="str" cm="1">
        <f t="array" ref="I2019">_xlfn.LET(_xlpm.text, D2019,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19" s="18" t="str" cm="1">
        <f t="array" ref="J2019">_xlfn.LET(_xlpm.text, E2019,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19" s="14">
        <f t="shared" si="156"/>
        <v>46072</v>
      </c>
      <c r="L2019" s="14">
        <f t="shared" si="157"/>
        <v>46072.624664351853</v>
      </c>
      <c r="N2019" s="12"/>
    </row>
    <row r="2020" spans="1:14" x14ac:dyDescent="0.25">
      <c r="A2020" s="4" t="s">
        <v>2050</v>
      </c>
      <c r="B2020" s="16" t="str">
        <f t="shared" si="153"/>
        <v>S.R.MINES AND MINERLS</v>
      </c>
      <c r="C2020" s="16" t="str">
        <f t="shared" si="154"/>
        <v>Indo Ka Bala / Kolayat / Bikaner</v>
      </c>
      <c r="D2020" s="4" t="s">
        <v>1382</v>
      </c>
      <c r="E2020" s="4" t="s">
        <v>3119</v>
      </c>
      <c r="F2020" s="5">
        <v>46071.999664351853</v>
      </c>
      <c r="G2020" s="16" t="str">
        <f t="shared" si="155"/>
        <v>Silica Sand</v>
      </c>
      <c r="H2020" s="4" t="s">
        <v>2955</v>
      </c>
      <c r="I2020" s="18" t="str" cm="1">
        <f t="array" ref="I2020">_xlfn.LET(_xlpm.text, D2020,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0" s="18" t="str" cm="1">
        <f t="array" ref="J2020">_xlfn.LET(_xlpm.text, E2020,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0" s="14">
        <f t="shared" si="156"/>
        <v>46072</v>
      </c>
      <c r="L2020" s="14">
        <f t="shared" si="157"/>
        <v>46072.624664351853</v>
      </c>
      <c r="N2020" s="12"/>
    </row>
    <row r="2021" spans="1:14" x14ac:dyDescent="0.25">
      <c r="A2021" s="4" t="s">
        <v>2051</v>
      </c>
      <c r="B2021" s="16" t="str">
        <f t="shared" si="153"/>
        <v>S.R.MINES AND MINERLS</v>
      </c>
      <c r="C2021" s="16" t="str">
        <f t="shared" si="154"/>
        <v>Indo Ka Bala / Kolayat / Bikaner</v>
      </c>
      <c r="D2021" s="4" t="s">
        <v>1382</v>
      </c>
      <c r="E2021" s="4" t="s">
        <v>3119</v>
      </c>
      <c r="F2021" s="5">
        <v>46052.999664351853</v>
      </c>
      <c r="G2021" s="16" t="str">
        <f t="shared" si="155"/>
        <v>Silica Sand</v>
      </c>
      <c r="H2021" s="4" t="s">
        <v>2985</v>
      </c>
      <c r="I2021" s="18" t="str" cm="1">
        <f t="array" ref="I2021">_xlfn.LET(_xlpm.text, D2021,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1" s="18" t="str" cm="1">
        <f t="array" ref="J2021">_xlfn.LET(_xlpm.text, E2021,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1" s="14">
        <f t="shared" si="156"/>
        <v>46053</v>
      </c>
      <c r="L2021" s="14">
        <f t="shared" si="157"/>
        <v>46053.624664351853</v>
      </c>
      <c r="N2021" s="12"/>
    </row>
    <row r="2022" spans="1:14" x14ac:dyDescent="0.25">
      <c r="A2022" s="4" t="s">
        <v>2052</v>
      </c>
      <c r="B2022" s="16" t="str">
        <f t="shared" si="153"/>
        <v>S.R.MINES AND MINERLS</v>
      </c>
      <c r="C2022" s="16" t="str">
        <f t="shared" si="154"/>
        <v>Indo Ka Bala / Kolayat / Bikaner</v>
      </c>
      <c r="D2022" s="4" t="s">
        <v>1382</v>
      </c>
      <c r="E2022" s="4" t="s">
        <v>3119</v>
      </c>
      <c r="F2022" s="5">
        <v>46053.999664351853</v>
      </c>
      <c r="G2022" s="16" t="str">
        <f t="shared" si="155"/>
        <v>Silica Sand</v>
      </c>
      <c r="H2022" s="4" t="s">
        <v>2955</v>
      </c>
      <c r="I2022" s="18" t="str" cm="1">
        <f t="array" ref="I2022">_xlfn.LET(_xlpm.text, D2022,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2" s="18" t="str" cm="1">
        <f t="array" ref="J2022">_xlfn.LET(_xlpm.text, E2022,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2" s="14">
        <f t="shared" si="156"/>
        <v>46054</v>
      </c>
      <c r="L2022" s="14">
        <f t="shared" si="157"/>
        <v>46054.624664351853</v>
      </c>
      <c r="N2022" s="12"/>
    </row>
    <row r="2023" spans="1:14" x14ac:dyDescent="0.25">
      <c r="A2023" s="4" t="s">
        <v>2053</v>
      </c>
      <c r="B2023" s="16" t="str">
        <f t="shared" si="153"/>
        <v>S.R.MINES AND MINERLS</v>
      </c>
      <c r="C2023" s="16" t="str">
        <f t="shared" si="154"/>
        <v>Indo Ka Bala / Kolayat / Bikaner</v>
      </c>
      <c r="D2023" s="4" t="s">
        <v>1382</v>
      </c>
      <c r="E2023" s="4" t="s">
        <v>3119</v>
      </c>
      <c r="F2023" s="5">
        <v>46055.999664351853</v>
      </c>
      <c r="G2023" s="16" t="str">
        <f t="shared" si="155"/>
        <v>Silica Sand</v>
      </c>
      <c r="H2023" s="4" t="s">
        <v>2985</v>
      </c>
      <c r="I2023" s="18" t="str" cm="1">
        <f t="array" ref="I2023">_xlfn.LET(_xlpm.text, D2023,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3" s="18" t="str" cm="1">
        <f t="array" ref="J2023">_xlfn.LET(_xlpm.text, E2023,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3" s="14">
        <f t="shared" si="156"/>
        <v>46056</v>
      </c>
      <c r="L2023" s="14">
        <f t="shared" si="157"/>
        <v>46056.624664351853</v>
      </c>
      <c r="N2023" s="12"/>
    </row>
    <row r="2024" spans="1:14" x14ac:dyDescent="0.25">
      <c r="A2024" s="4" t="s">
        <v>2054</v>
      </c>
      <c r="B2024" s="16" t="str">
        <f t="shared" si="153"/>
        <v>S.R.MINES AND MINERLS</v>
      </c>
      <c r="C2024" s="16" t="str">
        <f t="shared" si="154"/>
        <v>Indo Ka Bala / Kolayat / Bikaner</v>
      </c>
      <c r="D2024" s="4" t="s">
        <v>1382</v>
      </c>
      <c r="E2024" s="4" t="s">
        <v>3119</v>
      </c>
      <c r="F2024" s="5">
        <v>46057.999664351853</v>
      </c>
      <c r="G2024" s="16" t="str">
        <f t="shared" si="155"/>
        <v>Silica Sand</v>
      </c>
      <c r="H2024" s="4" t="s">
        <v>2988</v>
      </c>
      <c r="I2024" s="18" t="str" cm="1">
        <f t="array" ref="I2024">_xlfn.LET(_xlpm.text, D2024,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4" s="18" t="str" cm="1">
        <f t="array" ref="J2024">_xlfn.LET(_xlpm.text, E2024,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4" s="14">
        <f t="shared" si="156"/>
        <v>46058</v>
      </c>
      <c r="L2024" s="14">
        <f t="shared" si="157"/>
        <v>46058.624664351853</v>
      </c>
      <c r="N2024" s="12"/>
    </row>
    <row r="2025" spans="1:14" x14ac:dyDescent="0.25">
      <c r="A2025" s="4" t="s">
        <v>2055</v>
      </c>
      <c r="B2025" s="16" t="str">
        <f t="shared" si="153"/>
        <v>S.R.MINES AND MINERLS</v>
      </c>
      <c r="C2025" s="16" t="str">
        <f t="shared" si="154"/>
        <v>Indo Ka Bala / Kolayat / Bikaner</v>
      </c>
      <c r="D2025" s="4" t="s">
        <v>1382</v>
      </c>
      <c r="E2025" s="4" t="s">
        <v>3119</v>
      </c>
      <c r="F2025" s="5">
        <v>46057.999664351853</v>
      </c>
      <c r="G2025" s="16" t="str">
        <f t="shared" si="155"/>
        <v>Silica Sand</v>
      </c>
      <c r="H2025" s="4" t="s">
        <v>2939</v>
      </c>
      <c r="I2025" s="18" t="str" cm="1">
        <f t="array" ref="I2025">_xlfn.LET(_xlpm.text, D2025,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5" s="18" t="str" cm="1">
        <f t="array" ref="J2025">_xlfn.LET(_xlpm.text, E2025,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5" s="14">
        <f t="shared" si="156"/>
        <v>46058</v>
      </c>
      <c r="L2025" s="14">
        <f t="shared" si="157"/>
        <v>46058.624664351853</v>
      </c>
      <c r="N2025" s="12"/>
    </row>
    <row r="2026" spans="1:14" x14ac:dyDescent="0.25">
      <c r="A2026" s="4" t="s">
        <v>2056</v>
      </c>
      <c r="B2026" s="16" t="str">
        <f t="shared" si="153"/>
        <v>S.R.MINES AND MINERLS</v>
      </c>
      <c r="C2026" s="16" t="str">
        <f t="shared" si="154"/>
        <v>Indo Ka Bala / Kolayat / Bikaner</v>
      </c>
      <c r="D2026" s="4" t="s">
        <v>1382</v>
      </c>
      <c r="E2026" s="4" t="s">
        <v>3119</v>
      </c>
      <c r="F2026" s="5">
        <v>46057.999664351853</v>
      </c>
      <c r="G2026" s="16" t="str">
        <f t="shared" si="155"/>
        <v>Silica Sand</v>
      </c>
      <c r="H2026" s="4" t="s">
        <v>3006</v>
      </c>
      <c r="I2026" s="18" t="str" cm="1">
        <f t="array" ref="I2026">_xlfn.LET(_xlpm.text, D2026,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6" s="18" t="str" cm="1">
        <f t="array" ref="J2026">_xlfn.LET(_xlpm.text, E2026,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6" s="14">
        <f t="shared" si="156"/>
        <v>46058</v>
      </c>
      <c r="L2026" s="14">
        <f t="shared" si="157"/>
        <v>46058.624664351853</v>
      </c>
      <c r="N2026" s="12"/>
    </row>
    <row r="2027" spans="1:14" x14ac:dyDescent="0.25">
      <c r="A2027" s="4" t="s">
        <v>2057</v>
      </c>
      <c r="B2027" s="16" t="str">
        <f t="shared" si="153"/>
        <v>S.R.MINES AND MINERLS</v>
      </c>
      <c r="C2027" s="16" t="str">
        <f t="shared" si="154"/>
        <v>Indo Ka Bala / Kolayat / Bikaner</v>
      </c>
      <c r="D2027" s="4" t="s">
        <v>1382</v>
      </c>
      <c r="E2027" s="4" t="s">
        <v>3119</v>
      </c>
      <c r="F2027" s="5">
        <v>46058.999664351853</v>
      </c>
      <c r="G2027" s="16" t="str">
        <f t="shared" si="155"/>
        <v>Silica Sand</v>
      </c>
      <c r="H2027" s="4" t="s">
        <v>2985</v>
      </c>
      <c r="I2027" s="18" t="str" cm="1">
        <f t="array" ref="I2027">_xlfn.LET(_xlpm.text, D2027,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7" s="18" t="str" cm="1">
        <f t="array" ref="J2027">_xlfn.LET(_xlpm.text, E2027,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7" s="14">
        <f t="shared" si="156"/>
        <v>46059</v>
      </c>
      <c r="L2027" s="14">
        <f t="shared" si="157"/>
        <v>46059.624664351853</v>
      </c>
      <c r="N2027" s="12"/>
    </row>
    <row r="2028" spans="1:14" x14ac:dyDescent="0.25">
      <c r="A2028" s="4" t="s">
        <v>2058</v>
      </c>
      <c r="B2028" s="16" t="str">
        <f t="shared" si="153"/>
        <v>S.R.MINES AND MINERLS</v>
      </c>
      <c r="C2028" s="16" t="str">
        <f t="shared" si="154"/>
        <v>Indo Ka Bala / Kolayat / Bikaner</v>
      </c>
      <c r="D2028" s="4" t="s">
        <v>1382</v>
      </c>
      <c r="E2028" s="4" t="s">
        <v>3119</v>
      </c>
      <c r="F2028" s="5">
        <v>46058.999664351853</v>
      </c>
      <c r="G2028" s="16" t="str">
        <f t="shared" si="155"/>
        <v>Silica Sand</v>
      </c>
      <c r="H2028" s="4" t="s">
        <v>3007</v>
      </c>
      <c r="I2028" s="18" t="str" cm="1">
        <f t="array" ref="I2028">_xlfn.LET(_xlpm.text, D2028,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8" s="18" t="str" cm="1">
        <f t="array" ref="J2028">_xlfn.LET(_xlpm.text, E2028,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8" s="14">
        <f t="shared" si="156"/>
        <v>46059</v>
      </c>
      <c r="L2028" s="14">
        <f t="shared" si="157"/>
        <v>46059.624664351853</v>
      </c>
      <c r="N2028" s="12"/>
    </row>
    <row r="2029" spans="1:14" x14ac:dyDescent="0.25">
      <c r="A2029" s="4" t="s">
        <v>2059</v>
      </c>
      <c r="B2029" s="16" t="str">
        <f t="shared" si="153"/>
        <v>S.R.MINES AND MINERLS</v>
      </c>
      <c r="C2029" s="16" t="str">
        <f t="shared" si="154"/>
        <v>Indo Ka Bala / Kolayat / Bikaner</v>
      </c>
      <c r="D2029" s="4" t="s">
        <v>1382</v>
      </c>
      <c r="E2029" s="4" t="s">
        <v>3119</v>
      </c>
      <c r="F2029" s="5">
        <v>46058.999664351853</v>
      </c>
      <c r="G2029" s="16" t="str">
        <f t="shared" si="155"/>
        <v>Silica Sand</v>
      </c>
      <c r="H2029" s="4" t="s">
        <v>2988</v>
      </c>
      <c r="I2029" s="18" t="str" cm="1">
        <f t="array" ref="I2029">_xlfn.LET(_xlpm.text, D2029,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29" s="18" t="str" cm="1">
        <f t="array" ref="J2029">_xlfn.LET(_xlpm.text, E2029,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29" s="14">
        <f t="shared" si="156"/>
        <v>46059</v>
      </c>
      <c r="L2029" s="14">
        <f t="shared" si="157"/>
        <v>46059.624664351853</v>
      </c>
      <c r="N2029" s="12"/>
    </row>
    <row r="2030" spans="1:14" x14ac:dyDescent="0.25">
      <c r="A2030" s="4" t="s">
        <v>2060</v>
      </c>
      <c r="B2030" s="16" t="str">
        <f t="shared" si="153"/>
        <v>S.R.MINES AND MINERLS</v>
      </c>
      <c r="C2030" s="16" t="str">
        <f t="shared" si="154"/>
        <v>Indo Ka Bala / Kolayat / Bikaner</v>
      </c>
      <c r="D2030" s="4" t="s">
        <v>1382</v>
      </c>
      <c r="E2030" s="4" t="s">
        <v>3119</v>
      </c>
      <c r="F2030" s="5">
        <v>46059.999664351853</v>
      </c>
      <c r="G2030" s="16" t="str">
        <f t="shared" si="155"/>
        <v>Silica Sand</v>
      </c>
      <c r="H2030" s="4" t="s">
        <v>2985</v>
      </c>
      <c r="I2030" s="18" t="str" cm="1">
        <f t="array" ref="I2030">_xlfn.LET(_xlpm.text, D2030,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0" s="18" t="str" cm="1">
        <f t="array" ref="J2030">_xlfn.LET(_xlpm.text, E2030,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0" s="14">
        <f t="shared" si="156"/>
        <v>46060</v>
      </c>
      <c r="L2030" s="14">
        <f t="shared" si="157"/>
        <v>46060.624664351853</v>
      </c>
      <c r="N2030" s="12"/>
    </row>
    <row r="2031" spans="1:14" x14ac:dyDescent="0.25">
      <c r="A2031" s="4" t="s">
        <v>2061</v>
      </c>
      <c r="B2031" s="16" t="str">
        <f t="shared" si="153"/>
        <v>S.R.MINES AND MINERLS</v>
      </c>
      <c r="C2031" s="16" t="str">
        <f t="shared" si="154"/>
        <v>Indo Ka Bala / Kolayat / Bikaner</v>
      </c>
      <c r="D2031" s="4" t="s">
        <v>1382</v>
      </c>
      <c r="E2031" s="4" t="s">
        <v>3119</v>
      </c>
      <c r="F2031" s="5">
        <v>46059.999664351853</v>
      </c>
      <c r="G2031" s="16" t="str">
        <f t="shared" si="155"/>
        <v>Silica Sand</v>
      </c>
      <c r="H2031" s="4" t="s">
        <v>2986</v>
      </c>
      <c r="I2031" s="18" t="str" cm="1">
        <f t="array" ref="I2031">_xlfn.LET(_xlpm.text, D2031,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1" s="18" t="str" cm="1">
        <f t="array" ref="J2031">_xlfn.LET(_xlpm.text, E2031,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1" s="14">
        <f t="shared" si="156"/>
        <v>46060</v>
      </c>
      <c r="L2031" s="14">
        <f t="shared" si="157"/>
        <v>46060.624664351853</v>
      </c>
      <c r="N2031" s="12"/>
    </row>
    <row r="2032" spans="1:14" x14ac:dyDescent="0.25">
      <c r="A2032" s="4" t="s">
        <v>2062</v>
      </c>
      <c r="B2032" s="16" t="str">
        <f t="shared" si="153"/>
        <v>MANOJ NAYAK</v>
      </c>
      <c r="C2032" s="16" t="str">
        <f t="shared" si="154"/>
        <v>Gangapura Chak No.7 / Kolayat / Bikaner</v>
      </c>
      <c r="D2032" s="4" t="s">
        <v>1382</v>
      </c>
      <c r="E2032" s="4" t="s">
        <v>3119</v>
      </c>
      <c r="F2032" s="5">
        <v>46060.999664351853</v>
      </c>
      <c r="G2032" s="16" t="str">
        <f t="shared" si="155"/>
        <v>Silica Sand</v>
      </c>
      <c r="H2032" s="4" t="s">
        <v>3008</v>
      </c>
      <c r="I2032" s="18" t="str" cm="1">
        <f t="array" ref="I2032">_xlfn.LET(_xlpm.text, D2032,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2" s="18" t="str" cm="1">
        <f t="array" ref="J2032">_xlfn.LET(_xlpm.text, E2032,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2" s="14">
        <f t="shared" si="156"/>
        <v>46061</v>
      </c>
      <c r="L2032" s="14">
        <f t="shared" si="157"/>
        <v>46061.624664351853</v>
      </c>
      <c r="N2032" s="12"/>
    </row>
    <row r="2033" spans="1:14" x14ac:dyDescent="0.25">
      <c r="A2033" s="4" t="s">
        <v>2063</v>
      </c>
      <c r="B2033" s="16" t="str">
        <f t="shared" si="153"/>
        <v>ANIL KUMAR KHICHER</v>
      </c>
      <c r="C2033" s="16" t="str">
        <f t="shared" si="154"/>
        <v>Kishnasar / Nokha / Bikaner</v>
      </c>
      <c r="D2033" s="4" t="s">
        <v>1382</v>
      </c>
      <c r="E2033" s="4" t="s">
        <v>3119</v>
      </c>
      <c r="F2033" s="5">
        <v>46060.999664351853</v>
      </c>
      <c r="G2033" s="16" t="str">
        <f t="shared" si="155"/>
        <v>Silica Sand</v>
      </c>
      <c r="H2033" s="4" t="s">
        <v>3009</v>
      </c>
      <c r="I2033" s="18" t="str" cm="1">
        <f t="array" ref="I2033">_xlfn.LET(_xlpm.text, D2033,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3" s="18" t="str" cm="1">
        <f t="array" ref="J2033">_xlfn.LET(_xlpm.text, E2033,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3" s="14">
        <f t="shared" si="156"/>
        <v>46061</v>
      </c>
      <c r="L2033" s="14">
        <f t="shared" si="157"/>
        <v>46061.624664351853</v>
      </c>
      <c r="N2033" s="12"/>
    </row>
    <row r="2034" spans="1:14" x14ac:dyDescent="0.25">
      <c r="A2034" s="4" t="s">
        <v>2064</v>
      </c>
      <c r="B2034" s="16" t="str">
        <f t="shared" si="153"/>
        <v>MANOJ NAYAK</v>
      </c>
      <c r="C2034" s="16" t="str">
        <f t="shared" si="154"/>
        <v>Gangapura Chak No.7 / Kolayat / Bikaner</v>
      </c>
      <c r="D2034" s="4" t="s">
        <v>1382</v>
      </c>
      <c r="E2034" s="4" t="s">
        <v>3119</v>
      </c>
      <c r="F2034" s="5">
        <v>46061.999664351853</v>
      </c>
      <c r="G2034" s="16" t="str">
        <f t="shared" si="155"/>
        <v>Silica Sand</v>
      </c>
      <c r="H2034" s="4" t="s">
        <v>3010</v>
      </c>
      <c r="I2034" s="18" t="str" cm="1">
        <f t="array" ref="I2034">_xlfn.LET(_xlpm.text, D2034,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4" s="18" t="str" cm="1">
        <f t="array" ref="J2034">_xlfn.LET(_xlpm.text, E2034,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4" s="14">
        <f t="shared" si="156"/>
        <v>46062</v>
      </c>
      <c r="L2034" s="14">
        <f t="shared" si="157"/>
        <v>46062.624664351853</v>
      </c>
      <c r="N2034" s="12"/>
    </row>
    <row r="2035" spans="1:14" x14ac:dyDescent="0.25">
      <c r="A2035" s="4" t="s">
        <v>2065</v>
      </c>
      <c r="B2035" s="16" t="str">
        <f t="shared" si="153"/>
        <v>MANOJ NAYAK</v>
      </c>
      <c r="C2035" s="16" t="str">
        <f t="shared" si="154"/>
        <v>Gangapura Chak No.7 / Kolayat / Bikaner</v>
      </c>
      <c r="D2035" s="4" t="s">
        <v>1382</v>
      </c>
      <c r="E2035" s="4" t="s">
        <v>3119</v>
      </c>
      <c r="F2035" s="5">
        <v>46061.999664351853</v>
      </c>
      <c r="G2035" s="16" t="str">
        <f t="shared" si="155"/>
        <v>Silica Sand</v>
      </c>
      <c r="H2035" s="4" t="s">
        <v>3011</v>
      </c>
      <c r="I2035" s="18" t="str" cm="1">
        <f t="array" ref="I2035">_xlfn.LET(_xlpm.text, D2035,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5" s="18" t="str" cm="1">
        <f t="array" ref="J2035">_xlfn.LET(_xlpm.text, E2035,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5" s="14">
        <f t="shared" si="156"/>
        <v>46062</v>
      </c>
      <c r="L2035" s="14">
        <f t="shared" si="157"/>
        <v>46062.624664351853</v>
      </c>
      <c r="N2035" s="12"/>
    </row>
    <row r="2036" spans="1:14" x14ac:dyDescent="0.25">
      <c r="A2036" s="4" t="s">
        <v>2066</v>
      </c>
      <c r="B2036" s="16" t="str">
        <f t="shared" si="153"/>
        <v>S.R.MINES AND MINERLS</v>
      </c>
      <c r="C2036" s="16" t="str">
        <f t="shared" si="154"/>
        <v>Indo Ka Bala / Kolayat / Bikaner</v>
      </c>
      <c r="D2036" s="4" t="s">
        <v>1382</v>
      </c>
      <c r="E2036" s="4" t="s">
        <v>3119</v>
      </c>
      <c r="F2036" s="5">
        <v>46061.999664351853</v>
      </c>
      <c r="G2036" s="16" t="str">
        <f t="shared" si="155"/>
        <v>Silica Sand</v>
      </c>
      <c r="H2036" s="4" t="s">
        <v>2985</v>
      </c>
      <c r="I2036" s="18" t="str" cm="1">
        <f t="array" ref="I2036">_xlfn.LET(_xlpm.text, D2036,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6" s="18" t="str" cm="1">
        <f t="array" ref="J2036">_xlfn.LET(_xlpm.text, E2036,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6" s="14">
        <f t="shared" si="156"/>
        <v>46062</v>
      </c>
      <c r="L2036" s="14">
        <f t="shared" si="157"/>
        <v>46062.624664351853</v>
      </c>
      <c r="N2036" s="12"/>
    </row>
    <row r="2037" spans="1:14" x14ac:dyDescent="0.25">
      <c r="A2037" s="4" t="s">
        <v>2067</v>
      </c>
      <c r="B2037" s="16" t="str">
        <f t="shared" si="153"/>
        <v>S.R.MINES AND MINERLS</v>
      </c>
      <c r="C2037" s="16" t="str">
        <f t="shared" si="154"/>
        <v>Indo Ka Bala / Kolayat / Bikaner</v>
      </c>
      <c r="D2037" s="4" t="s">
        <v>1382</v>
      </c>
      <c r="E2037" s="4" t="s">
        <v>3119</v>
      </c>
      <c r="F2037" s="5">
        <v>46061.999664351853</v>
      </c>
      <c r="G2037" s="16" t="str">
        <f t="shared" si="155"/>
        <v>Silica Sand</v>
      </c>
      <c r="H2037" s="4" t="s">
        <v>2985</v>
      </c>
      <c r="I2037" s="18" t="str" cm="1">
        <f t="array" ref="I2037">_xlfn.LET(_xlpm.text, D2037,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7" s="18" t="str" cm="1">
        <f t="array" ref="J2037">_xlfn.LET(_xlpm.text, E2037,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7" s="14">
        <f t="shared" si="156"/>
        <v>46062</v>
      </c>
      <c r="L2037" s="14">
        <f t="shared" si="157"/>
        <v>46062.624664351853</v>
      </c>
      <c r="N2037" s="12"/>
    </row>
    <row r="2038" spans="1:14" x14ac:dyDescent="0.25">
      <c r="A2038" s="4" t="s">
        <v>2068</v>
      </c>
      <c r="B2038" s="16" t="str">
        <f t="shared" si="153"/>
        <v>S.R.MINES AND MINERLS</v>
      </c>
      <c r="C2038" s="16" t="str">
        <f t="shared" si="154"/>
        <v>Indo Ka Bala / Kolayat / Bikaner</v>
      </c>
      <c r="D2038" s="4" t="s">
        <v>1382</v>
      </c>
      <c r="E2038" s="4" t="s">
        <v>3119</v>
      </c>
      <c r="F2038" s="5">
        <v>46062.999664351853</v>
      </c>
      <c r="G2038" s="16" t="str">
        <f t="shared" si="155"/>
        <v>Silica Sand</v>
      </c>
      <c r="H2038" s="4" t="s">
        <v>2955</v>
      </c>
      <c r="I2038" s="18" t="str" cm="1">
        <f t="array" ref="I2038">_xlfn.LET(_xlpm.text, D2038,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8" s="18" t="str" cm="1">
        <f t="array" ref="J2038">_xlfn.LET(_xlpm.text, E2038,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8" s="14">
        <f t="shared" si="156"/>
        <v>46063</v>
      </c>
      <c r="L2038" s="14">
        <f t="shared" si="157"/>
        <v>46063.624664351853</v>
      </c>
      <c r="N2038" s="12"/>
    </row>
    <row r="2039" spans="1:14" x14ac:dyDescent="0.25">
      <c r="A2039" s="4" t="s">
        <v>2069</v>
      </c>
      <c r="B2039" s="16" t="str">
        <f t="shared" si="153"/>
        <v>S.R.MINES AND MINERLS</v>
      </c>
      <c r="C2039" s="16" t="str">
        <f t="shared" si="154"/>
        <v>Indo Ka Bala / Kolayat / Bikaner</v>
      </c>
      <c r="D2039" s="4" t="s">
        <v>1382</v>
      </c>
      <c r="E2039" s="4" t="s">
        <v>3119</v>
      </c>
      <c r="F2039" s="5">
        <v>46062.999664351853</v>
      </c>
      <c r="G2039" s="16" t="str">
        <f t="shared" si="155"/>
        <v>Silica Sand</v>
      </c>
      <c r="H2039" s="4" t="s">
        <v>2985</v>
      </c>
      <c r="I2039" s="18" t="str" cm="1">
        <f t="array" ref="I2039">_xlfn.LET(_xlpm.text, D2039,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39" s="18" t="str" cm="1">
        <f t="array" ref="J2039">_xlfn.LET(_xlpm.text, E2039,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39" s="14">
        <f t="shared" si="156"/>
        <v>46063</v>
      </c>
      <c r="L2039" s="14">
        <f t="shared" si="157"/>
        <v>46063.624664351853</v>
      </c>
      <c r="N2039" s="12"/>
    </row>
    <row r="2040" spans="1:14" x14ac:dyDescent="0.25">
      <c r="A2040" s="4" t="s">
        <v>2070</v>
      </c>
      <c r="B2040" s="16" t="str">
        <f t="shared" si="153"/>
        <v>S.R.MINES AND MINERLS</v>
      </c>
      <c r="C2040" s="16" t="str">
        <f t="shared" si="154"/>
        <v>Indo Ka Bala / Kolayat / Bikaner</v>
      </c>
      <c r="D2040" s="4" t="s">
        <v>1382</v>
      </c>
      <c r="E2040" s="4" t="s">
        <v>3119</v>
      </c>
      <c r="F2040" s="5">
        <v>46063.999664351853</v>
      </c>
      <c r="G2040" s="16" t="str">
        <f t="shared" si="155"/>
        <v>Silica Sand</v>
      </c>
      <c r="H2040" s="4" t="s">
        <v>2955</v>
      </c>
      <c r="I2040" s="18" t="str" cm="1">
        <f t="array" ref="I2040">_xlfn.LET(_xlpm.text, D2040,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0" s="18" t="str" cm="1">
        <f t="array" ref="J2040">_xlfn.LET(_xlpm.text, E2040,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0" s="14">
        <f t="shared" si="156"/>
        <v>46064</v>
      </c>
      <c r="L2040" s="14">
        <f t="shared" si="157"/>
        <v>46064.624664351853</v>
      </c>
      <c r="N2040" s="12"/>
    </row>
    <row r="2041" spans="1:14" x14ac:dyDescent="0.25">
      <c r="A2041" s="4" t="s">
        <v>2071</v>
      </c>
      <c r="B2041" s="16" t="str">
        <f t="shared" si="153"/>
        <v>S.R.MINES AND MINERLS</v>
      </c>
      <c r="C2041" s="16" t="str">
        <f t="shared" si="154"/>
        <v>Indo Ka Bala / Kolayat / Bikaner</v>
      </c>
      <c r="D2041" s="4" t="s">
        <v>1382</v>
      </c>
      <c r="E2041" s="4" t="s">
        <v>3119</v>
      </c>
      <c r="F2041" s="5">
        <v>46063.999664351853</v>
      </c>
      <c r="G2041" s="16" t="str">
        <f t="shared" si="155"/>
        <v>Silica Sand</v>
      </c>
      <c r="H2041" s="4" t="s">
        <v>2985</v>
      </c>
      <c r="I2041" s="18" t="str" cm="1">
        <f t="array" ref="I2041">_xlfn.LET(_xlpm.text, D2041,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1" s="18" t="str" cm="1">
        <f t="array" ref="J2041">_xlfn.LET(_xlpm.text, E2041,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1" s="14">
        <f t="shared" si="156"/>
        <v>46064</v>
      </c>
      <c r="L2041" s="14">
        <f t="shared" si="157"/>
        <v>46064.624664351853</v>
      </c>
      <c r="N2041" s="12"/>
    </row>
    <row r="2042" spans="1:14" x14ac:dyDescent="0.25">
      <c r="A2042" s="4" t="s">
        <v>2072</v>
      </c>
      <c r="B2042" s="16" t="str">
        <f t="shared" si="153"/>
        <v>S.R.MINES AND MINERLS</v>
      </c>
      <c r="C2042" s="16" t="str">
        <f t="shared" si="154"/>
        <v>Indo Ka Bala / Kolayat / Bikaner</v>
      </c>
      <c r="D2042" s="4" t="s">
        <v>1382</v>
      </c>
      <c r="E2042" s="4" t="s">
        <v>3119</v>
      </c>
      <c r="F2042" s="5">
        <v>46063.999664351853</v>
      </c>
      <c r="G2042" s="16" t="str">
        <f t="shared" si="155"/>
        <v>Silica Sand</v>
      </c>
      <c r="H2042" s="4" t="s">
        <v>3005</v>
      </c>
      <c r="I2042" s="18" t="str" cm="1">
        <f t="array" ref="I2042">_xlfn.LET(_xlpm.text, D2042,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2" s="18" t="str" cm="1">
        <f t="array" ref="J2042">_xlfn.LET(_xlpm.text, E2042,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2" s="14">
        <f t="shared" si="156"/>
        <v>46064</v>
      </c>
      <c r="L2042" s="14">
        <f t="shared" si="157"/>
        <v>46064.624664351853</v>
      </c>
      <c r="N2042" s="12"/>
    </row>
    <row r="2043" spans="1:14" x14ac:dyDescent="0.25">
      <c r="A2043" s="4" t="s">
        <v>2073</v>
      </c>
      <c r="B2043" s="16" t="str">
        <f t="shared" si="153"/>
        <v>S.R.MINES AND MINERLS</v>
      </c>
      <c r="C2043" s="16" t="str">
        <f t="shared" si="154"/>
        <v>Indo Ka Bala / Kolayat / Bikaner</v>
      </c>
      <c r="D2043" s="4" t="s">
        <v>1382</v>
      </c>
      <c r="E2043" s="4" t="s">
        <v>3119</v>
      </c>
      <c r="F2043" s="5">
        <v>46064.999664351853</v>
      </c>
      <c r="G2043" s="16" t="str">
        <f t="shared" si="155"/>
        <v>Silica Sand</v>
      </c>
      <c r="H2043" s="4" t="s">
        <v>2985</v>
      </c>
      <c r="I2043" s="18" t="str" cm="1">
        <f t="array" ref="I2043">_xlfn.LET(_xlpm.text, D2043,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3" s="18" t="str" cm="1">
        <f t="array" ref="J2043">_xlfn.LET(_xlpm.text, E2043,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3" s="14">
        <f t="shared" si="156"/>
        <v>46065</v>
      </c>
      <c r="L2043" s="14">
        <f t="shared" si="157"/>
        <v>46065.624664351853</v>
      </c>
      <c r="N2043" s="12"/>
    </row>
    <row r="2044" spans="1:14" x14ac:dyDescent="0.25">
      <c r="A2044" s="4" t="s">
        <v>2074</v>
      </c>
      <c r="B2044" s="16" t="str">
        <f t="shared" si="153"/>
        <v>S.R.MINES AND MINERLS</v>
      </c>
      <c r="C2044" s="16" t="str">
        <f t="shared" si="154"/>
        <v>Indo Ka Bala / Kolayat / Bikaner</v>
      </c>
      <c r="D2044" s="4" t="s">
        <v>1382</v>
      </c>
      <c r="E2044" s="4" t="s">
        <v>3119</v>
      </c>
      <c r="F2044" s="5">
        <v>46064.999664351853</v>
      </c>
      <c r="G2044" s="16" t="str">
        <f t="shared" si="155"/>
        <v>Silica Sand</v>
      </c>
      <c r="H2044" s="4" t="s">
        <v>2955</v>
      </c>
      <c r="I2044" s="18" t="str" cm="1">
        <f t="array" ref="I2044">_xlfn.LET(_xlpm.text, D2044,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4" s="18" t="str" cm="1">
        <f t="array" ref="J2044">_xlfn.LET(_xlpm.text, E2044,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4" s="14">
        <f t="shared" si="156"/>
        <v>46065</v>
      </c>
      <c r="L2044" s="14">
        <f t="shared" si="157"/>
        <v>46065.624664351853</v>
      </c>
      <c r="N2044" s="12"/>
    </row>
    <row r="2045" spans="1:14" x14ac:dyDescent="0.25">
      <c r="A2045" s="4" t="s">
        <v>2075</v>
      </c>
      <c r="B2045" s="16" t="str">
        <f t="shared" si="153"/>
        <v>S.R.MINES AND MINERLS</v>
      </c>
      <c r="C2045" s="16" t="str">
        <f t="shared" si="154"/>
        <v>Indo Ka Bala / Kolayat / Bikaner</v>
      </c>
      <c r="D2045" s="4" t="s">
        <v>1382</v>
      </c>
      <c r="E2045" s="4" t="s">
        <v>3119</v>
      </c>
      <c r="F2045" s="5">
        <v>46064.999664351853</v>
      </c>
      <c r="G2045" s="16" t="str">
        <f t="shared" si="155"/>
        <v>Silica Sand</v>
      </c>
      <c r="H2045" s="4" t="s">
        <v>2988</v>
      </c>
      <c r="I2045" s="18" t="str" cm="1">
        <f t="array" ref="I2045">_xlfn.LET(_xlpm.text, D2045,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5" s="18" t="str" cm="1">
        <f t="array" ref="J2045">_xlfn.LET(_xlpm.text, E2045,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5" s="14">
        <f t="shared" si="156"/>
        <v>46065</v>
      </c>
      <c r="L2045" s="14">
        <f t="shared" si="157"/>
        <v>46065.624664351853</v>
      </c>
      <c r="N2045" s="12"/>
    </row>
    <row r="2046" spans="1:14" x14ac:dyDescent="0.25">
      <c r="A2046" s="4" t="s">
        <v>2076</v>
      </c>
      <c r="B2046" s="16" t="str">
        <f t="shared" si="153"/>
        <v>S.R.MINES AND MINERLS</v>
      </c>
      <c r="C2046" s="16" t="str">
        <f t="shared" si="154"/>
        <v>Indo Ka Bala / Kolayat / Bikaner</v>
      </c>
      <c r="D2046" s="4" t="s">
        <v>1382</v>
      </c>
      <c r="E2046" s="4" t="s">
        <v>3119</v>
      </c>
      <c r="F2046" s="5">
        <v>46065.999664351853</v>
      </c>
      <c r="G2046" s="16" t="str">
        <f t="shared" si="155"/>
        <v>Silica Sand</v>
      </c>
      <c r="H2046" s="4" t="s">
        <v>2987</v>
      </c>
      <c r="I2046" s="18" t="str" cm="1">
        <f t="array" ref="I2046">_xlfn.LET(_xlpm.text, D2046,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6" s="18" t="str" cm="1">
        <f t="array" ref="J2046">_xlfn.LET(_xlpm.text, E2046,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6" s="14">
        <f t="shared" si="156"/>
        <v>46066</v>
      </c>
      <c r="L2046" s="14">
        <f t="shared" si="157"/>
        <v>46066.624664351853</v>
      </c>
      <c r="N2046" s="12"/>
    </row>
    <row r="2047" spans="1:14" x14ac:dyDescent="0.25">
      <c r="A2047" s="4" t="s">
        <v>2077</v>
      </c>
      <c r="B2047" s="16" t="str">
        <f t="shared" si="153"/>
        <v>S.R.MINES AND MINERLS</v>
      </c>
      <c r="C2047" s="16" t="str">
        <f t="shared" si="154"/>
        <v>Indo Ka Bala / Kolayat / Bikaner</v>
      </c>
      <c r="D2047" s="4" t="s">
        <v>1382</v>
      </c>
      <c r="E2047" s="4" t="s">
        <v>3119</v>
      </c>
      <c r="F2047" s="5">
        <v>46065.999664351853</v>
      </c>
      <c r="G2047" s="16" t="str">
        <f t="shared" si="155"/>
        <v>Silica Sand</v>
      </c>
      <c r="H2047" s="4" t="s">
        <v>2988</v>
      </c>
      <c r="I2047" s="18" t="str" cm="1">
        <f t="array" ref="I2047">_xlfn.LET(_xlpm.text, D2047,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7" s="18" t="str" cm="1">
        <f t="array" ref="J2047">_xlfn.LET(_xlpm.text, E2047,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7" s="14">
        <f t="shared" si="156"/>
        <v>46066</v>
      </c>
      <c r="L2047" s="14">
        <f t="shared" si="157"/>
        <v>46066.624664351853</v>
      </c>
      <c r="N2047" s="12"/>
    </row>
    <row r="2048" spans="1:14" x14ac:dyDescent="0.25">
      <c r="A2048" s="4" t="s">
        <v>2078</v>
      </c>
      <c r="B2048" s="16" t="str">
        <f t="shared" si="153"/>
        <v>S.R.MINES AND MINERLS</v>
      </c>
      <c r="C2048" s="16" t="str">
        <f t="shared" si="154"/>
        <v>Indo Ka Bala / Kolayat / Bikaner</v>
      </c>
      <c r="D2048" s="4" t="s">
        <v>1382</v>
      </c>
      <c r="E2048" s="4" t="s">
        <v>3119</v>
      </c>
      <c r="F2048" s="5">
        <v>46065.999664351853</v>
      </c>
      <c r="G2048" s="16" t="str">
        <f t="shared" si="155"/>
        <v>Silica Sand</v>
      </c>
      <c r="H2048" s="4" t="s">
        <v>2989</v>
      </c>
      <c r="I2048" s="18" t="str" cm="1">
        <f t="array" ref="I2048">_xlfn.LET(_xlpm.text, D2048,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8" s="18" t="str" cm="1">
        <f t="array" ref="J2048">_xlfn.LET(_xlpm.text, E2048,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8" s="14">
        <f t="shared" si="156"/>
        <v>46066</v>
      </c>
      <c r="L2048" s="14">
        <f t="shared" si="157"/>
        <v>46066.624664351853</v>
      </c>
      <c r="N2048" s="12"/>
    </row>
    <row r="2049" spans="1:14" x14ac:dyDescent="0.25">
      <c r="A2049" s="4" t="s">
        <v>2079</v>
      </c>
      <c r="B2049" s="16" t="str">
        <f t="shared" si="153"/>
        <v>S.R.MINES AND MINERLS</v>
      </c>
      <c r="C2049" s="16" t="str">
        <f t="shared" si="154"/>
        <v>Indo Ka Bala / Kolayat / Bikaner</v>
      </c>
      <c r="D2049" s="4" t="s">
        <v>1382</v>
      </c>
      <c r="E2049" s="4" t="s">
        <v>3119</v>
      </c>
      <c r="F2049" s="5">
        <v>46066.999664351853</v>
      </c>
      <c r="G2049" s="16" t="str">
        <f t="shared" si="155"/>
        <v>Silica Sand</v>
      </c>
      <c r="H2049" s="4" t="s">
        <v>2988</v>
      </c>
      <c r="I2049" s="18" t="str" cm="1">
        <f t="array" ref="I2049">_xlfn.LET(_xlpm.text, D2049,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49" s="18" t="str" cm="1">
        <f t="array" ref="J2049">_xlfn.LET(_xlpm.text, E2049,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49" s="14">
        <f t="shared" si="156"/>
        <v>46067</v>
      </c>
      <c r="L2049" s="14">
        <f t="shared" si="157"/>
        <v>46067.624664351853</v>
      </c>
      <c r="N2049" s="12"/>
    </row>
    <row r="2050" spans="1:14" x14ac:dyDescent="0.25">
      <c r="A2050" s="4" t="s">
        <v>2080</v>
      </c>
      <c r="B2050" s="16" t="str">
        <f t="shared" ref="B2050:B2113" si="158">VLOOKUP(LEFT($A2050,4)&amp;"*",$O$3:$R$17, 2, FALSE)</f>
        <v>S.R.MINES AND MINERLS</v>
      </c>
      <c r="C2050" s="16" t="str">
        <f t="shared" ref="C2050:C2113" si="159">VLOOKUP(LEFT($A2050,4)&amp;"*",$O$3:$R$17, 3, FALSE)</f>
        <v>Indo Ka Bala / Kolayat / Bikaner</v>
      </c>
      <c r="D2050" s="4" t="s">
        <v>1382</v>
      </c>
      <c r="E2050" s="4" t="s">
        <v>3119</v>
      </c>
      <c r="F2050" s="5">
        <v>46066.999664351853</v>
      </c>
      <c r="G2050" s="16" t="str">
        <f t="shared" ref="G2050:G2113" si="160">VLOOKUP(LEFT($A2050,4)&amp;"*",$O$3:$R$17, 4, FALSE)</f>
        <v>Silica Sand</v>
      </c>
      <c r="H2050" s="4" t="s">
        <v>2985</v>
      </c>
      <c r="I2050" s="18" t="str" cm="1">
        <f t="array" ref="I2050">_xlfn.LET(_xlpm.text, D2050,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0" s="18" t="str" cm="1">
        <f t="array" ref="J2050">_xlfn.LET(_xlpm.text, E2050,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0" s="14">
        <f t="shared" si="156"/>
        <v>46067</v>
      </c>
      <c r="L2050" s="14">
        <f t="shared" si="157"/>
        <v>46067.624664351853</v>
      </c>
      <c r="N2050" s="12"/>
    </row>
    <row r="2051" spans="1:14" x14ac:dyDescent="0.25">
      <c r="A2051" s="4" t="s">
        <v>2081</v>
      </c>
      <c r="B2051" s="16" t="str">
        <f t="shared" si="158"/>
        <v>S.R.MINES AND MINERLS</v>
      </c>
      <c r="C2051" s="16" t="str">
        <f t="shared" si="159"/>
        <v>Indo Ka Bala / Kolayat / Bikaner</v>
      </c>
      <c r="D2051" s="4" t="s">
        <v>1382</v>
      </c>
      <c r="E2051" s="4" t="s">
        <v>3119</v>
      </c>
      <c r="F2051" s="5">
        <v>46066.999664351853</v>
      </c>
      <c r="G2051" s="16" t="str">
        <f t="shared" si="160"/>
        <v>Silica Sand</v>
      </c>
      <c r="H2051" s="4" t="s">
        <v>2955</v>
      </c>
      <c r="I2051" s="18" t="str" cm="1">
        <f t="array" ref="I2051">_xlfn.LET(_xlpm.text, D2051,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1" s="18" t="str" cm="1">
        <f t="array" ref="J2051">_xlfn.LET(_xlpm.text, E2051,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1" s="14">
        <f t="shared" ref="K2051:K2114" si="161">F2051+(29/86400)</f>
        <v>46067</v>
      </c>
      <c r="L2051" s="14">
        <f t="shared" ref="L2051:L2114" si="162">F2051+(15/24)</f>
        <v>46067.624664351853</v>
      </c>
      <c r="N2051" s="12"/>
    </row>
    <row r="2052" spans="1:14" x14ac:dyDescent="0.25">
      <c r="A2052" s="4" t="s">
        <v>2082</v>
      </c>
      <c r="B2052" s="16" t="str">
        <f t="shared" si="158"/>
        <v>S.R.MINES AND MINERLS</v>
      </c>
      <c r="C2052" s="16" t="str">
        <f t="shared" si="159"/>
        <v>Indo Ka Bala / Kolayat / Bikaner</v>
      </c>
      <c r="D2052" s="4" t="s">
        <v>1382</v>
      </c>
      <c r="E2052" s="4" t="s">
        <v>3119</v>
      </c>
      <c r="F2052" s="5">
        <v>46067.999664351853</v>
      </c>
      <c r="G2052" s="16" t="str">
        <f t="shared" si="160"/>
        <v>Silica Sand</v>
      </c>
      <c r="H2052" s="4" t="s">
        <v>2988</v>
      </c>
      <c r="I2052" s="18" t="str" cm="1">
        <f t="array" ref="I2052">_xlfn.LET(_xlpm.text, D2052,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2" s="18" t="str" cm="1">
        <f t="array" ref="J2052">_xlfn.LET(_xlpm.text, E2052,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2" s="14">
        <f t="shared" si="161"/>
        <v>46068</v>
      </c>
      <c r="L2052" s="14">
        <f t="shared" si="162"/>
        <v>46068.624664351853</v>
      </c>
      <c r="N2052" s="12"/>
    </row>
    <row r="2053" spans="1:14" x14ac:dyDescent="0.25">
      <c r="A2053" s="4" t="s">
        <v>2083</v>
      </c>
      <c r="B2053" s="16" t="str">
        <f t="shared" si="158"/>
        <v>S.R.MINES AND MINERLS</v>
      </c>
      <c r="C2053" s="16" t="str">
        <f t="shared" si="159"/>
        <v>Indo Ka Bala / Kolayat / Bikaner</v>
      </c>
      <c r="D2053" s="4" t="s">
        <v>1382</v>
      </c>
      <c r="E2053" s="4" t="s">
        <v>3119</v>
      </c>
      <c r="F2053" s="5">
        <v>46067.999664351853</v>
      </c>
      <c r="G2053" s="16" t="str">
        <f t="shared" si="160"/>
        <v>Silica Sand</v>
      </c>
      <c r="H2053" s="4" t="s">
        <v>2988</v>
      </c>
      <c r="I2053" s="18" t="str" cm="1">
        <f t="array" ref="I2053">_xlfn.LET(_xlpm.text, D2053,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3" s="18" t="str" cm="1">
        <f t="array" ref="J2053">_xlfn.LET(_xlpm.text, E2053,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3" s="14">
        <f t="shared" si="161"/>
        <v>46068</v>
      </c>
      <c r="L2053" s="14">
        <f t="shared" si="162"/>
        <v>46068.624664351853</v>
      </c>
      <c r="N2053" s="12"/>
    </row>
    <row r="2054" spans="1:14" x14ac:dyDescent="0.25">
      <c r="A2054" s="4" t="s">
        <v>2084</v>
      </c>
      <c r="B2054" s="16" t="str">
        <f t="shared" si="158"/>
        <v>S.R.MINES AND MINERLS</v>
      </c>
      <c r="C2054" s="16" t="str">
        <f t="shared" si="159"/>
        <v>Indo Ka Bala / Kolayat / Bikaner</v>
      </c>
      <c r="D2054" s="4" t="s">
        <v>1382</v>
      </c>
      <c r="E2054" s="4" t="s">
        <v>3119</v>
      </c>
      <c r="F2054" s="5">
        <v>46067.999664351853</v>
      </c>
      <c r="G2054" s="16" t="str">
        <f t="shared" si="160"/>
        <v>Silica Sand</v>
      </c>
      <c r="H2054" s="4" t="s">
        <v>2985</v>
      </c>
      <c r="I2054" s="18" t="str" cm="1">
        <f t="array" ref="I2054">_xlfn.LET(_xlpm.text, D2054,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4" s="18" t="str" cm="1">
        <f t="array" ref="J2054">_xlfn.LET(_xlpm.text, E2054,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4" s="14">
        <f t="shared" si="161"/>
        <v>46068</v>
      </c>
      <c r="L2054" s="14">
        <f t="shared" si="162"/>
        <v>46068.624664351853</v>
      </c>
      <c r="N2054" s="12"/>
    </row>
    <row r="2055" spans="1:14" x14ac:dyDescent="0.25">
      <c r="A2055" s="4" t="s">
        <v>2085</v>
      </c>
      <c r="B2055" s="16" t="str">
        <f t="shared" si="158"/>
        <v>S.R.MINES AND MINERLS</v>
      </c>
      <c r="C2055" s="16" t="str">
        <f t="shared" si="159"/>
        <v>Indo Ka Bala / Kolayat / Bikaner</v>
      </c>
      <c r="D2055" s="4" t="s">
        <v>1382</v>
      </c>
      <c r="E2055" s="4" t="s">
        <v>3119</v>
      </c>
      <c r="F2055" s="5">
        <v>46068.999664351853</v>
      </c>
      <c r="G2055" s="16" t="str">
        <f t="shared" si="160"/>
        <v>Silica Sand</v>
      </c>
      <c r="H2055" s="4" t="s">
        <v>2988</v>
      </c>
      <c r="I2055" s="18" t="str" cm="1">
        <f t="array" ref="I2055">_xlfn.LET(_xlpm.text, D2055,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5" s="18" t="str" cm="1">
        <f t="array" ref="J2055">_xlfn.LET(_xlpm.text, E2055,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5" s="14">
        <f t="shared" si="161"/>
        <v>46069</v>
      </c>
      <c r="L2055" s="14">
        <f t="shared" si="162"/>
        <v>46069.624664351853</v>
      </c>
      <c r="N2055" s="12"/>
    </row>
    <row r="2056" spans="1:14" x14ac:dyDescent="0.25">
      <c r="A2056" s="4" t="s">
        <v>2086</v>
      </c>
      <c r="B2056" s="16" t="str">
        <f t="shared" si="158"/>
        <v>S.R.MINES AND MINERLS</v>
      </c>
      <c r="C2056" s="16" t="str">
        <f t="shared" si="159"/>
        <v>Indo Ka Bala / Kolayat / Bikaner</v>
      </c>
      <c r="D2056" s="4" t="s">
        <v>1382</v>
      </c>
      <c r="E2056" s="4" t="s">
        <v>3119</v>
      </c>
      <c r="F2056" s="5">
        <v>46068.999664351853</v>
      </c>
      <c r="G2056" s="16" t="str">
        <f t="shared" si="160"/>
        <v>Silica Sand</v>
      </c>
      <c r="H2056" s="4" t="s">
        <v>3007</v>
      </c>
      <c r="I2056" s="18" t="str" cm="1">
        <f t="array" ref="I2056">_xlfn.LET(_xlpm.text, D2056,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6" s="18" t="str" cm="1">
        <f t="array" ref="J2056">_xlfn.LET(_xlpm.text, E2056,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6" s="14">
        <f t="shared" si="161"/>
        <v>46069</v>
      </c>
      <c r="L2056" s="14">
        <f t="shared" si="162"/>
        <v>46069.624664351853</v>
      </c>
      <c r="N2056" s="12"/>
    </row>
    <row r="2057" spans="1:14" x14ac:dyDescent="0.25">
      <c r="A2057" s="4" t="s">
        <v>2087</v>
      </c>
      <c r="B2057" s="16" t="str">
        <f t="shared" si="158"/>
        <v>S.R.MINES AND MINERLS</v>
      </c>
      <c r="C2057" s="16" t="str">
        <f t="shared" si="159"/>
        <v>Indo Ka Bala / Kolayat / Bikaner</v>
      </c>
      <c r="D2057" s="4" t="s">
        <v>1382</v>
      </c>
      <c r="E2057" s="4" t="s">
        <v>3119</v>
      </c>
      <c r="F2057" s="5">
        <v>46068.999664351853</v>
      </c>
      <c r="G2057" s="16" t="str">
        <f t="shared" si="160"/>
        <v>Silica Sand</v>
      </c>
      <c r="H2057" s="4" t="s">
        <v>2939</v>
      </c>
      <c r="I2057" s="18" t="str" cm="1">
        <f t="array" ref="I2057">_xlfn.LET(_xlpm.text, D2057,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7" s="18" t="str" cm="1">
        <f t="array" ref="J2057">_xlfn.LET(_xlpm.text, E2057,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7" s="14">
        <f t="shared" si="161"/>
        <v>46069</v>
      </c>
      <c r="L2057" s="14">
        <f t="shared" si="162"/>
        <v>46069.624664351853</v>
      </c>
      <c r="N2057" s="12"/>
    </row>
    <row r="2058" spans="1:14" x14ac:dyDescent="0.25">
      <c r="A2058" s="4" t="s">
        <v>2088</v>
      </c>
      <c r="B2058" s="16" t="str">
        <f t="shared" si="158"/>
        <v>S.R.MINES AND MINERLS</v>
      </c>
      <c r="C2058" s="16" t="str">
        <f t="shared" si="159"/>
        <v>Indo Ka Bala / Kolayat / Bikaner</v>
      </c>
      <c r="D2058" s="4" t="s">
        <v>1382</v>
      </c>
      <c r="E2058" s="4" t="s">
        <v>3119</v>
      </c>
      <c r="F2058" s="5">
        <v>46052.999664351853</v>
      </c>
      <c r="G2058" s="16" t="str">
        <f t="shared" si="160"/>
        <v>Silica Sand</v>
      </c>
      <c r="H2058" s="4" t="s">
        <v>2922</v>
      </c>
      <c r="I2058" s="18" t="str" cm="1">
        <f t="array" ref="I2058">_xlfn.LET(_xlpm.text, D2058,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8" s="18" t="str" cm="1">
        <f t="array" ref="J2058">_xlfn.LET(_xlpm.text, E2058,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8" s="14">
        <f t="shared" si="161"/>
        <v>46053</v>
      </c>
      <c r="L2058" s="14">
        <f t="shared" si="162"/>
        <v>46053.624664351853</v>
      </c>
      <c r="N2058" s="12"/>
    </row>
    <row r="2059" spans="1:14" x14ac:dyDescent="0.25">
      <c r="A2059" s="4" t="s">
        <v>2089</v>
      </c>
      <c r="B2059" s="16" t="str">
        <f t="shared" si="158"/>
        <v>S.R.MINES AND MINERLS</v>
      </c>
      <c r="C2059" s="16" t="str">
        <f t="shared" si="159"/>
        <v>Indo Ka Bala / Kolayat / Bikaner</v>
      </c>
      <c r="D2059" s="4" t="s">
        <v>1382</v>
      </c>
      <c r="E2059" s="4" t="s">
        <v>3119</v>
      </c>
      <c r="F2059" s="5">
        <v>46053.999664351853</v>
      </c>
      <c r="G2059" s="16" t="str">
        <f t="shared" si="160"/>
        <v>Silica Sand</v>
      </c>
      <c r="H2059" s="4" t="s">
        <v>2922</v>
      </c>
      <c r="I2059" s="18" t="str" cm="1">
        <f t="array" ref="I2059">_xlfn.LET(_xlpm.text, D2059,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59" s="18" t="str" cm="1">
        <f t="array" ref="J2059">_xlfn.LET(_xlpm.text, E2059,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59" s="14">
        <f t="shared" si="161"/>
        <v>46054</v>
      </c>
      <c r="L2059" s="14">
        <f t="shared" si="162"/>
        <v>46054.624664351853</v>
      </c>
      <c r="N2059" s="12"/>
    </row>
    <row r="2060" spans="1:14" x14ac:dyDescent="0.25">
      <c r="A2060" s="4" t="s">
        <v>2090</v>
      </c>
      <c r="B2060" s="16" t="str">
        <f t="shared" si="158"/>
        <v>S.R.MINES AND MINERLS</v>
      </c>
      <c r="C2060" s="16" t="str">
        <f t="shared" si="159"/>
        <v>Indo Ka Bala / Kolayat / Bikaner</v>
      </c>
      <c r="D2060" s="4" t="s">
        <v>1382</v>
      </c>
      <c r="E2060" s="4" t="s">
        <v>3119</v>
      </c>
      <c r="F2060" s="5">
        <v>46052.999664351853</v>
      </c>
      <c r="G2060" s="16" t="str">
        <f t="shared" si="160"/>
        <v>Silica Sand</v>
      </c>
      <c r="H2060" s="4" t="s">
        <v>2955</v>
      </c>
      <c r="I2060" s="18" t="str" cm="1">
        <f t="array" ref="I2060">_xlfn.LET(_xlpm.text, D2060,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60" s="18" t="str" cm="1">
        <f t="array" ref="J2060">_xlfn.LET(_xlpm.text, E2060,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0" s="14">
        <f t="shared" si="161"/>
        <v>46053</v>
      </c>
      <c r="L2060" s="14">
        <f t="shared" si="162"/>
        <v>46053.624664351853</v>
      </c>
      <c r="N2060" s="12"/>
    </row>
    <row r="2061" spans="1:14" x14ac:dyDescent="0.25">
      <c r="A2061" s="4" t="s">
        <v>2091</v>
      </c>
      <c r="B2061" s="16" t="str">
        <f t="shared" si="158"/>
        <v>S.R.MINES AND MINERLS</v>
      </c>
      <c r="C2061" s="16" t="str">
        <f t="shared" si="159"/>
        <v>Indo Ka Bala / Kolayat / Bikaner</v>
      </c>
      <c r="D2061" s="4" t="s">
        <v>1382</v>
      </c>
      <c r="E2061" s="4" t="s">
        <v>3119</v>
      </c>
      <c r="F2061" s="5">
        <v>46052.999664351853</v>
      </c>
      <c r="G2061" s="16" t="str">
        <f t="shared" si="160"/>
        <v>Silica Sand</v>
      </c>
      <c r="H2061" s="4" t="s">
        <v>2985</v>
      </c>
      <c r="I2061" s="18" t="str" cm="1">
        <f t="array" ref="I2061">_xlfn.LET(_xlpm.text, D2061,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61" s="18" t="str" cm="1">
        <f t="array" ref="J2061">_xlfn.LET(_xlpm.text, E2061,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1" s="14">
        <f t="shared" si="161"/>
        <v>46053</v>
      </c>
      <c r="L2061" s="14">
        <f t="shared" si="162"/>
        <v>46053.624664351853</v>
      </c>
      <c r="N2061" s="12"/>
    </row>
    <row r="2062" spans="1:14" x14ac:dyDescent="0.25">
      <c r="A2062" s="4" t="s">
        <v>2092</v>
      </c>
      <c r="B2062" s="16" t="str">
        <f t="shared" si="158"/>
        <v>S.R.MINES AND MINERLS</v>
      </c>
      <c r="C2062" s="16" t="str">
        <f t="shared" si="159"/>
        <v>Indo Ka Bala / Kolayat / Bikaner</v>
      </c>
      <c r="D2062" s="4" t="s">
        <v>1382</v>
      </c>
      <c r="E2062" s="4" t="s">
        <v>3119</v>
      </c>
      <c r="F2062" s="5">
        <v>46053.999664351853</v>
      </c>
      <c r="G2062" s="16" t="str">
        <f t="shared" si="160"/>
        <v>Silica Sand</v>
      </c>
      <c r="H2062" s="4" t="s">
        <v>2985</v>
      </c>
      <c r="I2062" s="18" t="str" cm="1">
        <f t="array" ref="I2062">_xlfn.LET(_xlpm.text, D2062,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62" s="18" t="str" cm="1">
        <f t="array" ref="J2062">_xlfn.LET(_xlpm.text, E2062,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2" s="14">
        <f t="shared" si="161"/>
        <v>46054</v>
      </c>
      <c r="L2062" s="14">
        <f t="shared" si="162"/>
        <v>46054.624664351853</v>
      </c>
      <c r="N2062" s="12"/>
    </row>
    <row r="2063" spans="1:14" x14ac:dyDescent="0.25">
      <c r="A2063" s="4" t="s">
        <v>2093</v>
      </c>
      <c r="B2063" s="16" t="str">
        <f t="shared" si="158"/>
        <v>S.R.MINES AND MINERLS</v>
      </c>
      <c r="C2063" s="16" t="str">
        <f t="shared" si="159"/>
        <v>Indo Ka Bala / Kolayat / Bikaner</v>
      </c>
      <c r="D2063" s="4" t="s">
        <v>1382</v>
      </c>
      <c r="E2063" s="4" t="s">
        <v>3119</v>
      </c>
      <c r="F2063" s="5">
        <v>46053.999664351853</v>
      </c>
      <c r="G2063" s="16" t="str">
        <f t="shared" si="160"/>
        <v>Silica Sand</v>
      </c>
      <c r="H2063" s="4" t="s">
        <v>2986</v>
      </c>
      <c r="I2063" s="18" t="str" cm="1">
        <f t="array" ref="I2063">_xlfn.LET(_xlpm.text, D2063, _xlpm.L, LEN(_xlpm.text), _xlfn.CONCAT(_xlfn.MAP(_xlfn.SEQUENCE(_xlpm.L), _xlfn.LAMBDA(_xlpm.i, _xlfn.LET(_xlpm.char, MID(_xlpm.text, _xlpm.i, 1), IF(OR(_xlpm.i=1, _xlpm.i=_xlpm.L, _xlpm.char=" "), _xlpm.char, "X"))))))</f>
        <v>SXXX XXXXX XXXXXXXX XXXXXXXS</v>
      </c>
      <c r="J2063" s="18" t="str" cm="1">
        <f t="array" ref="J2063">_xlfn.LET(_xlpm.text, E2063,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3" s="14">
        <f t="shared" si="161"/>
        <v>46054</v>
      </c>
      <c r="L2063" s="14">
        <f t="shared" si="162"/>
        <v>46054.624664351853</v>
      </c>
      <c r="N2063" s="12"/>
    </row>
    <row r="2064" spans="1:14" x14ac:dyDescent="0.25">
      <c r="A2064" s="4" t="s">
        <v>2094</v>
      </c>
      <c r="B2064" s="16" t="str">
        <f t="shared" si="158"/>
        <v>M/s SHREE VISHNU MINERALS</v>
      </c>
      <c r="C2064" s="16" t="str">
        <f t="shared" si="159"/>
        <v>Mokha Charnan / Kolayat / Bikaner</v>
      </c>
      <c r="D2064" s="4" t="s">
        <v>3032</v>
      </c>
      <c r="E2064" s="4" t="s">
        <v>3119</v>
      </c>
      <c r="F2064" s="5">
        <v>46079.999664351853</v>
      </c>
      <c r="G2064" s="16" t="str">
        <f t="shared" si="160"/>
        <v>Silica Sand</v>
      </c>
      <c r="H2064" s="4" t="s">
        <v>2611</v>
      </c>
      <c r="I2064" s="18" t="str" cm="1">
        <f t="array" ref="I2064">_xlfn.LET(_xlpm.text, D2064,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64" s="18" t="str" cm="1">
        <f t="array" ref="J2064">_xlfn.LET(_xlpm.text, E2064,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4" s="14">
        <f t="shared" si="161"/>
        <v>46080</v>
      </c>
      <c r="L2064" s="14">
        <f t="shared" si="162"/>
        <v>46080.624664351853</v>
      </c>
      <c r="N2064" s="12"/>
    </row>
    <row r="2065" spans="1:14" x14ac:dyDescent="0.25">
      <c r="A2065" s="4" t="s">
        <v>2095</v>
      </c>
      <c r="B2065" s="16" t="str">
        <f t="shared" si="158"/>
        <v>M/s SHREE VISHNU MINERALS</v>
      </c>
      <c r="C2065" s="16" t="str">
        <f t="shared" si="159"/>
        <v>Mokha Charnan / Kolayat / Bikaner</v>
      </c>
      <c r="D2065" s="4" t="s">
        <v>3032</v>
      </c>
      <c r="E2065" s="4" t="s">
        <v>3119</v>
      </c>
      <c r="F2065" s="5">
        <v>46079.999664351853</v>
      </c>
      <c r="G2065" s="16" t="str">
        <f t="shared" si="160"/>
        <v>Silica Sand</v>
      </c>
      <c r="H2065" s="4" t="s">
        <v>2315</v>
      </c>
      <c r="I2065" s="18" t="str" cm="1">
        <f t="array" ref="I2065">_xlfn.LET(_xlpm.text, D2065,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65" s="18" t="str" cm="1">
        <f t="array" ref="J2065">_xlfn.LET(_xlpm.text, E2065,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5" s="14">
        <f t="shared" si="161"/>
        <v>46080</v>
      </c>
      <c r="L2065" s="14">
        <f t="shared" si="162"/>
        <v>46080.624664351853</v>
      </c>
      <c r="N2065" s="12"/>
    </row>
    <row r="2066" spans="1:14" x14ac:dyDescent="0.25">
      <c r="A2066" s="4" t="s">
        <v>2096</v>
      </c>
      <c r="B2066" s="16" t="str">
        <f t="shared" si="158"/>
        <v>M/s SHREE VISHNU MINERALS</v>
      </c>
      <c r="C2066" s="16" t="str">
        <f t="shared" si="159"/>
        <v>Mokha Charnan / Kolayat / Bikaner</v>
      </c>
      <c r="D2066" s="4" t="s">
        <v>3032</v>
      </c>
      <c r="E2066" s="4" t="s">
        <v>3119</v>
      </c>
      <c r="F2066" s="5">
        <v>46079.999664351853</v>
      </c>
      <c r="G2066" s="16" t="str">
        <f t="shared" si="160"/>
        <v>Silica Sand</v>
      </c>
      <c r="H2066" s="4" t="s">
        <v>2315</v>
      </c>
      <c r="I2066" s="18" t="str" cm="1">
        <f t="array" ref="I2066">_xlfn.LET(_xlpm.text, D2066,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66" s="18" t="str" cm="1">
        <f t="array" ref="J2066">_xlfn.LET(_xlpm.text, E2066,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6" s="14">
        <f t="shared" si="161"/>
        <v>46080</v>
      </c>
      <c r="L2066" s="14">
        <f t="shared" si="162"/>
        <v>46080.624664351853</v>
      </c>
      <c r="N2066" s="12"/>
    </row>
    <row r="2067" spans="1:14" x14ac:dyDescent="0.25">
      <c r="A2067" s="4" t="s">
        <v>2097</v>
      </c>
      <c r="B2067" s="16" t="str">
        <f t="shared" si="158"/>
        <v>M/s SHREE VISHNU MINERALS</v>
      </c>
      <c r="C2067" s="16" t="str">
        <f t="shared" si="159"/>
        <v>Mokha Charnan / Kolayat / Bikaner</v>
      </c>
      <c r="D2067" s="4" t="s">
        <v>3032</v>
      </c>
      <c r="E2067" s="4" t="s">
        <v>3119</v>
      </c>
      <c r="F2067" s="5">
        <v>46078.999664351853</v>
      </c>
      <c r="G2067" s="16" t="str">
        <f t="shared" si="160"/>
        <v>Silica Sand</v>
      </c>
      <c r="H2067" s="4" t="s">
        <v>2611</v>
      </c>
      <c r="I2067" s="18" t="str" cm="1">
        <f t="array" ref="I2067">_xlfn.LET(_xlpm.text, D2067,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67" s="18" t="str" cm="1">
        <f t="array" ref="J2067">_xlfn.LET(_xlpm.text, E2067,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7" s="14">
        <f t="shared" si="161"/>
        <v>46079</v>
      </c>
      <c r="L2067" s="14">
        <f t="shared" si="162"/>
        <v>46079.624664351853</v>
      </c>
      <c r="N2067" s="12"/>
    </row>
    <row r="2068" spans="1:14" x14ac:dyDescent="0.25">
      <c r="A2068" s="4" t="s">
        <v>2098</v>
      </c>
      <c r="B2068" s="16" t="str">
        <f t="shared" si="158"/>
        <v>M/s SHREE VISHNU MINERALS</v>
      </c>
      <c r="C2068" s="16" t="str">
        <f t="shared" si="159"/>
        <v>Mokha Charnan / Kolayat / Bikaner</v>
      </c>
      <c r="D2068" s="4" t="s">
        <v>3032</v>
      </c>
      <c r="E2068" s="4" t="s">
        <v>3119</v>
      </c>
      <c r="F2068" s="5">
        <v>46078.999664351853</v>
      </c>
      <c r="G2068" s="16" t="str">
        <f t="shared" si="160"/>
        <v>Silica Sand</v>
      </c>
      <c r="H2068" s="4" t="s">
        <v>3012</v>
      </c>
      <c r="I2068" s="18" t="str" cm="1">
        <f t="array" ref="I2068">_xlfn.LET(_xlpm.text, D2068,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68" s="18" t="str" cm="1">
        <f t="array" ref="J2068">_xlfn.LET(_xlpm.text, E2068,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8" s="14">
        <f t="shared" si="161"/>
        <v>46079</v>
      </c>
      <c r="L2068" s="14">
        <f t="shared" si="162"/>
        <v>46079.624664351853</v>
      </c>
      <c r="N2068" s="12"/>
    </row>
    <row r="2069" spans="1:14" x14ac:dyDescent="0.25">
      <c r="A2069" s="4" t="s">
        <v>2099</v>
      </c>
      <c r="B2069" s="16" t="str">
        <f t="shared" si="158"/>
        <v>M/s SHREE VISHNU MINERALS</v>
      </c>
      <c r="C2069" s="16" t="str">
        <f t="shared" si="159"/>
        <v>Mokha Charnan / Kolayat / Bikaner</v>
      </c>
      <c r="D2069" s="4" t="s">
        <v>3032</v>
      </c>
      <c r="E2069" s="4" t="s">
        <v>3119</v>
      </c>
      <c r="F2069" s="5">
        <v>46078.999664351853</v>
      </c>
      <c r="G2069" s="16" t="str">
        <f t="shared" si="160"/>
        <v>Silica Sand</v>
      </c>
      <c r="H2069" s="4" t="s">
        <v>2315</v>
      </c>
      <c r="I2069" s="18" t="str" cm="1">
        <f t="array" ref="I2069">_xlfn.LET(_xlpm.text, D2069,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69" s="18" t="str" cm="1">
        <f t="array" ref="J2069">_xlfn.LET(_xlpm.text, E2069,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69" s="14">
        <f t="shared" si="161"/>
        <v>46079</v>
      </c>
      <c r="L2069" s="14">
        <f t="shared" si="162"/>
        <v>46079.624664351853</v>
      </c>
      <c r="N2069" s="12"/>
    </row>
    <row r="2070" spans="1:14" x14ac:dyDescent="0.25">
      <c r="A2070" s="4" t="s">
        <v>2100</v>
      </c>
      <c r="B2070" s="16" t="str">
        <f t="shared" si="158"/>
        <v>M/s SHREE VISHNU MINERALS</v>
      </c>
      <c r="C2070" s="16" t="str">
        <f t="shared" si="159"/>
        <v>Mokha Charnan / Kolayat / Bikaner</v>
      </c>
      <c r="D2070" s="4" t="s">
        <v>3032</v>
      </c>
      <c r="E2070" s="4" t="s">
        <v>3119</v>
      </c>
      <c r="F2070" s="5">
        <v>46078.999664351853</v>
      </c>
      <c r="G2070" s="16" t="str">
        <f t="shared" si="160"/>
        <v>Silica Sand</v>
      </c>
      <c r="H2070" s="4" t="s">
        <v>2611</v>
      </c>
      <c r="I2070" s="18" t="str" cm="1">
        <f t="array" ref="I2070">_xlfn.LET(_xlpm.text, D2070,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0" s="18" t="str" cm="1">
        <f t="array" ref="J2070">_xlfn.LET(_xlpm.text, E2070,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0" s="14">
        <f t="shared" si="161"/>
        <v>46079</v>
      </c>
      <c r="L2070" s="14">
        <f t="shared" si="162"/>
        <v>46079.624664351853</v>
      </c>
      <c r="N2070" s="12"/>
    </row>
    <row r="2071" spans="1:14" x14ac:dyDescent="0.25">
      <c r="A2071" s="4" t="s">
        <v>2101</v>
      </c>
      <c r="B2071" s="16" t="str">
        <f t="shared" si="158"/>
        <v>M/s SHREE VISHNU MINERALS</v>
      </c>
      <c r="C2071" s="16" t="str">
        <f t="shared" si="159"/>
        <v>Mokha Charnan / Kolayat / Bikaner</v>
      </c>
      <c r="D2071" s="4" t="s">
        <v>3032</v>
      </c>
      <c r="E2071" s="4" t="s">
        <v>3119</v>
      </c>
      <c r="F2071" s="5">
        <v>46078.999664351853</v>
      </c>
      <c r="G2071" s="16" t="str">
        <f t="shared" si="160"/>
        <v>Silica Sand</v>
      </c>
      <c r="H2071" s="4" t="s">
        <v>344</v>
      </c>
      <c r="I2071" s="18" t="str" cm="1">
        <f t="array" ref="I2071">_xlfn.LET(_xlpm.text, D2071,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1" s="18" t="str" cm="1">
        <f t="array" ref="J2071">_xlfn.LET(_xlpm.text, E2071,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1" s="14">
        <f t="shared" si="161"/>
        <v>46079</v>
      </c>
      <c r="L2071" s="14">
        <f t="shared" si="162"/>
        <v>46079.624664351853</v>
      </c>
      <c r="N2071" s="12"/>
    </row>
    <row r="2072" spans="1:14" x14ac:dyDescent="0.25">
      <c r="A2072" s="4" t="s">
        <v>2102</v>
      </c>
      <c r="B2072" s="16" t="str">
        <f t="shared" si="158"/>
        <v>M/s SHREE VISHNU MINERALS</v>
      </c>
      <c r="C2072" s="16" t="str">
        <f t="shared" si="159"/>
        <v>Mokha Charnan / Kolayat / Bikaner</v>
      </c>
      <c r="D2072" s="4" t="s">
        <v>3032</v>
      </c>
      <c r="E2072" s="4" t="s">
        <v>3119</v>
      </c>
      <c r="F2072" s="5">
        <v>46078.999664351853</v>
      </c>
      <c r="G2072" s="16" t="str">
        <f t="shared" si="160"/>
        <v>Silica Sand</v>
      </c>
      <c r="H2072" s="4" t="s">
        <v>2399</v>
      </c>
      <c r="I2072" s="18" t="str" cm="1">
        <f t="array" ref="I2072">_xlfn.LET(_xlpm.text, D2072,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2" s="18" t="str" cm="1">
        <f t="array" ref="J2072">_xlfn.LET(_xlpm.text, E2072,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2" s="14">
        <f t="shared" si="161"/>
        <v>46079</v>
      </c>
      <c r="L2072" s="14">
        <f t="shared" si="162"/>
        <v>46079.624664351853</v>
      </c>
      <c r="N2072" s="12"/>
    </row>
    <row r="2073" spans="1:14" x14ac:dyDescent="0.25">
      <c r="A2073" s="4" t="s">
        <v>2103</v>
      </c>
      <c r="B2073" s="16" t="str">
        <f t="shared" si="158"/>
        <v>M/s SHREE VISHNU MINERALS</v>
      </c>
      <c r="C2073" s="16" t="str">
        <f t="shared" si="159"/>
        <v>Mokha Charnan / Kolayat / Bikaner</v>
      </c>
      <c r="D2073" s="4" t="s">
        <v>3032</v>
      </c>
      <c r="E2073" s="4" t="s">
        <v>3119</v>
      </c>
      <c r="F2073" s="5">
        <v>46078.999664351853</v>
      </c>
      <c r="G2073" s="16" t="str">
        <f t="shared" si="160"/>
        <v>Silica Sand</v>
      </c>
      <c r="H2073" s="4" t="s">
        <v>2582</v>
      </c>
      <c r="I2073" s="18" t="str" cm="1">
        <f t="array" ref="I2073">_xlfn.LET(_xlpm.text, D2073,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3" s="18" t="str" cm="1">
        <f t="array" ref="J2073">_xlfn.LET(_xlpm.text, E2073,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3" s="14">
        <f t="shared" si="161"/>
        <v>46079</v>
      </c>
      <c r="L2073" s="14">
        <f t="shared" si="162"/>
        <v>46079.624664351853</v>
      </c>
      <c r="N2073" s="12"/>
    </row>
    <row r="2074" spans="1:14" x14ac:dyDescent="0.25">
      <c r="A2074" s="4" t="s">
        <v>2104</v>
      </c>
      <c r="B2074" s="16" t="str">
        <f t="shared" si="158"/>
        <v>M/s SHREE VISHNU MINERALS</v>
      </c>
      <c r="C2074" s="16" t="str">
        <f t="shared" si="159"/>
        <v>Mokha Charnan / Kolayat / Bikaner</v>
      </c>
      <c r="D2074" s="4" t="s">
        <v>3032</v>
      </c>
      <c r="E2074" s="4" t="s">
        <v>3119</v>
      </c>
      <c r="F2074" s="5">
        <v>46078.999664351853</v>
      </c>
      <c r="G2074" s="16" t="str">
        <f t="shared" si="160"/>
        <v>Silica Sand</v>
      </c>
      <c r="H2074" s="4" t="s">
        <v>2895</v>
      </c>
      <c r="I2074" s="18" t="str" cm="1">
        <f t="array" ref="I2074">_xlfn.LET(_xlpm.text, D2074,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4" s="18" t="str" cm="1">
        <f t="array" ref="J2074">_xlfn.LET(_xlpm.text, E2074,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4" s="14">
        <f t="shared" si="161"/>
        <v>46079</v>
      </c>
      <c r="L2074" s="14">
        <f t="shared" si="162"/>
        <v>46079.624664351853</v>
      </c>
      <c r="N2074" s="12"/>
    </row>
    <row r="2075" spans="1:14" x14ac:dyDescent="0.25">
      <c r="A2075" s="4" t="s">
        <v>2105</v>
      </c>
      <c r="B2075" s="16" t="str">
        <f t="shared" si="158"/>
        <v>M/s SHREE VISHNU MINERALS</v>
      </c>
      <c r="C2075" s="16" t="str">
        <f t="shared" si="159"/>
        <v>Mokha Charnan / Kolayat / Bikaner</v>
      </c>
      <c r="D2075" s="4" t="s">
        <v>3032</v>
      </c>
      <c r="E2075" s="4" t="s">
        <v>3119</v>
      </c>
      <c r="F2075" s="5">
        <v>46073.999664351853</v>
      </c>
      <c r="G2075" s="16" t="str">
        <f t="shared" si="160"/>
        <v>Silica Sand</v>
      </c>
      <c r="H2075" s="4" t="s">
        <v>2688</v>
      </c>
      <c r="I2075" s="18" t="str" cm="1">
        <f t="array" ref="I2075">_xlfn.LET(_xlpm.text, D2075,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5" s="18" t="str" cm="1">
        <f t="array" ref="J2075">_xlfn.LET(_xlpm.text, E2075,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5" s="14">
        <f t="shared" si="161"/>
        <v>46074</v>
      </c>
      <c r="L2075" s="14">
        <f t="shared" si="162"/>
        <v>46074.624664351853</v>
      </c>
      <c r="N2075" s="12"/>
    </row>
    <row r="2076" spans="1:14" x14ac:dyDescent="0.25">
      <c r="A2076" s="4" t="s">
        <v>2106</v>
      </c>
      <c r="B2076" s="16" t="str">
        <f t="shared" si="158"/>
        <v>M/s SHREE VISHNU MINERALS</v>
      </c>
      <c r="C2076" s="16" t="str">
        <f t="shared" si="159"/>
        <v>Mokha Charnan / Kolayat / Bikaner</v>
      </c>
      <c r="D2076" s="4" t="s">
        <v>3032</v>
      </c>
      <c r="E2076" s="4" t="s">
        <v>3119</v>
      </c>
      <c r="F2076" s="5">
        <v>46073.999664351853</v>
      </c>
      <c r="G2076" s="16" t="str">
        <f t="shared" si="160"/>
        <v>Silica Sand</v>
      </c>
      <c r="H2076" s="4" t="s">
        <v>2882</v>
      </c>
      <c r="I2076" s="18" t="str" cm="1">
        <f t="array" ref="I2076">_xlfn.LET(_xlpm.text, D2076,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6" s="18" t="str" cm="1">
        <f t="array" ref="J2076">_xlfn.LET(_xlpm.text, E2076,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6" s="14">
        <f t="shared" si="161"/>
        <v>46074</v>
      </c>
      <c r="L2076" s="14">
        <f t="shared" si="162"/>
        <v>46074.624664351853</v>
      </c>
      <c r="N2076" s="12"/>
    </row>
    <row r="2077" spans="1:14" x14ac:dyDescent="0.25">
      <c r="A2077" s="4" t="s">
        <v>2107</v>
      </c>
      <c r="B2077" s="16" t="str">
        <f t="shared" si="158"/>
        <v>M/s SHREE VISHNU MINERALS</v>
      </c>
      <c r="C2077" s="16" t="str">
        <f t="shared" si="159"/>
        <v>Mokha Charnan / Kolayat / Bikaner</v>
      </c>
      <c r="D2077" s="4" t="s">
        <v>3032</v>
      </c>
      <c r="E2077" s="4" t="s">
        <v>3119</v>
      </c>
      <c r="F2077" s="5">
        <v>46073.999664351853</v>
      </c>
      <c r="G2077" s="16" t="str">
        <f t="shared" si="160"/>
        <v>Silica Sand</v>
      </c>
      <c r="H2077" s="4" t="s">
        <v>2582</v>
      </c>
      <c r="I2077" s="18" t="str" cm="1">
        <f t="array" ref="I2077">_xlfn.LET(_xlpm.text, D2077,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7" s="18" t="str" cm="1">
        <f t="array" ref="J2077">_xlfn.LET(_xlpm.text, E2077,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7" s="14">
        <f t="shared" si="161"/>
        <v>46074</v>
      </c>
      <c r="L2077" s="14">
        <f t="shared" si="162"/>
        <v>46074.624664351853</v>
      </c>
      <c r="N2077" s="12"/>
    </row>
    <row r="2078" spans="1:14" x14ac:dyDescent="0.25">
      <c r="A2078" s="4" t="s">
        <v>2108</v>
      </c>
      <c r="B2078" s="16" t="str">
        <f t="shared" si="158"/>
        <v>M/s SHREE VISHNU MINERALS</v>
      </c>
      <c r="C2078" s="16" t="str">
        <f t="shared" si="159"/>
        <v>Mokha Charnan / Kolayat / Bikaner</v>
      </c>
      <c r="D2078" s="4" t="s">
        <v>3032</v>
      </c>
      <c r="E2078" s="4" t="s">
        <v>3119</v>
      </c>
      <c r="F2078" s="5">
        <v>46074.999664351853</v>
      </c>
      <c r="G2078" s="16" t="str">
        <f t="shared" si="160"/>
        <v>Silica Sand</v>
      </c>
      <c r="H2078" s="4" t="s">
        <v>3004</v>
      </c>
      <c r="I2078" s="18" t="str" cm="1">
        <f t="array" ref="I2078">_xlfn.LET(_xlpm.text, D2078,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8" s="18" t="str" cm="1">
        <f t="array" ref="J2078">_xlfn.LET(_xlpm.text, E2078,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8" s="14">
        <f t="shared" si="161"/>
        <v>46075</v>
      </c>
      <c r="L2078" s="14">
        <f t="shared" si="162"/>
        <v>46075.624664351853</v>
      </c>
      <c r="N2078" s="12"/>
    </row>
    <row r="2079" spans="1:14" x14ac:dyDescent="0.25">
      <c r="A2079" s="4" t="s">
        <v>2109</v>
      </c>
      <c r="B2079" s="16" t="str">
        <f t="shared" si="158"/>
        <v>M/s SHREE VISHNU MINERALS</v>
      </c>
      <c r="C2079" s="16" t="str">
        <f t="shared" si="159"/>
        <v>Mokha Charnan / Kolayat / Bikaner</v>
      </c>
      <c r="D2079" s="4" t="s">
        <v>3032</v>
      </c>
      <c r="E2079" s="4" t="s">
        <v>3119</v>
      </c>
      <c r="F2079" s="5">
        <v>46073.999664351853</v>
      </c>
      <c r="G2079" s="16" t="str">
        <f t="shared" si="160"/>
        <v>Silica Sand</v>
      </c>
      <c r="H2079" s="4" t="s">
        <v>2895</v>
      </c>
      <c r="I2079" s="18" t="str" cm="1">
        <f t="array" ref="I2079">_xlfn.LET(_xlpm.text, D2079,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79" s="18" t="str" cm="1">
        <f t="array" ref="J2079">_xlfn.LET(_xlpm.text, E2079,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79" s="14">
        <f t="shared" si="161"/>
        <v>46074</v>
      </c>
      <c r="L2079" s="14">
        <f t="shared" si="162"/>
        <v>46074.624664351853</v>
      </c>
      <c r="N2079" s="12"/>
    </row>
    <row r="2080" spans="1:14" x14ac:dyDescent="0.25">
      <c r="A2080" s="4" t="s">
        <v>2110</v>
      </c>
      <c r="B2080" s="16" t="str">
        <f t="shared" si="158"/>
        <v>M/s SHREE VISHNU MINERALS</v>
      </c>
      <c r="C2080" s="16" t="str">
        <f t="shared" si="159"/>
        <v>Mokha Charnan / Kolayat / Bikaner</v>
      </c>
      <c r="D2080" s="4" t="s">
        <v>3032</v>
      </c>
      <c r="E2080" s="4" t="s">
        <v>3119</v>
      </c>
      <c r="F2080" s="5">
        <v>46073.999664351853</v>
      </c>
      <c r="G2080" s="16" t="str">
        <f t="shared" si="160"/>
        <v>Silica Sand</v>
      </c>
      <c r="H2080" s="4" t="s">
        <v>344</v>
      </c>
      <c r="I2080" s="18" t="str" cm="1">
        <f t="array" ref="I2080">_xlfn.LET(_xlpm.text, D2080,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0" s="18" t="str" cm="1">
        <f t="array" ref="J2080">_xlfn.LET(_xlpm.text, E2080,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0" s="14">
        <f t="shared" si="161"/>
        <v>46074</v>
      </c>
      <c r="L2080" s="14">
        <f t="shared" si="162"/>
        <v>46074.624664351853</v>
      </c>
      <c r="N2080" s="12"/>
    </row>
    <row r="2081" spans="1:14" x14ac:dyDescent="0.25">
      <c r="A2081" s="4" t="s">
        <v>2111</v>
      </c>
      <c r="B2081" s="16" t="str">
        <f t="shared" si="158"/>
        <v>M/s SHREE VISHNU MINERALS</v>
      </c>
      <c r="C2081" s="16" t="str">
        <f t="shared" si="159"/>
        <v>Mokha Charnan / Kolayat / Bikaner</v>
      </c>
      <c r="D2081" s="4" t="s">
        <v>3032</v>
      </c>
      <c r="E2081" s="4" t="s">
        <v>3119</v>
      </c>
      <c r="F2081" s="5">
        <v>46077.999664351853</v>
      </c>
      <c r="G2081" s="16" t="str">
        <f t="shared" si="160"/>
        <v>Silica Sand</v>
      </c>
      <c r="H2081" s="4" t="s">
        <v>412</v>
      </c>
      <c r="I2081" s="18" t="str" cm="1">
        <f t="array" ref="I2081">_xlfn.LET(_xlpm.text, D2081,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1" s="18" t="str" cm="1">
        <f t="array" ref="J2081">_xlfn.LET(_xlpm.text, E2081,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1" s="14">
        <f t="shared" si="161"/>
        <v>46078</v>
      </c>
      <c r="L2081" s="14">
        <f t="shared" si="162"/>
        <v>46078.624664351853</v>
      </c>
      <c r="N2081" s="12"/>
    </row>
    <row r="2082" spans="1:14" x14ac:dyDescent="0.25">
      <c r="A2082" s="4" t="s">
        <v>2112</v>
      </c>
      <c r="B2082" s="16" t="str">
        <f t="shared" si="158"/>
        <v>M/s SHREE VISHNU MINERALS</v>
      </c>
      <c r="C2082" s="16" t="str">
        <f t="shared" si="159"/>
        <v>Mokha Charnan / Kolayat / Bikaner</v>
      </c>
      <c r="D2082" s="4" t="s">
        <v>3032</v>
      </c>
      <c r="E2082" s="4" t="s">
        <v>3119</v>
      </c>
      <c r="F2082" s="5">
        <v>46075.999664351853</v>
      </c>
      <c r="G2082" s="16" t="str">
        <f t="shared" si="160"/>
        <v>Silica Sand</v>
      </c>
      <c r="H2082" s="4" t="s">
        <v>2926</v>
      </c>
      <c r="I2082" s="18" t="str" cm="1">
        <f t="array" ref="I2082">_xlfn.LET(_xlpm.text, D2082,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2" s="18" t="str" cm="1">
        <f t="array" ref="J2082">_xlfn.LET(_xlpm.text, E2082,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2" s="14">
        <f t="shared" si="161"/>
        <v>46076</v>
      </c>
      <c r="L2082" s="14">
        <f t="shared" si="162"/>
        <v>46076.624664351853</v>
      </c>
      <c r="N2082" s="12"/>
    </row>
    <row r="2083" spans="1:14" x14ac:dyDescent="0.25">
      <c r="A2083" s="4" t="s">
        <v>2113</v>
      </c>
      <c r="B2083" s="16" t="str">
        <f t="shared" si="158"/>
        <v>M/s SHREE VISHNU MINERALS</v>
      </c>
      <c r="C2083" s="16" t="str">
        <f t="shared" si="159"/>
        <v>Mokha Charnan / Kolayat / Bikaner</v>
      </c>
      <c r="D2083" s="4" t="s">
        <v>3032</v>
      </c>
      <c r="E2083" s="4" t="s">
        <v>3119</v>
      </c>
      <c r="F2083" s="5">
        <v>46075.999664351853</v>
      </c>
      <c r="G2083" s="16" t="str">
        <f t="shared" si="160"/>
        <v>Silica Sand</v>
      </c>
      <c r="H2083" s="4" t="s">
        <v>2315</v>
      </c>
      <c r="I2083" s="18" t="str" cm="1">
        <f t="array" ref="I2083">_xlfn.LET(_xlpm.text, D2083,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3" s="18" t="str" cm="1">
        <f t="array" ref="J2083">_xlfn.LET(_xlpm.text, E2083,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3" s="14">
        <f t="shared" si="161"/>
        <v>46076</v>
      </c>
      <c r="L2083" s="14">
        <f t="shared" si="162"/>
        <v>46076.624664351853</v>
      </c>
      <c r="N2083" s="12"/>
    </row>
    <row r="2084" spans="1:14" x14ac:dyDescent="0.25">
      <c r="A2084" s="4" t="s">
        <v>2114</v>
      </c>
      <c r="B2084" s="16" t="str">
        <f t="shared" si="158"/>
        <v>M/s SHREE VISHNU MINERALS</v>
      </c>
      <c r="C2084" s="16" t="str">
        <f t="shared" si="159"/>
        <v>Mokha Charnan / Kolayat / Bikaner</v>
      </c>
      <c r="D2084" s="4" t="s">
        <v>3032</v>
      </c>
      <c r="E2084" s="4" t="s">
        <v>3119</v>
      </c>
      <c r="F2084" s="5">
        <v>46074.999664351853</v>
      </c>
      <c r="G2084" s="16" t="str">
        <f t="shared" si="160"/>
        <v>Silica Sand</v>
      </c>
      <c r="H2084" s="4" t="s">
        <v>2882</v>
      </c>
      <c r="I2084" s="18" t="str" cm="1">
        <f t="array" ref="I2084">_xlfn.LET(_xlpm.text, D2084,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4" s="18" t="str" cm="1">
        <f t="array" ref="J2084">_xlfn.LET(_xlpm.text, E2084,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4" s="14">
        <f t="shared" si="161"/>
        <v>46075</v>
      </c>
      <c r="L2084" s="14">
        <f t="shared" si="162"/>
        <v>46075.624664351853</v>
      </c>
      <c r="N2084" s="12"/>
    </row>
    <row r="2085" spans="1:14" x14ac:dyDescent="0.25">
      <c r="A2085" s="4" t="s">
        <v>2115</v>
      </c>
      <c r="B2085" s="16" t="str">
        <f t="shared" si="158"/>
        <v>M/s SHREE VISHNU MINERALS</v>
      </c>
      <c r="C2085" s="16" t="str">
        <f t="shared" si="159"/>
        <v>Mokha Charnan / Kolayat / Bikaner</v>
      </c>
      <c r="D2085" s="4" t="s">
        <v>3032</v>
      </c>
      <c r="E2085" s="4" t="s">
        <v>3119</v>
      </c>
      <c r="F2085" s="5">
        <v>46074.999664351853</v>
      </c>
      <c r="G2085" s="16" t="str">
        <f t="shared" si="160"/>
        <v>Silica Sand</v>
      </c>
      <c r="H2085" s="4" t="s">
        <v>3004</v>
      </c>
      <c r="I2085" s="18" t="str" cm="1">
        <f t="array" ref="I2085">_xlfn.LET(_xlpm.text, D2085,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5" s="18" t="str" cm="1">
        <f t="array" ref="J2085">_xlfn.LET(_xlpm.text, E2085,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5" s="14">
        <f t="shared" si="161"/>
        <v>46075</v>
      </c>
      <c r="L2085" s="14">
        <f t="shared" si="162"/>
        <v>46075.624664351853</v>
      </c>
      <c r="N2085" s="12"/>
    </row>
    <row r="2086" spans="1:14" x14ac:dyDescent="0.25">
      <c r="A2086" s="4" t="s">
        <v>2116</v>
      </c>
      <c r="B2086" s="16" t="str">
        <f t="shared" si="158"/>
        <v>M/s SHREE VISHNU MINERALS</v>
      </c>
      <c r="C2086" s="16" t="str">
        <f t="shared" si="159"/>
        <v>Mokha Charnan / Kolayat / Bikaner</v>
      </c>
      <c r="D2086" s="4" t="s">
        <v>3032</v>
      </c>
      <c r="E2086" s="4" t="s">
        <v>3119</v>
      </c>
      <c r="F2086" s="5">
        <v>46075.999664351853</v>
      </c>
      <c r="G2086" s="16" t="str">
        <f t="shared" si="160"/>
        <v>Silica Sand</v>
      </c>
      <c r="H2086" s="4" t="s">
        <v>2399</v>
      </c>
      <c r="I2086" s="18" t="str" cm="1">
        <f t="array" ref="I2086">_xlfn.LET(_xlpm.text, D2086,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6" s="18" t="str" cm="1">
        <f t="array" ref="J2086">_xlfn.LET(_xlpm.text, E2086,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6" s="14">
        <f t="shared" si="161"/>
        <v>46076</v>
      </c>
      <c r="L2086" s="14">
        <f t="shared" si="162"/>
        <v>46076.624664351853</v>
      </c>
      <c r="N2086" s="12"/>
    </row>
    <row r="2087" spans="1:14" x14ac:dyDescent="0.25">
      <c r="A2087" s="4" t="s">
        <v>2117</v>
      </c>
      <c r="B2087" s="16" t="str">
        <f t="shared" si="158"/>
        <v>M/s SHREE VISHNU MINERALS</v>
      </c>
      <c r="C2087" s="16" t="str">
        <f t="shared" si="159"/>
        <v>Mokha Charnan / Kolayat / Bikaner</v>
      </c>
      <c r="D2087" s="4" t="s">
        <v>3032</v>
      </c>
      <c r="E2087" s="4" t="s">
        <v>3119</v>
      </c>
      <c r="F2087" s="5">
        <v>46076.999664351853</v>
      </c>
      <c r="G2087" s="16" t="str">
        <f t="shared" si="160"/>
        <v>Silica Sand</v>
      </c>
      <c r="H2087" s="4" t="s">
        <v>2582</v>
      </c>
      <c r="I2087" s="18" t="str" cm="1">
        <f t="array" ref="I2087">_xlfn.LET(_xlpm.text, D2087,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7" s="18" t="str" cm="1">
        <f t="array" ref="J2087">_xlfn.LET(_xlpm.text, E2087,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7" s="14">
        <f t="shared" si="161"/>
        <v>46077</v>
      </c>
      <c r="L2087" s="14">
        <f t="shared" si="162"/>
        <v>46077.624664351853</v>
      </c>
      <c r="N2087" s="12"/>
    </row>
    <row r="2088" spans="1:14" x14ac:dyDescent="0.25">
      <c r="A2088" s="4" t="s">
        <v>2118</v>
      </c>
      <c r="B2088" s="16" t="str">
        <f t="shared" si="158"/>
        <v>M/s SHREE VISHNU MINERALS</v>
      </c>
      <c r="C2088" s="16" t="str">
        <f t="shared" si="159"/>
        <v>Mokha Charnan / Kolayat / Bikaner</v>
      </c>
      <c r="D2088" s="4" t="s">
        <v>3032</v>
      </c>
      <c r="E2088" s="4" t="s">
        <v>3119</v>
      </c>
      <c r="F2088" s="5">
        <v>46076.999664351853</v>
      </c>
      <c r="G2088" s="16" t="str">
        <f t="shared" si="160"/>
        <v>Silica Sand</v>
      </c>
      <c r="H2088" s="4" t="s">
        <v>2315</v>
      </c>
      <c r="I2088" s="18" t="str" cm="1">
        <f t="array" ref="I2088">_xlfn.LET(_xlpm.text, D2088,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8" s="18" t="str" cm="1">
        <f t="array" ref="J2088">_xlfn.LET(_xlpm.text, E2088,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8" s="14">
        <f t="shared" si="161"/>
        <v>46077</v>
      </c>
      <c r="L2088" s="14">
        <f t="shared" si="162"/>
        <v>46077.624664351853</v>
      </c>
      <c r="N2088" s="12"/>
    </row>
    <row r="2089" spans="1:14" x14ac:dyDescent="0.25">
      <c r="A2089" s="4" t="s">
        <v>2119</v>
      </c>
      <c r="B2089" s="16" t="str">
        <f t="shared" si="158"/>
        <v>M/s SHREE VISHNU MINERALS</v>
      </c>
      <c r="C2089" s="16" t="str">
        <f t="shared" si="159"/>
        <v>Mokha Charnan / Kolayat / Bikaner</v>
      </c>
      <c r="D2089" s="4" t="s">
        <v>3032</v>
      </c>
      <c r="E2089" s="4" t="s">
        <v>3119</v>
      </c>
      <c r="F2089" s="5">
        <v>46073.999664351853</v>
      </c>
      <c r="G2089" s="16" t="str">
        <f t="shared" si="160"/>
        <v>Silica Sand</v>
      </c>
      <c r="H2089" s="4" t="s">
        <v>2315</v>
      </c>
      <c r="I2089" s="18" t="str" cm="1">
        <f t="array" ref="I2089">_xlfn.LET(_xlpm.text, D2089,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89" s="18" t="str" cm="1">
        <f t="array" ref="J2089">_xlfn.LET(_xlpm.text, E2089,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89" s="14">
        <f t="shared" si="161"/>
        <v>46074</v>
      </c>
      <c r="L2089" s="14">
        <f t="shared" si="162"/>
        <v>46074.624664351853</v>
      </c>
      <c r="N2089" s="12"/>
    </row>
    <row r="2090" spans="1:14" x14ac:dyDescent="0.25">
      <c r="A2090" s="4" t="s">
        <v>2120</v>
      </c>
      <c r="B2090" s="16" t="str">
        <f t="shared" si="158"/>
        <v>M/s SHREE VISHNU MINERALS</v>
      </c>
      <c r="C2090" s="16" t="str">
        <f t="shared" si="159"/>
        <v>Mokha Charnan / Kolayat / Bikaner</v>
      </c>
      <c r="D2090" s="4" t="s">
        <v>3032</v>
      </c>
      <c r="E2090" s="4" t="s">
        <v>3119</v>
      </c>
      <c r="F2090" s="5">
        <v>46075.999664351853</v>
      </c>
      <c r="G2090" s="16" t="str">
        <f t="shared" si="160"/>
        <v>Silica Sand</v>
      </c>
      <c r="H2090" s="4" t="s">
        <v>2315</v>
      </c>
      <c r="I2090" s="18" t="str" cm="1">
        <f t="array" ref="I2090">_xlfn.LET(_xlpm.text, D2090,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0" s="18" t="str" cm="1">
        <f t="array" ref="J2090">_xlfn.LET(_xlpm.text, E2090,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0" s="14">
        <f t="shared" si="161"/>
        <v>46076</v>
      </c>
      <c r="L2090" s="14">
        <f t="shared" si="162"/>
        <v>46076.624664351853</v>
      </c>
      <c r="N2090" s="12"/>
    </row>
    <row r="2091" spans="1:14" x14ac:dyDescent="0.25">
      <c r="A2091" s="4" t="s">
        <v>2121</v>
      </c>
      <c r="B2091" s="16" t="str">
        <f t="shared" si="158"/>
        <v>M/s SHREE VISHNU MINERALS</v>
      </c>
      <c r="C2091" s="16" t="str">
        <f t="shared" si="159"/>
        <v>Mokha Charnan / Kolayat / Bikaner</v>
      </c>
      <c r="D2091" s="4" t="s">
        <v>3032</v>
      </c>
      <c r="E2091" s="4" t="s">
        <v>3119</v>
      </c>
      <c r="F2091" s="5">
        <v>46075.999664351853</v>
      </c>
      <c r="G2091" s="16" t="str">
        <f t="shared" si="160"/>
        <v>Silica Sand</v>
      </c>
      <c r="H2091" s="4" t="s">
        <v>2611</v>
      </c>
      <c r="I2091" s="18" t="str" cm="1">
        <f t="array" ref="I2091">_xlfn.LET(_xlpm.text, D2091,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1" s="18" t="str" cm="1">
        <f t="array" ref="J2091">_xlfn.LET(_xlpm.text, E2091,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1" s="14">
        <f t="shared" si="161"/>
        <v>46076</v>
      </c>
      <c r="L2091" s="14">
        <f t="shared" si="162"/>
        <v>46076.624664351853</v>
      </c>
      <c r="N2091" s="12"/>
    </row>
    <row r="2092" spans="1:14" x14ac:dyDescent="0.25">
      <c r="A2092" s="4" t="s">
        <v>2122</v>
      </c>
      <c r="B2092" s="16" t="str">
        <f t="shared" si="158"/>
        <v>M/s SHREE VISHNU MINERALS</v>
      </c>
      <c r="C2092" s="16" t="str">
        <f t="shared" si="159"/>
        <v>Mokha Charnan / Kolayat / Bikaner</v>
      </c>
      <c r="D2092" s="4" t="s">
        <v>3032</v>
      </c>
      <c r="E2092" s="4" t="s">
        <v>3119</v>
      </c>
      <c r="F2092" s="5">
        <v>46075.999664351853</v>
      </c>
      <c r="G2092" s="16" t="str">
        <f t="shared" si="160"/>
        <v>Silica Sand</v>
      </c>
      <c r="H2092" s="4" t="s">
        <v>2611</v>
      </c>
      <c r="I2092" s="18" t="str" cm="1">
        <f t="array" ref="I2092">_xlfn.LET(_xlpm.text, D2092,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2" s="18" t="str" cm="1">
        <f t="array" ref="J2092">_xlfn.LET(_xlpm.text, E2092,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2" s="14">
        <f t="shared" si="161"/>
        <v>46076</v>
      </c>
      <c r="L2092" s="14">
        <f t="shared" si="162"/>
        <v>46076.624664351853</v>
      </c>
      <c r="N2092" s="12"/>
    </row>
    <row r="2093" spans="1:14" x14ac:dyDescent="0.25">
      <c r="A2093" s="4" t="s">
        <v>2123</v>
      </c>
      <c r="B2093" s="16" t="str">
        <f t="shared" si="158"/>
        <v>M/s SHREE VISHNU MINERALS</v>
      </c>
      <c r="C2093" s="16" t="str">
        <f t="shared" si="159"/>
        <v>Mokha Charnan / Kolayat / Bikaner</v>
      </c>
      <c r="D2093" s="4" t="s">
        <v>3032</v>
      </c>
      <c r="E2093" s="4" t="s">
        <v>3119</v>
      </c>
      <c r="F2093" s="5">
        <v>46075.999664351853</v>
      </c>
      <c r="G2093" s="16" t="str">
        <f t="shared" si="160"/>
        <v>Silica Sand</v>
      </c>
      <c r="H2093" s="4" t="s">
        <v>344</v>
      </c>
      <c r="I2093" s="18" t="str" cm="1">
        <f t="array" ref="I2093">_xlfn.LET(_xlpm.text, D2093,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3" s="18" t="str" cm="1">
        <f t="array" ref="J2093">_xlfn.LET(_xlpm.text, E2093,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3" s="14">
        <f t="shared" si="161"/>
        <v>46076</v>
      </c>
      <c r="L2093" s="14">
        <f t="shared" si="162"/>
        <v>46076.624664351853</v>
      </c>
      <c r="N2093" s="12"/>
    </row>
    <row r="2094" spans="1:14" x14ac:dyDescent="0.25">
      <c r="A2094" s="4" t="s">
        <v>2124</v>
      </c>
      <c r="B2094" s="16" t="str">
        <f t="shared" si="158"/>
        <v>M/s SHREE VISHNU MINERALS</v>
      </c>
      <c r="C2094" s="16" t="str">
        <f t="shared" si="159"/>
        <v>Mokha Charnan / Kolayat / Bikaner</v>
      </c>
      <c r="D2094" s="4" t="s">
        <v>3032</v>
      </c>
      <c r="E2094" s="4" t="s">
        <v>3119</v>
      </c>
      <c r="F2094" s="5">
        <v>46076.999664351853</v>
      </c>
      <c r="G2094" s="16" t="str">
        <f t="shared" si="160"/>
        <v>Silica Sand</v>
      </c>
      <c r="H2094" s="4" t="s">
        <v>2895</v>
      </c>
      <c r="I2094" s="18" t="str" cm="1">
        <f t="array" ref="I2094">_xlfn.LET(_xlpm.text, D2094,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4" s="18" t="str" cm="1">
        <f t="array" ref="J2094">_xlfn.LET(_xlpm.text, E2094,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4" s="14">
        <f t="shared" si="161"/>
        <v>46077</v>
      </c>
      <c r="L2094" s="14">
        <f t="shared" si="162"/>
        <v>46077.624664351853</v>
      </c>
      <c r="N2094" s="12"/>
    </row>
    <row r="2095" spans="1:14" x14ac:dyDescent="0.25">
      <c r="A2095" s="4" t="s">
        <v>2125</v>
      </c>
      <c r="B2095" s="16" t="str">
        <f t="shared" si="158"/>
        <v>M/s SHREE VISHNU MINERALS</v>
      </c>
      <c r="C2095" s="16" t="str">
        <f t="shared" si="159"/>
        <v>Mokha Charnan / Kolayat / Bikaner</v>
      </c>
      <c r="D2095" s="4" t="s">
        <v>3032</v>
      </c>
      <c r="E2095" s="4" t="s">
        <v>3119</v>
      </c>
      <c r="F2095" s="5">
        <v>46076.999664351853</v>
      </c>
      <c r="G2095" s="16" t="str">
        <f t="shared" si="160"/>
        <v>Silica Sand</v>
      </c>
      <c r="H2095" s="4" t="s">
        <v>2399</v>
      </c>
      <c r="I2095" s="18" t="str" cm="1">
        <f t="array" ref="I2095">_xlfn.LET(_xlpm.text, D2095,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5" s="18" t="str" cm="1">
        <f t="array" ref="J2095">_xlfn.LET(_xlpm.text, E2095,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5" s="14">
        <f t="shared" si="161"/>
        <v>46077</v>
      </c>
      <c r="L2095" s="14">
        <f t="shared" si="162"/>
        <v>46077.624664351853</v>
      </c>
      <c r="N2095" s="12"/>
    </row>
    <row r="2096" spans="1:14" x14ac:dyDescent="0.25">
      <c r="A2096" s="4" t="s">
        <v>2126</v>
      </c>
      <c r="B2096" s="16" t="str">
        <f t="shared" si="158"/>
        <v>M/s SHREE VISHNU MINERALS</v>
      </c>
      <c r="C2096" s="16" t="str">
        <f t="shared" si="159"/>
        <v>Mokha Charnan / Kolayat / Bikaner</v>
      </c>
      <c r="D2096" s="4" t="s">
        <v>3032</v>
      </c>
      <c r="E2096" s="4" t="s">
        <v>3119</v>
      </c>
      <c r="F2096" s="5">
        <v>46077.999664351853</v>
      </c>
      <c r="G2096" s="16" t="str">
        <f t="shared" si="160"/>
        <v>Silica Sand</v>
      </c>
      <c r="H2096" s="4" t="s">
        <v>2926</v>
      </c>
      <c r="I2096" s="18" t="str" cm="1">
        <f t="array" ref="I2096">_xlfn.LET(_xlpm.text, D2096,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6" s="18" t="str" cm="1">
        <f t="array" ref="J2096">_xlfn.LET(_xlpm.text, E2096,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6" s="14">
        <f t="shared" si="161"/>
        <v>46078</v>
      </c>
      <c r="L2096" s="14">
        <f t="shared" si="162"/>
        <v>46078.624664351853</v>
      </c>
      <c r="N2096" s="12"/>
    </row>
    <row r="2097" spans="1:14" x14ac:dyDescent="0.25">
      <c r="A2097" s="4" t="s">
        <v>2127</v>
      </c>
      <c r="B2097" s="16" t="str">
        <f t="shared" si="158"/>
        <v>M/s SHREE VISHNU MINERALS</v>
      </c>
      <c r="C2097" s="16" t="str">
        <f t="shared" si="159"/>
        <v>Mokha Charnan / Kolayat / Bikaner</v>
      </c>
      <c r="D2097" s="4" t="s">
        <v>3032</v>
      </c>
      <c r="E2097" s="4" t="s">
        <v>3119</v>
      </c>
      <c r="F2097" s="5">
        <v>46077.999664351853</v>
      </c>
      <c r="G2097" s="16" t="str">
        <f t="shared" si="160"/>
        <v>Silica Sand</v>
      </c>
      <c r="H2097" s="4" t="s">
        <v>2895</v>
      </c>
      <c r="I2097" s="18" t="str" cm="1">
        <f t="array" ref="I2097">_xlfn.LET(_xlpm.text, D2097,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7" s="18" t="str" cm="1">
        <f t="array" ref="J2097">_xlfn.LET(_xlpm.text, E2097,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7" s="14">
        <f t="shared" si="161"/>
        <v>46078</v>
      </c>
      <c r="L2097" s="14">
        <f t="shared" si="162"/>
        <v>46078.624664351853</v>
      </c>
      <c r="N2097" s="12"/>
    </row>
    <row r="2098" spans="1:14" x14ac:dyDescent="0.25">
      <c r="A2098" s="4" t="s">
        <v>2128</v>
      </c>
      <c r="B2098" s="16" t="str">
        <f t="shared" si="158"/>
        <v>M/s SHREE VISHNU MINERALS</v>
      </c>
      <c r="C2098" s="16" t="str">
        <f t="shared" si="159"/>
        <v>Mokha Charnan / Kolayat / Bikaner</v>
      </c>
      <c r="D2098" s="4" t="s">
        <v>3032</v>
      </c>
      <c r="E2098" s="4" t="s">
        <v>3119</v>
      </c>
      <c r="F2098" s="5">
        <v>46077.999664351853</v>
      </c>
      <c r="G2098" s="16" t="str">
        <f t="shared" si="160"/>
        <v>Silica Sand</v>
      </c>
      <c r="H2098" s="4" t="s">
        <v>2582</v>
      </c>
      <c r="I2098" s="18" t="str" cm="1">
        <f t="array" ref="I2098">_xlfn.LET(_xlpm.text, D2098,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8" s="18" t="str" cm="1">
        <f t="array" ref="J2098">_xlfn.LET(_xlpm.text, E2098,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8" s="14">
        <f t="shared" si="161"/>
        <v>46078</v>
      </c>
      <c r="L2098" s="14">
        <f t="shared" si="162"/>
        <v>46078.624664351853</v>
      </c>
      <c r="N2098" s="12"/>
    </row>
    <row r="2099" spans="1:14" x14ac:dyDescent="0.25">
      <c r="A2099" s="4" t="s">
        <v>2129</v>
      </c>
      <c r="B2099" s="16" t="str">
        <f t="shared" si="158"/>
        <v>M/s SHREE VISHNU MINERALS</v>
      </c>
      <c r="C2099" s="16" t="str">
        <f t="shared" si="159"/>
        <v>Mokha Charnan / Kolayat / Bikaner</v>
      </c>
      <c r="D2099" s="4" t="s">
        <v>3032</v>
      </c>
      <c r="E2099" s="4" t="s">
        <v>3119</v>
      </c>
      <c r="F2099" s="5">
        <v>46077.999664351853</v>
      </c>
      <c r="G2099" s="16" t="str">
        <f t="shared" si="160"/>
        <v>Silica Sand</v>
      </c>
      <c r="H2099" s="4" t="s">
        <v>2918</v>
      </c>
      <c r="I2099" s="18" t="str" cm="1">
        <f t="array" ref="I2099">_xlfn.LET(_xlpm.text, D2099,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099" s="18" t="str" cm="1">
        <f t="array" ref="J2099">_xlfn.LET(_xlpm.text, E2099,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099" s="14">
        <f t="shared" si="161"/>
        <v>46078</v>
      </c>
      <c r="L2099" s="14">
        <f t="shared" si="162"/>
        <v>46078.624664351853</v>
      </c>
      <c r="N2099" s="12"/>
    </row>
    <row r="2100" spans="1:14" x14ac:dyDescent="0.25">
      <c r="A2100" s="4" t="s">
        <v>2130</v>
      </c>
      <c r="B2100" s="16" t="str">
        <f t="shared" si="158"/>
        <v>M/s SHREE VISHNU MINERALS</v>
      </c>
      <c r="C2100" s="16" t="str">
        <f t="shared" si="159"/>
        <v>Mokha Charnan / Kolayat / Bikaner</v>
      </c>
      <c r="D2100" s="4" t="s">
        <v>3032</v>
      </c>
      <c r="E2100" s="4" t="s">
        <v>3119</v>
      </c>
      <c r="F2100" s="5">
        <v>46077.999664351853</v>
      </c>
      <c r="G2100" s="16" t="str">
        <f t="shared" si="160"/>
        <v>Silica Sand</v>
      </c>
      <c r="H2100" s="4" t="s">
        <v>2315</v>
      </c>
      <c r="I2100" s="18" t="str" cm="1">
        <f t="array" ref="I2100">_xlfn.LET(_xlpm.text, D2100,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0" s="18" t="str" cm="1">
        <f t="array" ref="J2100">_xlfn.LET(_xlpm.text, E2100,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0" s="14">
        <f t="shared" si="161"/>
        <v>46078</v>
      </c>
      <c r="L2100" s="14">
        <f t="shared" si="162"/>
        <v>46078.624664351853</v>
      </c>
      <c r="N2100" s="12"/>
    </row>
    <row r="2101" spans="1:14" x14ac:dyDescent="0.25">
      <c r="A2101" s="4" t="s">
        <v>2131</v>
      </c>
      <c r="B2101" s="16" t="str">
        <f t="shared" si="158"/>
        <v>M/s SHREE VISHNU MINERALS</v>
      </c>
      <c r="C2101" s="16" t="str">
        <f t="shared" si="159"/>
        <v>Mokha Charnan / Kolayat / Bikaner</v>
      </c>
      <c r="D2101" s="4" t="s">
        <v>3032</v>
      </c>
      <c r="E2101" s="4" t="s">
        <v>3119</v>
      </c>
      <c r="F2101" s="5">
        <v>46077.999664351853</v>
      </c>
      <c r="G2101" s="16" t="str">
        <f t="shared" si="160"/>
        <v>Silica Sand</v>
      </c>
      <c r="H2101" s="4" t="s">
        <v>3004</v>
      </c>
      <c r="I2101" s="18" t="str" cm="1">
        <f t="array" ref="I2101">_xlfn.LET(_xlpm.text, D2101,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1" s="18" t="str" cm="1">
        <f t="array" ref="J2101">_xlfn.LET(_xlpm.text, E2101,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1" s="14">
        <f t="shared" si="161"/>
        <v>46078</v>
      </c>
      <c r="L2101" s="14">
        <f t="shared" si="162"/>
        <v>46078.624664351853</v>
      </c>
      <c r="N2101" s="12"/>
    </row>
    <row r="2102" spans="1:14" x14ac:dyDescent="0.25">
      <c r="A2102" s="4" t="s">
        <v>2132</v>
      </c>
      <c r="B2102" s="16" t="str">
        <f t="shared" si="158"/>
        <v>M/s SHREE VISHNU MINERALS</v>
      </c>
      <c r="C2102" s="16" t="str">
        <f t="shared" si="159"/>
        <v>Mokha Charnan / Kolayat / Bikaner</v>
      </c>
      <c r="D2102" s="4" t="s">
        <v>3032</v>
      </c>
      <c r="E2102" s="4" t="s">
        <v>3119</v>
      </c>
      <c r="F2102" s="5">
        <v>46077.999664351853</v>
      </c>
      <c r="G2102" s="16" t="str">
        <f t="shared" si="160"/>
        <v>Silica Sand</v>
      </c>
      <c r="H2102" s="4" t="s">
        <v>2315</v>
      </c>
      <c r="I2102" s="18" t="str" cm="1">
        <f t="array" ref="I2102">_xlfn.LET(_xlpm.text, D2102,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2" s="18" t="str" cm="1">
        <f t="array" ref="J2102">_xlfn.LET(_xlpm.text, E2102,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2" s="14">
        <f t="shared" si="161"/>
        <v>46078</v>
      </c>
      <c r="L2102" s="14">
        <f t="shared" si="162"/>
        <v>46078.624664351853</v>
      </c>
      <c r="N2102" s="12"/>
    </row>
    <row r="2103" spans="1:14" x14ac:dyDescent="0.25">
      <c r="A2103" s="4" t="s">
        <v>2133</v>
      </c>
      <c r="B2103" s="16" t="str">
        <f t="shared" si="158"/>
        <v>M/s SHREE VISHNU MINERALS</v>
      </c>
      <c r="C2103" s="16" t="str">
        <f t="shared" si="159"/>
        <v>Mokha Charnan / Kolayat / Bikaner</v>
      </c>
      <c r="D2103" s="4" t="s">
        <v>3032</v>
      </c>
      <c r="E2103" s="4" t="s">
        <v>3119</v>
      </c>
      <c r="F2103" s="5">
        <v>46077.999664351853</v>
      </c>
      <c r="G2103" s="16" t="str">
        <f t="shared" si="160"/>
        <v>Silica Sand</v>
      </c>
      <c r="H2103" s="4" t="s">
        <v>2926</v>
      </c>
      <c r="I2103" s="18" t="str" cm="1">
        <f t="array" ref="I2103">_xlfn.LET(_xlpm.text, D2103,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3" s="18" t="str" cm="1">
        <f t="array" ref="J2103">_xlfn.LET(_xlpm.text, E2103,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3" s="14">
        <f t="shared" si="161"/>
        <v>46078</v>
      </c>
      <c r="L2103" s="14">
        <f t="shared" si="162"/>
        <v>46078.624664351853</v>
      </c>
      <c r="N2103" s="12"/>
    </row>
    <row r="2104" spans="1:14" x14ac:dyDescent="0.25">
      <c r="A2104" s="4" t="s">
        <v>2134</v>
      </c>
      <c r="B2104" s="16" t="str">
        <f t="shared" si="158"/>
        <v>M/s SHREE VISHNU MINERALS</v>
      </c>
      <c r="C2104" s="16" t="str">
        <f t="shared" si="159"/>
        <v>Mokha Charnan / Kolayat / Bikaner</v>
      </c>
      <c r="D2104" s="4" t="s">
        <v>3032</v>
      </c>
      <c r="E2104" s="4" t="s">
        <v>3119</v>
      </c>
      <c r="F2104" s="5">
        <v>46077.999664351853</v>
      </c>
      <c r="G2104" s="16" t="str">
        <f t="shared" si="160"/>
        <v>Silica Sand</v>
      </c>
      <c r="H2104" s="4" t="s">
        <v>2882</v>
      </c>
      <c r="I2104" s="18" t="str" cm="1">
        <f t="array" ref="I2104">_xlfn.LET(_xlpm.text, D2104,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4" s="18" t="str" cm="1">
        <f t="array" ref="J2104">_xlfn.LET(_xlpm.text, E2104,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4" s="14">
        <f t="shared" si="161"/>
        <v>46078</v>
      </c>
      <c r="L2104" s="14">
        <f t="shared" si="162"/>
        <v>46078.624664351853</v>
      </c>
      <c r="N2104" s="12"/>
    </row>
    <row r="2105" spans="1:14" x14ac:dyDescent="0.25">
      <c r="A2105" s="4" t="s">
        <v>2135</v>
      </c>
      <c r="B2105" s="16" t="str">
        <f t="shared" si="158"/>
        <v>M/s SHREE VISHNU MINERALS</v>
      </c>
      <c r="C2105" s="16" t="str">
        <f t="shared" si="159"/>
        <v>Mokha Charnan / Kolayat / Bikaner</v>
      </c>
      <c r="D2105" s="4" t="s">
        <v>3032</v>
      </c>
      <c r="E2105" s="4" t="s">
        <v>3119</v>
      </c>
      <c r="F2105" s="5">
        <v>46077.999664351853</v>
      </c>
      <c r="G2105" s="16" t="str">
        <f t="shared" si="160"/>
        <v>Silica Sand</v>
      </c>
      <c r="H2105" s="4" t="s">
        <v>2315</v>
      </c>
      <c r="I2105" s="18" t="str" cm="1">
        <f t="array" ref="I2105">_xlfn.LET(_xlpm.text, D2105,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5" s="18" t="str" cm="1">
        <f t="array" ref="J2105">_xlfn.LET(_xlpm.text, E2105,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5" s="14">
        <f t="shared" si="161"/>
        <v>46078</v>
      </c>
      <c r="L2105" s="14">
        <f t="shared" si="162"/>
        <v>46078.624664351853</v>
      </c>
      <c r="N2105" s="12"/>
    </row>
    <row r="2106" spans="1:14" x14ac:dyDescent="0.25">
      <c r="A2106" s="4" t="s">
        <v>2136</v>
      </c>
      <c r="B2106" s="16" t="str">
        <f t="shared" si="158"/>
        <v>M/s SHREE VISHNU MINERALS</v>
      </c>
      <c r="C2106" s="16" t="str">
        <f t="shared" si="159"/>
        <v>Mokha Charnan / Kolayat / Bikaner</v>
      </c>
      <c r="D2106" s="4" t="s">
        <v>3032</v>
      </c>
      <c r="E2106" s="4" t="s">
        <v>3119</v>
      </c>
      <c r="F2106" s="5">
        <v>46077.999664351853</v>
      </c>
      <c r="G2106" s="16" t="str">
        <f t="shared" si="160"/>
        <v>Silica Sand</v>
      </c>
      <c r="H2106" s="4" t="s">
        <v>2611</v>
      </c>
      <c r="I2106" s="18" t="str" cm="1">
        <f t="array" ref="I2106">_xlfn.LET(_xlpm.text, D2106,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6" s="18" t="str" cm="1">
        <f t="array" ref="J2106">_xlfn.LET(_xlpm.text, E2106,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6" s="14">
        <f t="shared" si="161"/>
        <v>46078</v>
      </c>
      <c r="L2106" s="14">
        <f t="shared" si="162"/>
        <v>46078.624664351853</v>
      </c>
      <c r="N2106" s="12"/>
    </row>
    <row r="2107" spans="1:14" x14ac:dyDescent="0.25">
      <c r="A2107" s="4" t="s">
        <v>2137</v>
      </c>
      <c r="B2107" s="16" t="str">
        <f t="shared" si="158"/>
        <v>M/s SHREE VISHNU MINERALS</v>
      </c>
      <c r="C2107" s="16" t="str">
        <f t="shared" si="159"/>
        <v>Mokha Charnan / Kolayat / Bikaner</v>
      </c>
      <c r="D2107" s="4" t="s">
        <v>3032</v>
      </c>
      <c r="E2107" s="4" t="s">
        <v>3119</v>
      </c>
      <c r="F2107" s="5">
        <v>46076.999664351853</v>
      </c>
      <c r="G2107" s="16" t="str">
        <f t="shared" si="160"/>
        <v>Silica Sand</v>
      </c>
      <c r="H2107" s="4" t="s">
        <v>3001</v>
      </c>
      <c r="I2107" s="18" t="str" cm="1">
        <f t="array" ref="I2107">_xlfn.LET(_xlpm.text, D2107,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7" s="18" t="str" cm="1">
        <f t="array" ref="J2107">_xlfn.LET(_xlpm.text, E2107,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7" s="14">
        <f t="shared" si="161"/>
        <v>46077</v>
      </c>
      <c r="L2107" s="14">
        <f t="shared" si="162"/>
        <v>46077.624664351853</v>
      </c>
      <c r="N2107" s="12"/>
    </row>
    <row r="2108" spans="1:14" x14ac:dyDescent="0.25">
      <c r="A2108" s="4" t="s">
        <v>2138</v>
      </c>
      <c r="B2108" s="16" t="str">
        <f t="shared" si="158"/>
        <v>M/s SHREE VISHNU MINERALS</v>
      </c>
      <c r="C2108" s="16" t="str">
        <f t="shared" si="159"/>
        <v>Mokha Charnan / Kolayat / Bikaner</v>
      </c>
      <c r="D2108" s="4" t="s">
        <v>3032</v>
      </c>
      <c r="E2108" s="4" t="s">
        <v>3119</v>
      </c>
      <c r="F2108" s="5">
        <v>46077.999664351853</v>
      </c>
      <c r="G2108" s="16" t="str">
        <f t="shared" si="160"/>
        <v>Silica Sand</v>
      </c>
      <c r="H2108" s="4" t="s">
        <v>2524</v>
      </c>
      <c r="I2108" s="18" t="str" cm="1">
        <f t="array" ref="I2108">_xlfn.LET(_xlpm.text, D2108,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8" s="18" t="str" cm="1">
        <f t="array" ref="J2108">_xlfn.LET(_xlpm.text, E2108,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8" s="14">
        <f t="shared" si="161"/>
        <v>46078</v>
      </c>
      <c r="L2108" s="14">
        <f t="shared" si="162"/>
        <v>46078.624664351853</v>
      </c>
      <c r="N2108" s="12"/>
    </row>
    <row r="2109" spans="1:14" x14ac:dyDescent="0.25">
      <c r="A2109" s="4" t="s">
        <v>2139</v>
      </c>
      <c r="B2109" s="16" t="str">
        <f t="shared" si="158"/>
        <v>M/s SHREE VISHNU MINERALS</v>
      </c>
      <c r="C2109" s="16" t="str">
        <f t="shared" si="159"/>
        <v>Mokha Charnan / Kolayat / Bikaner</v>
      </c>
      <c r="D2109" s="4" t="s">
        <v>3032</v>
      </c>
      <c r="E2109" s="4" t="s">
        <v>3119</v>
      </c>
      <c r="F2109" s="5">
        <v>46074.999664351853</v>
      </c>
      <c r="G2109" s="16" t="str">
        <f t="shared" si="160"/>
        <v>Silica Sand</v>
      </c>
      <c r="H2109" s="4" t="s">
        <v>3001</v>
      </c>
      <c r="I2109" s="18" t="str" cm="1">
        <f t="array" ref="I2109">_xlfn.LET(_xlpm.text, D2109,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09" s="18" t="str" cm="1">
        <f t="array" ref="J2109">_xlfn.LET(_xlpm.text, E2109,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09" s="14">
        <f t="shared" si="161"/>
        <v>46075</v>
      </c>
      <c r="L2109" s="14">
        <f t="shared" si="162"/>
        <v>46075.624664351853</v>
      </c>
      <c r="N2109" s="12"/>
    </row>
    <row r="2110" spans="1:14" x14ac:dyDescent="0.25">
      <c r="A2110" s="4" t="s">
        <v>2140</v>
      </c>
      <c r="B2110" s="16" t="str">
        <f t="shared" si="158"/>
        <v>M/s SHREE VISHNU MINERALS</v>
      </c>
      <c r="C2110" s="16" t="str">
        <f t="shared" si="159"/>
        <v>Mokha Charnan / Kolayat / Bikaner</v>
      </c>
      <c r="D2110" s="4" t="s">
        <v>3032</v>
      </c>
      <c r="E2110" s="4" t="s">
        <v>3119</v>
      </c>
      <c r="F2110" s="5">
        <v>46075.999664351853</v>
      </c>
      <c r="G2110" s="16" t="str">
        <f t="shared" si="160"/>
        <v>Silica Sand</v>
      </c>
      <c r="H2110" s="4" t="s">
        <v>2315</v>
      </c>
      <c r="I2110" s="18" t="str" cm="1">
        <f t="array" ref="I2110">_xlfn.LET(_xlpm.text, D2110,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10" s="18" t="str" cm="1">
        <f t="array" ref="J2110">_xlfn.LET(_xlpm.text, E2110,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0" s="14">
        <f t="shared" si="161"/>
        <v>46076</v>
      </c>
      <c r="L2110" s="14">
        <f t="shared" si="162"/>
        <v>46076.624664351853</v>
      </c>
      <c r="N2110" s="12"/>
    </row>
    <row r="2111" spans="1:14" x14ac:dyDescent="0.25">
      <c r="A2111" s="4" t="s">
        <v>2141</v>
      </c>
      <c r="B2111" s="16" t="str">
        <f t="shared" si="158"/>
        <v>M/s SHREE VISHNU MINERALS</v>
      </c>
      <c r="C2111" s="16" t="str">
        <f t="shared" si="159"/>
        <v>Mokha Charnan / Kolayat / Bikaner</v>
      </c>
      <c r="D2111" s="4" t="s">
        <v>3032</v>
      </c>
      <c r="E2111" s="4" t="s">
        <v>3119</v>
      </c>
      <c r="F2111" s="5">
        <v>46075.999664351853</v>
      </c>
      <c r="G2111" s="16" t="str">
        <f t="shared" si="160"/>
        <v>Silica Sand</v>
      </c>
      <c r="H2111" s="4" t="s">
        <v>2315</v>
      </c>
      <c r="I2111" s="18" t="str" cm="1">
        <f t="array" ref="I2111">_xlfn.LET(_xlpm.text, D2111,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11" s="18" t="str" cm="1">
        <f t="array" ref="J2111">_xlfn.LET(_xlpm.text, E2111,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1" s="14">
        <f t="shared" si="161"/>
        <v>46076</v>
      </c>
      <c r="L2111" s="14">
        <f t="shared" si="162"/>
        <v>46076.624664351853</v>
      </c>
      <c r="N2111" s="12"/>
    </row>
    <row r="2112" spans="1:14" x14ac:dyDescent="0.25">
      <c r="A2112" s="4" t="s">
        <v>2142</v>
      </c>
      <c r="B2112" s="16" t="str">
        <f t="shared" si="158"/>
        <v>M/s SHREE VISHNU MINERALS</v>
      </c>
      <c r="C2112" s="16" t="str">
        <f t="shared" si="159"/>
        <v>Mokha Charnan / Kolayat / Bikaner</v>
      </c>
      <c r="D2112" s="4" t="s">
        <v>3032</v>
      </c>
      <c r="E2112" s="4" t="s">
        <v>3119</v>
      </c>
      <c r="F2112" s="5">
        <v>46074.999664351853</v>
      </c>
      <c r="G2112" s="16" t="str">
        <f t="shared" si="160"/>
        <v>Silica Sand</v>
      </c>
      <c r="H2112" s="4" t="s">
        <v>2611</v>
      </c>
      <c r="I2112" s="18" t="str" cm="1">
        <f t="array" ref="I2112">_xlfn.LET(_xlpm.text, D2112,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12" s="18" t="str" cm="1">
        <f t="array" ref="J2112">_xlfn.LET(_xlpm.text, E2112,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2" s="14">
        <f t="shared" si="161"/>
        <v>46075</v>
      </c>
      <c r="L2112" s="14">
        <f t="shared" si="162"/>
        <v>46075.624664351853</v>
      </c>
      <c r="N2112" s="12"/>
    </row>
    <row r="2113" spans="1:14" x14ac:dyDescent="0.25">
      <c r="A2113" s="4" t="s">
        <v>2143</v>
      </c>
      <c r="B2113" s="16" t="str">
        <f t="shared" si="158"/>
        <v>M/s SHREE VISHNU MINERALS</v>
      </c>
      <c r="C2113" s="16" t="str">
        <f t="shared" si="159"/>
        <v>Mokha Charnan / Kolayat / Bikaner</v>
      </c>
      <c r="D2113" s="4" t="s">
        <v>3032</v>
      </c>
      <c r="E2113" s="4" t="s">
        <v>3119</v>
      </c>
      <c r="F2113" s="5">
        <v>46075.999664351853</v>
      </c>
      <c r="G2113" s="16" t="str">
        <f t="shared" si="160"/>
        <v>Silica Sand</v>
      </c>
      <c r="H2113" s="4" t="s">
        <v>2582</v>
      </c>
      <c r="I2113" s="18" t="str" cm="1">
        <f t="array" ref="I2113">_xlfn.LET(_xlpm.text, D2113,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13" s="18" t="str" cm="1">
        <f t="array" ref="J2113">_xlfn.LET(_xlpm.text, E2113,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3" s="14">
        <f t="shared" si="161"/>
        <v>46076</v>
      </c>
      <c r="L2113" s="14">
        <f t="shared" si="162"/>
        <v>46076.624664351853</v>
      </c>
      <c r="N2113" s="12"/>
    </row>
    <row r="2114" spans="1:14" x14ac:dyDescent="0.25">
      <c r="A2114" s="4" t="s">
        <v>2144</v>
      </c>
      <c r="B2114" s="16" t="str">
        <f t="shared" ref="B2114:B2177" si="163">VLOOKUP(LEFT($A2114,4)&amp;"*",$O$3:$R$17, 2, FALSE)</f>
        <v>M/s SHREE VISHNU MINERALS</v>
      </c>
      <c r="C2114" s="16" t="str">
        <f t="shared" ref="C2114:C2177" si="164">VLOOKUP(LEFT($A2114,4)&amp;"*",$O$3:$R$17, 3, FALSE)</f>
        <v>Mokha Charnan / Kolayat / Bikaner</v>
      </c>
      <c r="D2114" s="4" t="s">
        <v>3032</v>
      </c>
      <c r="E2114" s="4" t="s">
        <v>3119</v>
      </c>
      <c r="F2114" s="5">
        <v>46075.999664351853</v>
      </c>
      <c r="G2114" s="16" t="str">
        <f t="shared" ref="G2114:G2177" si="165">VLOOKUP(LEFT($A2114,4)&amp;"*",$O$3:$R$17, 4, FALSE)</f>
        <v>Silica Sand</v>
      </c>
      <c r="H2114" s="4" t="s">
        <v>2895</v>
      </c>
      <c r="I2114" s="18" t="str" cm="1">
        <f t="array" ref="I2114">_xlfn.LET(_xlpm.text, D2114,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14" s="18" t="str" cm="1">
        <f t="array" ref="J2114">_xlfn.LET(_xlpm.text, E2114,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4" s="14">
        <f t="shared" si="161"/>
        <v>46076</v>
      </c>
      <c r="L2114" s="14">
        <f t="shared" si="162"/>
        <v>46076.624664351853</v>
      </c>
      <c r="N2114" s="12"/>
    </row>
    <row r="2115" spans="1:14" x14ac:dyDescent="0.25">
      <c r="A2115" s="4" t="s">
        <v>2145</v>
      </c>
      <c r="B2115" s="16" t="str">
        <f t="shared" si="163"/>
        <v>M/s SHREE VISHNU MINERALS</v>
      </c>
      <c r="C2115" s="16" t="str">
        <f t="shared" si="164"/>
        <v>Mokha Charnan / Kolayat / Bikaner</v>
      </c>
      <c r="D2115" s="4" t="s">
        <v>3035</v>
      </c>
      <c r="E2115" s="4" t="s">
        <v>3119</v>
      </c>
      <c r="F2115" s="5">
        <v>46074.999664351853</v>
      </c>
      <c r="G2115" s="16" t="str">
        <f t="shared" si="165"/>
        <v>Silica Sand</v>
      </c>
      <c r="H2115" s="4" t="s">
        <v>2611</v>
      </c>
      <c r="I2115" s="18" t="str" cm="1">
        <f t="array" ref="I2115">_xlfn.LET(_xlpm.text, D2115,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15" s="18" t="str" cm="1">
        <f t="array" ref="J2115">_xlfn.LET(_xlpm.text, E2115,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5" s="14">
        <f t="shared" ref="K2115:K2178" si="166">F2115+(29/86400)</f>
        <v>46075</v>
      </c>
      <c r="L2115" s="14">
        <f t="shared" ref="L2115:L2178" si="167">F2115+(15/24)</f>
        <v>46075.624664351853</v>
      </c>
      <c r="N2115" s="12"/>
    </row>
    <row r="2116" spans="1:14" x14ac:dyDescent="0.25">
      <c r="A2116" s="4" t="s">
        <v>2146</v>
      </c>
      <c r="B2116" s="16" t="str">
        <f t="shared" si="163"/>
        <v>M/s SHREE VISHNU MINERALS</v>
      </c>
      <c r="C2116" s="16" t="str">
        <f t="shared" si="164"/>
        <v>Mokha Charnan / Kolayat / Bikaner</v>
      </c>
      <c r="D2116" s="4" t="s">
        <v>3035</v>
      </c>
      <c r="E2116" s="4" t="s">
        <v>3119</v>
      </c>
      <c r="F2116" s="5">
        <v>46077.999664351853</v>
      </c>
      <c r="G2116" s="16" t="str">
        <f t="shared" si="165"/>
        <v>Silica Sand</v>
      </c>
      <c r="H2116" s="4" t="s">
        <v>2611</v>
      </c>
      <c r="I2116" s="18" t="str" cm="1">
        <f t="array" ref="I2116">_xlfn.LET(_xlpm.text, D2116,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16" s="18" t="str" cm="1">
        <f t="array" ref="J2116">_xlfn.LET(_xlpm.text, E2116,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6" s="14">
        <f t="shared" si="166"/>
        <v>46078</v>
      </c>
      <c r="L2116" s="14">
        <f t="shared" si="167"/>
        <v>46078.624664351853</v>
      </c>
      <c r="N2116" s="12"/>
    </row>
    <row r="2117" spans="1:14" x14ac:dyDescent="0.25">
      <c r="A2117" s="4" t="s">
        <v>2147</v>
      </c>
      <c r="B2117" s="16" t="str">
        <f t="shared" si="163"/>
        <v>M/s SHREE VISHNU MINERALS</v>
      </c>
      <c r="C2117" s="16" t="str">
        <f t="shared" si="164"/>
        <v>Mokha Charnan / Kolayat / Bikaner</v>
      </c>
      <c r="D2117" s="4" t="s">
        <v>3035</v>
      </c>
      <c r="E2117" s="4" t="s">
        <v>3119</v>
      </c>
      <c r="F2117" s="5">
        <v>46077.999664351853</v>
      </c>
      <c r="G2117" s="16" t="str">
        <f t="shared" si="165"/>
        <v>Silica Sand</v>
      </c>
      <c r="H2117" s="4" t="s">
        <v>2611</v>
      </c>
      <c r="I2117" s="18" t="str" cm="1">
        <f t="array" ref="I2117">_xlfn.LET(_xlpm.text, D2117,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17" s="18" t="str" cm="1">
        <f t="array" ref="J2117">_xlfn.LET(_xlpm.text, E2117,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7" s="14">
        <f t="shared" si="166"/>
        <v>46078</v>
      </c>
      <c r="L2117" s="14">
        <f t="shared" si="167"/>
        <v>46078.624664351853</v>
      </c>
      <c r="N2117" s="12"/>
    </row>
    <row r="2118" spans="1:14" x14ac:dyDescent="0.25">
      <c r="A2118" s="4" t="s">
        <v>2148</v>
      </c>
      <c r="B2118" s="16" t="str">
        <f t="shared" si="163"/>
        <v>M/s SHREE VISHNU MINERALS</v>
      </c>
      <c r="C2118" s="16" t="str">
        <f t="shared" si="164"/>
        <v>Mokha Charnan / Kolayat / Bikaner</v>
      </c>
      <c r="D2118" s="4" t="s">
        <v>3032</v>
      </c>
      <c r="E2118" s="4" t="s">
        <v>3119</v>
      </c>
      <c r="F2118" s="5">
        <v>46084.999664351853</v>
      </c>
      <c r="G2118" s="16" t="str">
        <f t="shared" si="165"/>
        <v>Silica Sand</v>
      </c>
      <c r="H2118" s="4" t="s">
        <v>412</v>
      </c>
      <c r="I2118" s="18" t="str" cm="1">
        <f t="array" ref="I2118">_xlfn.LET(_xlpm.text, D2118, _xlpm.L, LEN(_xlpm.text), _xlfn.CONCAT(_xlfn.MAP(_xlfn.SEQUENCE(_xlpm.L), _xlfn.LAMBDA(_xlpm.i, _xlfn.LET(_xlpm.char, MID(_xlpm.text, _xlpm.i, 1), IF(OR(_xlpm.i=1, _xlpm.i=_xlpm.L, _xlpm.char=" "), _xlpm.char, "X"))))))</f>
        <v>JXXXX XXXXXXXXXXXX XXXXXXY</v>
      </c>
      <c r="J2118" s="18" t="str" cm="1">
        <f t="array" ref="J2118">_xlfn.LET(_xlpm.text, E2118,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8" s="14">
        <f t="shared" si="166"/>
        <v>46085</v>
      </c>
      <c r="L2118" s="14">
        <f t="shared" si="167"/>
        <v>46085.624664351853</v>
      </c>
      <c r="N2118" s="12"/>
    </row>
    <row r="2119" spans="1:14" x14ac:dyDescent="0.25">
      <c r="A2119" s="4" t="s">
        <v>2149</v>
      </c>
      <c r="B2119" s="16" t="str">
        <f t="shared" si="163"/>
        <v>M/s SHREE VISHNU MINERALS</v>
      </c>
      <c r="C2119" s="16" t="str">
        <f t="shared" si="164"/>
        <v>Mokha Charnan / Kolayat / Bikaner</v>
      </c>
      <c r="D2119" s="4" t="s">
        <v>3034</v>
      </c>
      <c r="E2119" s="4" t="s">
        <v>3119</v>
      </c>
      <c r="F2119" s="5">
        <v>46055.999664351853</v>
      </c>
      <c r="G2119" s="16" t="str">
        <f t="shared" si="165"/>
        <v>Silica Sand</v>
      </c>
      <c r="H2119" s="4" t="s">
        <v>2882</v>
      </c>
      <c r="I2119" s="18" t="str" cm="1">
        <f t="array" ref="I2119">_xlfn.LET(_xlpm.text, D2119,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19" s="18" t="str" cm="1">
        <f t="array" ref="J2119">_xlfn.LET(_xlpm.text, E2119,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19" s="14">
        <f t="shared" si="166"/>
        <v>46056</v>
      </c>
      <c r="L2119" s="14">
        <f t="shared" si="167"/>
        <v>46056.624664351853</v>
      </c>
      <c r="N2119" s="12"/>
    </row>
    <row r="2120" spans="1:14" x14ac:dyDescent="0.25">
      <c r="A2120" s="4" t="s">
        <v>2150</v>
      </c>
      <c r="B2120" s="16" t="str">
        <f t="shared" si="163"/>
        <v>M/s SHREE VISHNU MINERALS</v>
      </c>
      <c r="C2120" s="16" t="str">
        <f t="shared" si="164"/>
        <v>Mokha Charnan / Kolayat / Bikaner</v>
      </c>
      <c r="D2120" s="4" t="s">
        <v>3034</v>
      </c>
      <c r="E2120" s="4" t="s">
        <v>3119</v>
      </c>
      <c r="F2120" s="5">
        <v>46066.999664351853</v>
      </c>
      <c r="G2120" s="16" t="str">
        <f t="shared" si="165"/>
        <v>Silica Sand</v>
      </c>
      <c r="H2120" s="4" t="s">
        <v>2882</v>
      </c>
      <c r="I2120" s="18" t="str" cm="1">
        <f t="array" ref="I2120">_xlfn.LET(_xlpm.text, D2120,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0" s="18" t="str" cm="1">
        <f t="array" ref="J2120">_xlfn.LET(_xlpm.text, E2120,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0" s="14">
        <f t="shared" si="166"/>
        <v>46067</v>
      </c>
      <c r="L2120" s="14">
        <f t="shared" si="167"/>
        <v>46067.624664351853</v>
      </c>
      <c r="N2120" s="12"/>
    </row>
    <row r="2121" spans="1:14" x14ac:dyDescent="0.25">
      <c r="A2121" s="4" t="s">
        <v>2151</v>
      </c>
      <c r="B2121" s="16" t="str">
        <f t="shared" si="163"/>
        <v>M/s SHREE VISHNU MINERALS</v>
      </c>
      <c r="C2121" s="16" t="str">
        <f t="shared" si="164"/>
        <v>Mokha Charnan / Kolayat / Bikaner</v>
      </c>
      <c r="D2121" s="4" t="s">
        <v>3034</v>
      </c>
      <c r="E2121" s="4" t="s">
        <v>3119</v>
      </c>
      <c r="F2121" s="5">
        <v>46073.999664351853</v>
      </c>
      <c r="G2121" s="16" t="str">
        <f t="shared" si="165"/>
        <v>Silica Sand</v>
      </c>
      <c r="H2121" s="4" t="s">
        <v>2882</v>
      </c>
      <c r="I2121" s="18" t="str" cm="1">
        <f t="array" ref="I2121">_xlfn.LET(_xlpm.text, D2121,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1" s="18" t="str" cm="1">
        <f t="array" ref="J2121">_xlfn.LET(_xlpm.text, E2121,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1" s="14">
        <f t="shared" si="166"/>
        <v>46074</v>
      </c>
      <c r="L2121" s="14">
        <f t="shared" si="167"/>
        <v>46074.624664351853</v>
      </c>
      <c r="N2121" s="12"/>
    </row>
    <row r="2122" spans="1:14" x14ac:dyDescent="0.25">
      <c r="A2122" s="4" t="s">
        <v>2152</v>
      </c>
      <c r="B2122" s="16" t="str">
        <f t="shared" si="163"/>
        <v>M/s SHREE VISHNU MINERALS</v>
      </c>
      <c r="C2122" s="16" t="str">
        <f t="shared" si="164"/>
        <v>Mokha Charnan / Kolayat / Bikaner</v>
      </c>
      <c r="D2122" s="4" t="s">
        <v>3034</v>
      </c>
      <c r="E2122" s="4" t="s">
        <v>3119</v>
      </c>
      <c r="F2122" s="5">
        <v>46074.999664351853</v>
      </c>
      <c r="G2122" s="16" t="str">
        <f t="shared" si="165"/>
        <v>Silica Sand</v>
      </c>
      <c r="H2122" s="4" t="s">
        <v>2882</v>
      </c>
      <c r="I2122" s="18" t="str" cm="1">
        <f t="array" ref="I2122">_xlfn.LET(_xlpm.text, D2122,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2" s="18" t="str" cm="1">
        <f t="array" ref="J2122">_xlfn.LET(_xlpm.text, E2122,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2" s="14">
        <f t="shared" si="166"/>
        <v>46075</v>
      </c>
      <c r="L2122" s="14">
        <f t="shared" si="167"/>
        <v>46075.624664351853</v>
      </c>
      <c r="N2122" s="12"/>
    </row>
    <row r="2123" spans="1:14" x14ac:dyDescent="0.25">
      <c r="A2123" s="4" t="s">
        <v>2153</v>
      </c>
      <c r="B2123" s="16" t="str">
        <f t="shared" si="163"/>
        <v>M/s SHREE VISHNU MINERALS</v>
      </c>
      <c r="C2123" s="16" t="str">
        <f t="shared" si="164"/>
        <v>Mokha Charnan / Kolayat / Bikaner</v>
      </c>
      <c r="D2123" s="4" t="s">
        <v>3034</v>
      </c>
      <c r="E2123" s="4" t="s">
        <v>3119</v>
      </c>
      <c r="F2123" s="5">
        <v>46075.999664351853</v>
      </c>
      <c r="G2123" s="16" t="str">
        <f t="shared" si="165"/>
        <v>Silica Sand</v>
      </c>
      <c r="H2123" s="4" t="s">
        <v>2882</v>
      </c>
      <c r="I2123" s="18" t="str" cm="1">
        <f t="array" ref="I2123">_xlfn.LET(_xlpm.text, D2123,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3" s="18" t="str" cm="1">
        <f t="array" ref="J2123">_xlfn.LET(_xlpm.text, E2123,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3" s="14">
        <f t="shared" si="166"/>
        <v>46076</v>
      </c>
      <c r="L2123" s="14">
        <f t="shared" si="167"/>
        <v>46076.624664351853</v>
      </c>
      <c r="N2123" s="12"/>
    </row>
    <row r="2124" spans="1:14" x14ac:dyDescent="0.25">
      <c r="A2124" s="4" t="s">
        <v>2154</v>
      </c>
      <c r="B2124" s="16" t="str">
        <f t="shared" si="163"/>
        <v>M/s SHREE VISHNU MINERALS</v>
      </c>
      <c r="C2124" s="16" t="str">
        <f t="shared" si="164"/>
        <v>Mokha Charnan / Kolayat / Bikaner</v>
      </c>
      <c r="D2124" s="4" t="s">
        <v>3034</v>
      </c>
      <c r="E2124" s="4" t="s">
        <v>3119</v>
      </c>
      <c r="F2124" s="5">
        <v>46077.999664351853</v>
      </c>
      <c r="G2124" s="16" t="str">
        <f t="shared" si="165"/>
        <v>Silica Sand</v>
      </c>
      <c r="H2124" s="4" t="s">
        <v>2882</v>
      </c>
      <c r="I2124" s="18" t="str" cm="1">
        <f t="array" ref="I2124">_xlfn.LET(_xlpm.text, D2124,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4" s="18" t="str" cm="1">
        <f t="array" ref="J2124">_xlfn.LET(_xlpm.text, E2124,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4" s="14">
        <f t="shared" si="166"/>
        <v>46078</v>
      </c>
      <c r="L2124" s="14">
        <f t="shared" si="167"/>
        <v>46078.624664351853</v>
      </c>
      <c r="N2124" s="12"/>
    </row>
    <row r="2125" spans="1:14" x14ac:dyDescent="0.25">
      <c r="A2125" s="4" t="s">
        <v>2155</v>
      </c>
      <c r="B2125" s="16" t="str">
        <f t="shared" si="163"/>
        <v>M/s SHREE VISHNU MINERALS</v>
      </c>
      <c r="C2125" s="16" t="str">
        <f t="shared" si="164"/>
        <v>Mokha Charnan / Kolayat / Bikaner</v>
      </c>
      <c r="D2125" s="4" t="s">
        <v>3034</v>
      </c>
      <c r="E2125" s="4" t="s">
        <v>3119</v>
      </c>
      <c r="F2125" s="5">
        <v>46081.634143518517</v>
      </c>
      <c r="G2125" s="16" t="str">
        <f t="shared" si="165"/>
        <v>Silica Sand</v>
      </c>
      <c r="H2125" s="4" t="s">
        <v>2918</v>
      </c>
      <c r="I2125" s="18" t="str" cm="1">
        <f t="array" ref="I2125">_xlfn.LET(_xlpm.text, D2125,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5" s="18" t="str" cm="1">
        <f t="array" ref="J2125">_xlfn.LET(_xlpm.text, E2125,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5" s="14">
        <f t="shared" si="166"/>
        <v>46081.634479166663</v>
      </c>
      <c r="L2125" s="14">
        <f t="shared" si="167"/>
        <v>46082.259143518517</v>
      </c>
      <c r="N2125" s="12"/>
    </row>
    <row r="2126" spans="1:14" x14ac:dyDescent="0.25">
      <c r="A2126" s="4" t="s">
        <v>2156</v>
      </c>
      <c r="B2126" s="16" t="str">
        <f t="shared" si="163"/>
        <v>M/s SHREE VISHNU MINERALS</v>
      </c>
      <c r="C2126" s="16" t="str">
        <f t="shared" si="164"/>
        <v>Mokha Charnan / Kolayat / Bikaner</v>
      </c>
      <c r="D2126" s="4" t="s">
        <v>3034</v>
      </c>
      <c r="E2126" s="4" t="s">
        <v>3119</v>
      </c>
      <c r="F2126" s="5">
        <v>46080.909189814818</v>
      </c>
      <c r="G2126" s="16" t="str">
        <f t="shared" si="165"/>
        <v>Silica Sand</v>
      </c>
      <c r="H2126" s="4" t="s">
        <v>2315</v>
      </c>
      <c r="I2126" s="18" t="str" cm="1">
        <f t="array" ref="I2126">_xlfn.LET(_xlpm.text, D2126,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6" s="18" t="str" cm="1">
        <f t="array" ref="J2126">_xlfn.LET(_xlpm.text, E2126,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6" s="14">
        <f t="shared" si="166"/>
        <v>46080.909525462965</v>
      </c>
      <c r="L2126" s="14">
        <f t="shared" si="167"/>
        <v>46081.534189814818</v>
      </c>
      <c r="N2126" s="12"/>
    </row>
    <row r="2127" spans="1:14" x14ac:dyDescent="0.25">
      <c r="A2127" s="4" t="s">
        <v>2157</v>
      </c>
      <c r="B2127" s="16" t="str">
        <f t="shared" si="163"/>
        <v>M/s SHREE VISHNU MINERALS</v>
      </c>
      <c r="C2127" s="16" t="str">
        <f t="shared" si="164"/>
        <v>Mokha Charnan / Kolayat / Bikaner</v>
      </c>
      <c r="D2127" s="4" t="s">
        <v>3034</v>
      </c>
      <c r="E2127" s="4" t="s">
        <v>3119</v>
      </c>
      <c r="F2127" s="5">
        <v>46080.848587962966</v>
      </c>
      <c r="G2127" s="16" t="str">
        <f t="shared" si="165"/>
        <v>Silica Sand</v>
      </c>
      <c r="H2127" s="4" t="s">
        <v>2882</v>
      </c>
      <c r="I2127" s="18" t="str" cm="1">
        <f t="array" ref="I2127">_xlfn.LET(_xlpm.text, D2127,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7" s="18" t="str" cm="1">
        <f t="array" ref="J2127">_xlfn.LET(_xlpm.text, E2127,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7" s="14">
        <f t="shared" si="166"/>
        <v>46080.848923611113</v>
      </c>
      <c r="L2127" s="14">
        <f t="shared" si="167"/>
        <v>46081.473587962966</v>
      </c>
      <c r="N2127" s="12"/>
    </row>
    <row r="2128" spans="1:14" x14ac:dyDescent="0.25">
      <c r="A2128" s="4" t="s">
        <v>2158</v>
      </c>
      <c r="B2128" s="16" t="str">
        <f t="shared" si="163"/>
        <v>M/s SHREE VISHNU MINERALS</v>
      </c>
      <c r="C2128" s="16" t="str">
        <f t="shared" si="164"/>
        <v>Mokha Charnan / Kolayat / Bikaner</v>
      </c>
      <c r="D2128" s="4" t="s">
        <v>3034</v>
      </c>
      <c r="E2128" s="4" t="s">
        <v>3119</v>
      </c>
      <c r="F2128" s="5">
        <v>46080.811585648153</v>
      </c>
      <c r="G2128" s="16" t="str">
        <f t="shared" si="165"/>
        <v>Silica Sand</v>
      </c>
      <c r="H2128" s="4" t="s">
        <v>3012</v>
      </c>
      <c r="I2128" s="18" t="str" cm="1">
        <f t="array" ref="I2128">_xlfn.LET(_xlpm.text, D2128,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8" s="18" t="str" cm="1">
        <f t="array" ref="J2128">_xlfn.LET(_xlpm.text, E2128,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8" s="14">
        <f t="shared" si="166"/>
        <v>46080.811921296299</v>
      </c>
      <c r="L2128" s="14">
        <f t="shared" si="167"/>
        <v>46081.436585648153</v>
      </c>
      <c r="N2128" s="12"/>
    </row>
    <row r="2129" spans="1:14" x14ac:dyDescent="0.25">
      <c r="A2129" s="4" t="s">
        <v>2159</v>
      </c>
      <c r="B2129" s="16" t="str">
        <f t="shared" si="163"/>
        <v>M/s SHREE VISHNU MINERALS</v>
      </c>
      <c r="C2129" s="16" t="str">
        <f t="shared" si="164"/>
        <v>Mokha Charnan / Kolayat / Bikaner</v>
      </c>
      <c r="D2129" s="4" t="s">
        <v>3034</v>
      </c>
      <c r="E2129" s="4" t="s">
        <v>3119</v>
      </c>
      <c r="F2129" s="5">
        <v>46080.704699074078</v>
      </c>
      <c r="G2129" s="16" t="str">
        <f t="shared" si="165"/>
        <v>Silica Sand</v>
      </c>
      <c r="H2129" s="4" t="s">
        <v>344</v>
      </c>
      <c r="I2129" s="18" t="str" cm="1">
        <f t="array" ref="I2129">_xlfn.LET(_xlpm.text, D2129,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29" s="18" t="str" cm="1">
        <f t="array" ref="J2129">_xlfn.LET(_xlpm.text, E2129,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29" s="14">
        <f t="shared" si="166"/>
        <v>46080.705034722225</v>
      </c>
      <c r="L2129" s="14">
        <f t="shared" si="167"/>
        <v>46081.329699074078</v>
      </c>
      <c r="N2129" s="12"/>
    </row>
    <row r="2130" spans="1:14" x14ac:dyDescent="0.25">
      <c r="A2130" s="4" t="s">
        <v>2160</v>
      </c>
      <c r="B2130" s="16" t="str">
        <f t="shared" si="163"/>
        <v>M/s SHREE VISHNU MINERALS</v>
      </c>
      <c r="C2130" s="16" t="str">
        <f t="shared" si="164"/>
        <v>Mokha Charnan / Kolayat / Bikaner</v>
      </c>
      <c r="D2130" s="4" t="s">
        <v>3034</v>
      </c>
      <c r="E2130" s="4" t="s">
        <v>3119</v>
      </c>
      <c r="F2130" s="5">
        <v>46080.616701388892</v>
      </c>
      <c r="G2130" s="16" t="str">
        <f t="shared" si="165"/>
        <v>Silica Sand</v>
      </c>
      <c r="H2130" s="4" t="s">
        <v>3013</v>
      </c>
      <c r="I2130" s="18" t="str" cm="1">
        <f t="array" ref="I2130">_xlfn.LET(_xlpm.text, D2130,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0" s="18" t="str" cm="1">
        <f t="array" ref="J2130">_xlfn.LET(_xlpm.text, E2130,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0" s="14">
        <f t="shared" si="166"/>
        <v>46080.617037037038</v>
      </c>
      <c r="L2130" s="14">
        <f t="shared" si="167"/>
        <v>46081.241701388892</v>
      </c>
      <c r="N2130" s="12"/>
    </row>
    <row r="2131" spans="1:14" x14ac:dyDescent="0.25">
      <c r="A2131" s="4" t="s">
        <v>2161</v>
      </c>
      <c r="B2131" s="16" t="str">
        <f t="shared" si="163"/>
        <v>M/s SHREE VISHNU MINERALS</v>
      </c>
      <c r="C2131" s="16" t="str">
        <f t="shared" si="164"/>
        <v>Mokha Charnan / Kolayat / Bikaner</v>
      </c>
      <c r="D2131" s="4" t="s">
        <v>3034</v>
      </c>
      <c r="E2131" s="4" t="s">
        <v>3119</v>
      </c>
      <c r="F2131" s="5">
        <v>46080.605868055558</v>
      </c>
      <c r="G2131" s="16" t="str">
        <f t="shared" si="165"/>
        <v>Silica Sand</v>
      </c>
      <c r="H2131" s="4" t="s">
        <v>3014</v>
      </c>
      <c r="I2131" s="18" t="str" cm="1">
        <f t="array" ref="I2131">_xlfn.LET(_xlpm.text, D2131,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1" s="18" t="str" cm="1">
        <f t="array" ref="J2131">_xlfn.LET(_xlpm.text, E2131,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1" s="14">
        <f t="shared" si="166"/>
        <v>46080.606203703705</v>
      </c>
      <c r="L2131" s="14">
        <f t="shared" si="167"/>
        <v>46081.230868055558</v>
      </c>
      <c r="N2131" s="12"/>
    </row>
    <row r="2132" spans="1:14" x14ac:dyDescent="0.25">
      <c r="A2132" s="4" t="s">
        <v>2162</v>
      </c>
      <c r="B2132" s="16" t="str">
        <f t="shared" si="163"/>
        <v>M/s SHREE VISHNU MINERALS</v>
      </c>
      <c r="C2132" s="16" t="str">
        <f t="shared" si="164"/>
        <v>Mokha Charnan / Kolayat / Bikaner</v>
      </c>
      <c r="D2132" s="4" t="s">
        <v>3034</v>
      </c>
      <c r="E2132" s="4" t="s">
        <v>3119</v>
      </c>
      <c r="F2132" s="5">
        <v>46080.269178240742</v>
      </c>
      <c r="G2132" s="16" t="str">
        <f t="shared" si="165"/>
        <v>Silica Sand</v>
      </c>
      <c r="H2132" s="4" t="s">
        <v>2399</v>
      </c>
      <c r="I2132" s="18" t="str" cm="1">
        <f t="array" ref="I2132">_xlfn.LET(_xlpm.text, D2132,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2" s="18" t="str" cm="1">
        <f t="array" ref="J2132">_xlfn.LET(_xlpm.text, E2132,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2" s="14">
        <f t="shared" si="166"/>
        <v>46080.269513888888</v>
      </c>
      <c r="L2132" s="14">
        <f t="shared" si="167"/>
        <v>46080.894178240742</v>
      </c>
      <c r="N2132" s="12"/>
    </row>
    <row r="2133" spans="1:14" x14ac:dyDescent="0.25">
      <c r="A2133" s="4" t="s">
        <v>2163</v>
      </c>
      <c r="B2133" s="16" t="str">
        <f t="shared" si="163"/>
        <v>M/s SHREE VISHNU MINERALS</v>
      </c>
      <c r="C2133" s="16" t="str">
        <f t="shared" si="164"/>
        <v>Mokha Charnan / Kolayat / Bikaner</v>
      </c>
      <c r="D2133" s="4" t="s">
        <v>3034</v>
      </c>
      <c r="E2133" s="4" t="s">
        <v>3119</v>
      </c>
      <c r="F2133" s="5">
        <v>46080.037812499999</v>
      </c>
      <c r="G2133" s="16" t="str">
        <f t="shared" si="165"/>
        <v>Silica Sand</v>
      </c>
      <c r="H2133" s="4" t="s">
        <v>2315</v>
      </c>
      <c r="I2133" s="18" t="str" cm="1">
        <f t="array" ref="I2133">_xlfn.LET(_xlpm.text, D2133,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3" s="18" t="str" cm="1">
        <f t="array" ref="J2133">_xlfn.LET(_xlpm.text, E2133,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3" s="14">
        <f t="shared" si="166"/>
        <v>46080.038148148145</v>
      </c>
      <c r="L2133" s="14">
        <f t="shared" si="167"/>
        <v>46080.662812499999</v>
      </c>
      <c r="N2133" s="12"/>
    </row>
    <row r="2134" spans="1:14" x14ac:dyDescent="0.25">
      <c r="A2134" s="4" t="s">
        <v>2164</v>
      </c>
      <c r="B2134" s="16" t="str">
        <f t="shared" si="163"/>
        <v>M/s SHREE VISHNU MINERALS</v>
      </c>
      <c r="C2134" s="16" t="str">
        <f t="shared" si="164"/>
        <v>Mokha Charnan / Kolayat / Bikaner</v>
      </c>
      <c r="D2134" s="4" t="s">
        <v>3034</v>
      </c>
      <c r="E2134" s="4" t="s">
        <v>3119</v>
      </c>
      <c r="F2134" s="5">
        <v>46079.828865740739</v>
      </c>
      <c r="G2134" s="16" t="str">
        <f t="shared" si="165"/>
        <v>Silica Sand</v>
      </c>
      <c r="H2134" s="4" t="s">
        <v>2766</v>
      </c>
      <c r="I2134" s="18" t="str" cm="1">
        <f t="array" ref="I2134">_xlfn.LET(_xlpm.text, D2134,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4" s="18" t="str" cm="1">
        <f t="array" ref="J2134">_xlfn.LET(_xlpm.text, E2134,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4" s="14">
        <f t="shared" si="166"/>
        <v>46079.829201388886</v>
      </c>
      <c r="L2134" s="14">
        <f t="shared" si="167"/>
        <v>46080.453865740739</v>
      </c>
      <c r="N2134" s="12"/>
    </row>
    <row r="2135" spans="1:14" x14ac:dyDescent="0.25">
      <c r="A2135" s="4" t="s">
        <v>2165</v>
      </c>
      <c r="B2135" s="16" t="str">
        <f t="shared" si="163"/>
        <v>M/s SHREE VISHNU MINERALS</v>
      </c>
      <c r="C2135" s="16" t="str">
        <f t="shared" si="164"/>
        <v>Mokha Charnan / Kolayat / Bikaner</v>
      </c>
      <c r="D2135" s="4" t="s">
        <v>3034</v>
      </c>
      <c r="E2135" s="4" t="s">
        <v>3119</v>
      </c>
      <c r="F2135" s="5">
        <v>46079.819780092592</v>
      </c>
      <c r="G2135" s="16" t="str">
        <f t="shared" si="165"/>
        <v>Silica Sand</v>
      </c>
      <c r="H2135" s="4" t="s">
        <v>2926</v>
      </c>
      <c r="I2135" s="18" t="str" cm="1">
        <f t="array" ref="I2135">_xlfn.LET(_xlpm.text, D2135,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5" s="18" t="str" cm="1">
        <f t="array" ref="J2135">_xlfn.LET(_xlpm.text, E2135,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5" s="14">
        <f t="shared" si="166"/>
        <v>46079.820115740738</v>
      </c>
      <c r="L2135" s="14">
        <f t="shared" si="167"/>
        <v>46080.444780092592</v>
      </c>
      <c r="N2135" s="12"/>
    </row>
    <row r="2136" spans="1:14" x14ac:dyDescent="0.25">
      <c r="A2136" s="4" t="s">
        <v>2166</v>
      </c>
      <c r="B2136" s="16" t="str">
        <f t="shared" si="163"/>
        <v>M/s SHREE VISHNU MINERALS</v>
      </c>
      <c r="C2136" s="16" t="str">
        <f t="shared" si="164"/>
        <v>Mokha Charnan / Kolayat / Bikaner</v>
      </c>
      <c r="D2136" s="4" t="s">
        <v>3034</v>
      </c>
      <c r="E2136" s="4" t="s">
        <v>3119</v>
      </c>
      <c r="F2136" s="5">
        <v>46079.80300925926</v>
      </c>
      <c r="G2136" s="16" t="str">
        <f t="shared" si="165"/>
        <v>Silica Sand</v>
      </c>
      <c r="H2136" s="4" t="s">
        <v>2611</v>
      </c>
      <c r="I2136" s="18" t="str" cm="1">
        <f t="array" ref="I2136">_xlfn.LET(_xlpm.text, D2136,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6" s="18" t="str" cm="1">
        <f t="array" ref="J2136">_xlfn.LET(_xlpm.text, E2136,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6" s="14">
        <f t="shared" si="166"/>
        <v>46079.803344907406</v>
      </c>
      <c r="L2136" s="14">
        <f t="shared" si="167"/>
        <v>46080.42800925926</v>
      </c>
      <c r="N2136" s="12"/>
    </row>
    <row r="2137" spans="1:14" x14ac:dyDescent="0.25">
      <c r="A2137" s="4" t="s">
        <v>2167</v>
      </c>
      <c r="B2137" s="16" t="str">
        <f t="shared" si="163"/>
        <v>M/s SHREE VISHNU MINERALS</v>
      </c>
      <c r="C2137" s="16" t="str">
        <f t="shared" si="164"/>
        <v>Mokha Charnan / Kolayat / Bikaner</v>
      </c>
      <c r="D2137" s="4" t="s">
        <v>3034</v>
      </c>
      <c r="E2137" s="4" t="s">
        <v>3119</v>
      </c>
      <c r="F2137" s="5">
        <v>46079.764490740745</v>
      </c>
      <c r="G2137" s="16" t="str">
        <f t="shared" si="165"/>
        <v>Silica Sand</v>
      </c>
      <c r="H2137" s="4" t="s">
        <v>2766</v>
      </c>
      <c r="I2137" s="18" t="str" cm="1">
        <f t="array" ref="I2137">_xlfn.LET(_xlpm.text, D2137,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7" s="18" t="str" cm="1">
        <f t="array" ref="J2137">_xlfn.LET(_xlpm.text, E2137,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7" s="14">
        <f t="shared" si="166"/>
        <v>46079.764826388891</v>
      </c>
      <c r="L2137" s="14">
        <f t="shared" si="167"/>
        <v>46080.389490740745</v>
      </c>
      <c r="N2137" s="12"/>
    </row>
    <row r="2138" spans="1:14" x14ac:dyDescent="0.25">
      <c r="A2138" s="4" t="s">
        <v>2168</v>
      </c>
      <c r="B2138" s="16" t="str">
        <f t="shared" si="163"/>
        <v>M/s SHREE VISHNU MINERALS</v>
      </c>
      <c r="C2138" s="16" t="str">
        <f t="shared" si="164"/>
        <v>Mokha Charnan / Kolayat / Bikaner</v>
      </c>
      <c r="D2138" s="4" t="s">
        <v>3034</v>
      </c>
      <c r="E2138" s="4" t="s">
        <v>3119</v>
      </c>
      <c r="F2138" s="5">
        <v>46079.717002314814</v>
      </c>
      <c r="G2138" s="16" t="str">
        <f t="shared" si="165"/>
        <v>Silica Sand</v>
      </c>
      <c r="H2138" s="4" t="s">
        <v>2926</v>
      </c>
      <c r="I2138" s="18" t="str" cm="1">
        <f t="array" ref="I2138">_xlfn.LET(_xlpm.text, D2138,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8" s="18" t="str" cm="1">
        <f t="array" ref="J2138">_xlfn.LET(_xlpm.text, E2138,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8" s="14">
        <f t="shared" si="166"/>
        <v>46079.71733796296</v>
      </c>
      <c r="L2138" s="14">
        <f t="shared" si="167"/>
        <v>46080.342002314814</v>
      </c>
      <c r="N2138" s="12"/>
    </row>
    <row r="2139" spans="1:14" x14ac:dyDescent="0.25">
      <c r="A2139" s="4" t="s">
        <v>2169</v>
      </c>
      <c r="B2139" s="16" t="str">
        <f t="shared" si="163"/>
        <v>M/s SHREE VISHNU MINERALS</v>
      </c>
      <c r="C2139" s="16" t="str">
        <f t="shared" si="164"/>
        <v>Mokha Charnan / Kolayat / Bikaner</v>
      </c>
      <c r="D2139" s="4" t="s">
        <v>3034</v>
      </c>
      <c r="E2139" s="4" t="s">
        <v>3119</v>
      </c>
      <c r="F2139" s="5">
        <v>46079.701030092598</v>
      </c>
      <c r="G2139" s="16" t="str">
        <f t="shared" si="165"/>
        <v>Silica Sand</v>
      </c>
      <c r="H2139" s="4" t="s">
        <v>2315</v>
      </c>
      <c r="I2139" s="18" t="str" cm="1">
        <f t="array" ref="I2139">_xlfn.LET(_xlpm.text, D2139,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39" s="18" t="str" cm="1">
        <f t="array" ref="J2139">_xlfn.LET(_xlpm.text, E2139,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39" s="14">
        <f t="shared" si="166"/>
        <v>46079.701365740744</v>
      </c>
      <c r="L2139" s="14">
        <f t="shared" si="167"/>
        <v>46080.326030092598</v>
      </c>
      <c r="N2139" s="12"/>
    </row>
    <row r="2140" spans="1:14" x14ac:dyDescent="0.25">
      <c r="A2140" s="4" t="s">
        <v>2170</v>
      </c>
      <c r="B2140" s="16" t="str">
        <f t="shared" si="163"/>
        <v>M/s SHREE VISHNU MINERALS</v>
      </c>
      <c r="C2140" s="16" t="str">
        <f t="shared" si="164"/>
        <v>Mokha Charnan / Kolayat / Bikaner</v>
      </c>
      <c r="D2140" s="4" t="s">
        <v>3034</v>
      </c>
      <c r="E2140" s="4" t="s">
        <v>3119</v>
      </c>
      <c r="F2140" s="5">
        <v>46079.672581018523</v>
      </c>
      <c r="G2140" s="16" t="str">
        <f t="shared" si="165"/>
        <v>Silica Sand</v>
      </c>
      <c r="H2140" s="4" t="s">
        <v>2918</v>
      </c>
      <c r="I2140" s="18" t="str" cm="1">
        <f t="array" ref="I2140">_xlfn.LET(_xlpm.text, D2140,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0" s="18" t="str" cm="1">
        <f t="array" ref="J2140">_xlfn.LET(_xlpm.text, E2140,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0" s="14">
        <f t="shared" si="166"/>
        <v>46079.67291666667</v>
      </c>
      <c r="L2140" s="14">
        <f t="shared" si="167"/>
        <v>46080.297581018523</v>
      </c>
      <c r="N2140" s="12"/>
    </row>
    <row r="2141" spans="1:14" x14ac:dyDescent="0.25">
      <c r="A2141" s="4" t="s">
        <v>2171</v>
      </c>
      <c r="B2141" s="16" t="str">
        <f t="shared" si="163"/>
        <v>M/s SHREE VISHNU MINERALS</v>
      </c>
      <c r="C2141" s="16" t="str">
        <f t="shared" si="164"/>
        <v>Mokha Charnan / Kolayat / Bikaner</v>
      </c>
      <c r="D2141" s="4" t="s">
        <v>3034</v>
      </c>
      <c r="E2141" s="4" t="s">
        <v>3119</v>
      </c>
      <c r="F2141" s="5">
        <v>46079.668576388889</v>
      </c>
      <c r="G2141" s="16" t="str">
        <f t="shared" si="165"/>
        <v>Silica Sand</v>
      </c>
      <c r="H2141" s="4" t="s">
        <v>2895</v>
      </c>
      <c r="I2141" s="18" t="str" cm="1">
        <f t="array" ref="I2141">_xlfn.LET(_xlpm.text, D2141,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1" s="18" t="str" cm="1">
        <f t="array" ref="J2141">_xlfn.LET(_xlpm.text, E2141,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1" s="14">
        <f t="shared" si="166"/>
        <v>46079.668912037036</v>
      </c>
      <c r="L2141" s="14">
        <f t="shared" si="167"/>
        <v>46080.293576388889</v>
      </c>
      <c r="N2141" s="12"/>
    </row>
    <row r="2142" spans="1:14" x14ac:dyDescent="0.25">
      <c r="A2142" s="4" t="s">
        <v>2172</v>
      </c>
      <c r="B2142" s="16" t="str">
        <f t="shared" si="163"/>
        <v>M/s SHREE VISHNU MINERALS</v>
      </c>
      <c r="C2142" s="16" t="str">
        <f t="shared" si="164"/>
        <v>Mokha Charnan / Kolayat / Bikaner</v>
      </c>
      <c r="D2142" s="4" t="s">
        <v>3034</v>
      </c>
      <c r="E2142" s="4" t="s">
        <v>3119</v>
      </c>
      <c r="F2142" s="5">
        <v>46079.664722222224</v>
      </c>
      <c r="G2142" s="16" t="str">
        <f t="shared" si="165"/>
        <v>Silica Sand</v>
      </c>
      <c r="H2142" s="4" t="s">
        <v>2582</v>
      </c>
      <c r="I2142" s="18" t="str" cm="1">
        <f t="array" ref="I2142">_xlfn.LET(_xlpm.text, D2142,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2" s="18" t="str" cm="1">
        <f t="array" ref="J2142">_xlfn.LET(_xlpm.text, E2142,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2" s="14">
        <f t="shared" si="166"/>
        <v>46079.66505787037</v>
      </c>
      <c r="L2142" s="14">
        <f t="shared" si="167"/>
        <v>46080.289722222224</v>
      </c>
      <c r="N2142" s="12"/>
    </row>
    <row r="2143" spans="1:14" x14ac:dyDescent="0.25">
      <c r="A2143" s="4" t="s">
        <v>2173</v>
      </c>
      <c r="B2143" s="16" t="str">
        <f t="shared" si="163"/>
        <v>M/s SHREE VISHNU MINERALS</v>
      </c>
      <c r="C2143" s="16" t="str">
        <f t="shared" si="164"/>
        <v>Mokha Charnan / Kolayat / Bikaner</v>
      </c>
      <c r="D2143" s="4" t="s">
        <v>3034</v>
      </c>
      <c r="E2143" s="4" t="s">
        <v>3119</v>
      </c>
      <c r="F2143" s="5">
        <v>46073.816284722227</v>
      </c>
      <c r="G2143" s="16" t="str">
        <f t="shared" si="165"/>
        <v>Silica Sand</v>
      </c>
      <c r="H2143" s="4" t="s">
        <v>2399</v>
      </c>
      <c r="I2143" s="18" t="str" cm="1">
        <f t="array" ref="I2143">_xlfn.LET(_xlpm.text, D2143,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3" s="18" t="str" cm="1">
        <f t="array" ref="J2143">_xlfn.LET(_xlpm.text, E2143,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3" s="14">
        <f t="shared" si="166"/>
        <v>46073.816620370373</v>
      </c>
      <c r="L2143" s="14">
        <f t="shared" si="167"/>
        <v>46074.441284722227</v>
      </c>
      <c r="N2143" s="12"/>
    </row>
    <row r="2144" spans="1:14" x14ac:dyDescent="0.25">
      <c r="A2144" s="4" t="s">
        <v>2174</v>
      </c>
      <c r="B2144" s="16" t="str">
        <f t="shared" si="163"/>
        <v>M/s SHREE VISHNU MINERALS</v>
      </c>
      <c r="C2144" s="16" t="str">
        <f t="shared" si="164"/>
        <v>Mokha Charnan / Kolayat / Bikaner</v>
      </c>
      <c r="D2144" s="4" t="s">
        <v>3034</v>
      </c>
      <c r="E2144" s="4" t="s">
        <v>3119</v>
      </c>
      <c r="F2144" s="5">
        <v>46073.751932870371</v>
      </c>
      <c r="G2144" s="16" t="str">
        <f t="shared" si="165"/>
        <v>Silica Sand</v>
      </c>
      <c r="H2144" s="4" t="s">
        <v>2918</v>
      </c>
      <c r="I2144" s="18" t="str" cm="1">
        <f t="array" ref="I2144">_xlfn.LET(_xlpm.text, D2144,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4" s="18" t="str" cm="1">
        <f t="array" ref="J2144">_xlfn.LET(_xlpm.text, E2144,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4" s="14">
        <f t="shared" si="166"/>
        <v>46073.752268518518</v>
      </c>
      <c r="L2144" s="14">
        <f t="shared" si="167"/>
        <v>46074.376932870371</v>
      </c>
      <c r="N2144" s="12"/>
    </row>
    <row r="2145" spans="1:14" x14ac:dyDescent="0.25">
      <c r="A2145" s="4" t="s">
        <v>2175</v>
      </c>
      <c r="B2145" s="16" t="str">
        <f t="shared" si="163"/>
        <v>M/s SHREE VISHNU MINERALS</v>
      </c>
      <c r="C2145" s="16" t="str">
        <f t="shared" si="164"/>
        <v>Mokha Charnan / Kolayat / Bikaner</v>
      </c>
      <c r="D2145" s="4" t="s">
        <v>3034</v>
      </c>
      <c r="E2145" s="4" t="s">
        <v>3119</v>
      </c>
      <c r="F2145" s="5">
        <v>46073.746388888889</v>
      </c>
      <c r="G2145" s="16" t="str">
        <f t="shared" si="165"/>
        <v>Silica Sand</v>
      </c>
      <c r="H2145" s="4" t="s">
        <v>2926</v>
      </c>
      <c r="I2145" s="18" t="str" cm="1">
        <f t="array" ref="I2145">_xlfn.LET(_xlpm.text, D2145,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5" s="18" t="str" cm="1">
        <f t="array" ref="J2145">_xlfn.LET(_xlpm.text, E2145,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5" s="14">
        <f t="shared" si="166"/>
        <v>46073.746724537035</v>
      </c>
      <c r="L2145" s="14">
        <f t="shared" si="167"/>
        <v>46074.371388888889</v>
      </c>
      <c r="N2145" s="12"/>
    </row>
    <row r="2146" spans="1:14" x14ac:dyDescent="0.25">
      <c r="A2146" s="4" t="s">
        <v>2176</v>
      </c>
      <c r="B2146" s="16" t="str">
        <f t="shared" si="163"/>
        <v>M/s SHREE VISHNU MINERALS</v>
      </c>
      <c r="C2146" s="16" t="str">
        <f t="shared" si="164"/>
        <v>Mokha Charnan / Kolayat / Bikaner</v>
      </c>
      <c r="D2146" s="4" t="s">
        <v>3034</v>
      </c>
      <c r="E2146" s="4" t="s">
        <v>3119</v>
      </c>
      <c r="F2146" s="5">
        <v>46073.590625000004</v>
      </c>
      <c r="G2146" s="16" t="str">
        <f t="shared" si="165"/>
        <v>Silica Sand</v>
      </c>
      <c r="H2146" s="4" t="s">
        <v>2895</v>
      </c>
      <c r="I2146" s="18" t="str" cm="1">
        <f t="array" ref="I2146">_xlfn.LET(_xlpm.text, D2146,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46" s="18" t="str" cm="1">
        <f t="array" ref="J2146">_xlfn.LET(_xlpm.text, E2146,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6" s="14">
        <f t="shared" si="166"/>
        <v>46073.590960648151</v>
      </c>
      <c r="L2146" s="14">
        <f t="shared" si="167"/>
        <v>46074.215625000004</v>
      </c>
      <c r="N2146" s="12"/>
    </row>
    <row r="2147" spans="1:14" x14ac:dyDescent="0.25">
      <c r="A2147" s="4" t="s">
        <v>2177</v>
      </c>
      <c r="B2147" s="16" t="str">
        <f t="shared" si="163"/>
        <v>MANOJ NAYAK</v>
      </c>
      <c r="C2147" s="16" t="str">
        <f t="shared" si="164"/>
        <v>Gangapura Chak No.7 / Kolayat / Bikaner</v>
      </c>
      <c r="D2147" s="4" t="s">
        <v>3033</v>
      </c>
      <c r="E2147" s="4" t="s">
        <v>3119</v>
      </c>
      <c r="F2147" s="5">
        <v>46065.999664351853</v>
      </c>
      <c r="G2147" s="16" t="str">
        <f t="shared" si="165"/>
        <v>Silica Sand</v>
      </c>
      <c r="H2147" s="4" t="s">
        <v>2946</v>
      </c>
      <c r="I2147" s="18" t="str" cm="1">
        <f t="array" ref="I2147">_xlfn.LET(_xlpm.text, D2147,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47" s="18" t="str" cm="1">
        <f t="array" ref="J2147">_xlfn.LET(_xlpm.text, E2147,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7" s="14">
        <f t="shared" si="166"/>
        <v>46066</v>
      </c>
      <c r="L2147" s="14">
        <f t="shared" si="167"/>
        <v>46066.624664351853</v>
      </c>
      <c r="N2147" s="12"/>
    </row>
    <row r="2148" spans="1:14" x14ac:dyDescent="0.25">
      <c r="A2148" s="4" t="s">
        <v>2178</v>
      </c>
      <c r="B2148" s="16" t="str">
        <f t="shared" si="163"/>
        <v>MANOJ NAYAK</v>
      </c>
      <c r="C2148" s="16" t="str">
        <f t="shared" si="164"/>
        <v>Gangapura Chak No.7 / Kolayat / Bikaner</v>
      </c>
      <c r="D2148" s="4" t="s">
        <v>3033</v>
      </c>
      <c r="E2148" s="4" t="s">
        <v>3119</v>
      </c>
      <c r="F2148" s="5">
        <v>46065.999664351853</v>
      </c>
      <c r="G2148" s="16" t="str">
        <f t="shared" si="165"/>
        <v>Silica Sand</v>
      </c>
      <c r="H2148" s="4" t="s">
        <v>2946</v>
      </c>
      <c r="I2148" s="18" t="str" cm="1">
        <f t="array" ref="I2148">_xlfn.LET(_xlpm.text, D2148,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48" s="18" t="str" cm="1">
        <f t="array" ref="J2148">_xlfn.LET(_xlpm.text, E2148,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8" s="14">
        <f t="shared" si="166"/>
        <v>46066</v>
      </c>
      <c r="L2148" s="14">
        <f t="shared" si="167"/>
        <v>46066.624664351853</v>
      </c>
      <c r="N2148" s="12"/>
    </row>
    <row r="2149" spans="1:14" x14ac:dyDescent="0.25">
      <c r="A2149" s="4" t="s">
        <v>2179</v>
      </c>
      <c r="B2149" s="16" t="str">
        <f t="shared" si="163"/>
        <v>MANOJ NAYAK</v>
      </c>
      <c r="C2149" s="16" t="str">
        <f t="shared" si="164"/>
        <v>Gangapura Chak No.7 / Kolayat / Bikaner</v>
      </c>
      <c r="D2149" s="4" t="s">
        <v>3033</v>
      </c>
      <c r="E2149" s="4" t="s">
        <v>3119</v>
      </c>
      <c r="F2149" s="5">
        <v>46064.999664351853</v>
      </c>
      <c r="G2149" s="16" t="str">
        <f t="shared" si="165"/>
        <v>Silica Sand</v>
      </c>
      <c r="H2149" s="4" t="s">
        <v>2889</v>
      </c>
      <c r="I2149" s="18" t="str" cm="1">
        <f t="array" ref="I2149">_xlfn.LET(_xlpm.text, D2149,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49" s="18" t="str" cm="1">
        <f t="array" ref="J2149">_xlfn.LET(_xlpm.text, E2149,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49" s="14">
        <f t="shared" si="166"/>
        <v>46065</v>
      </c>
      <c r="L2149" s="14">
        <f t="shared" si="167"/>
        <v>46065.624664351853</v>
      </c>
      <c r="N2149" s="12"/>
    </row>
    <row r="2150" spans="1:14" x14ac:dyDescent="0.25">
      <c r="A2150" s="4" t="s">
        <v>2180</v>
      </c>
      <c r="B2150" s="16" t="str">
        <f t="shared" si="163"/>
        <v>S.R.MINES AND MINERLS</v>
      </c>
      <c r="C2150" s="16" t="str">
        <f t="shared" si="164"/>
        <v>Indo Ka Bala / Kolayat / Bikaner</v>
      </c>
      <c r="D2150" s="4" t="s">
        <v>3033</v>
      </c>
      <c r="E2150" s="4" t="s">
        <v>3119</v>
      </c>
      <c r="F2150" s="5">
        <v>46072.999664351853</v>
      </c>
      <c r="G2150" s="16" t="str">
        <f t="shared" si="165"/>
        <v>Silica Sand</v>
      </c>
      <c r="H2150" s="4" t="s">
        <v>3015</v>
      </c>
      <c r="I2150" s="18" t="str" cm="1">
        <f t="array" ref="I2150">_xlfn.LET(_xlpm.text, D2150,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0" s="18" t="str" cm="1">
        <f t="array" ref="J2150">_xlfn.LET(_xlpm.text, E2150,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0" s="14">
        <f t="shared" si="166"/>
        <v>46073</v>
      </c>
      <c r="L2150" s="14">
        <f t="shared" si="167"/>
        <v>46073.624664351853</v>
      </c>
      <c r="N2150" s="12"/>
    </row>
    <row r="2151" spans="1:14" x14ac:dyDescent="0.25">
      <c r="A2151" s="4" t="s">
        <v>2181</v>
      </c>
      <c r="B2151" s="16" t="str">
        <f t="shared" si="163"/>
        <v>S.R.MINES AND MINERLS</v>
      </c>
      <c r="C2151" s="16" t="str">
        <f t="shared" si="164"/>
        <v>Indo Ka Bala / Kolayat / Bikaner</v>
      </c>
      <c r="D2151" s="4" t="s">
        <v>3033</v>
      </c>
      <c r="E2151" s="4" t="s">
        <v>3119</v>
      </c>
      <c r="F2151" s="5">
        <v>46072.999664351853</v>
      </c>
      <c r="G2151" s="16" t="str">
        <f t="shared" si="165"/>
        <v>Silica Sand</v>
      </c>
      <c r="H2151" s="4" t="s">
        <v>2916</v>
      </c>
      <c r="I2151" s="18" t="str" cm="1">
        <f t="array" ref="I2151">_xlfn.LET(_xlpm.text, D2151,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1" s="18" t="str" cm="1">
        <f t="array" ref="J2151">_xlfn.LET(_xlpm.text, E2151,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1" s="14">
        <f t="shared" si="166"/>
        <v>46073</v>
      </c>
      <c r="L2151" s="14">
        <f t="shared" si="167"/>
        <v>46073.624664351853</v>
      </c>
      <c r="N2151" s="12"/>
    </row>
    <row r="2152" spans="1:14" x14ac:dyDescent="0.25">
      <c r="A2152" s="4" t="s">
        <v>2182</v>
      </c>
      <c r="B2152" s="16" t="str">
        <f t="shared" si="163"/>
        <v>MANOJ NAYAK</v>
      </c>
      <c r="C2152" s="16" t="str">
        <f t="shared" si="164"/>
        <v>Gangapura Chak No.7 / Kolayat / Bikaner</v>
      </c>
      <c r="D2152" s="4" t="s">
        <v>3033</v>
      </c>
      <c r="E2152" s="4" t="s">
        <v>3119</v>
      </c>
      <c r="F2152" s="5">
        <v>46071.999664351853</v>
      </c>
      <c r="G2152" s="16" t="str">
        <f t="shared" si="165"/>
        <v>Silica Sand</v>
      </c>
      <c r="H2152" s="4" t="s">
        <v>3016</v>
      </c>
      <c r="I2152" s="18" t="str" cm="1">
        <f t="array" ref="I2152">_xlfn.LET(_xlpm.text, D2152,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2" s="18" t="str" cm="1">
        <f t="array" ref="J2152">_xlfn.LET(_xlpm.text, E2152,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2" s="14">
        <f t="shared" si="166"/>
        <v>46072</v>
      </c>
      <c r="L2152" s="14">
        <f t="shared" si="167"/>
        <v>46072.624664351853</v>
      </c>
      <c r="N2152" s="12"/>
    </row>
    <row r="2153" spans="1:14" x14ac:dyDescent="0.25">
      <c r="A2153" s="4" t="s">
        <v>2183</v>
      </c>
      <c r="B2153" s="16" t="str">
        <f t="shared" si="163"/>
        <v>MANOJ NAYAK</v>
      </c>
      <c r="C2153" s="16" t="str">
        <f t="shared" si="164"/>
        <v>Gangapura Chak No.7 / Kolayat / Bikaner</v>
      </c>
      <c r="D2153" s="4" t="s">
        <v>3033</v>
      </c>
      <c r="E2153" s="4" t="s">
        <v>3119</v>
      </c>
      <c r="F2153" s="5">
        <v>46071.999664351853</v>
      </c>
      <c r="G2153" s="16" t="str">
        <f t="shared" si="165"/>
        <v>Silica Sand</v>
      </c>
      <c r="H2153" s="4" t="s">
        <v>2946</v>
      </c>
      <c r="I2153" s="18" t="str" cm="1">
        <f t="array" ref="I2153">_xlfn.LET(_xlpm.text, D2153,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3" s="18" t="str" cm="1">
        <f t="array" ref="J2153">_xlfn.LET(_xlpm.text, E2153,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3" s="14">
        <f t="shared" si="166"/>
        <v>46072</v>
      </c>
      <c r="L2153" s="14">
        <f t="shared" si="167"/>
        <v>46072.624664351853</v>
      </c>
      <c r="N2153" s="12"/>
    </row>
    <row r="2154" spans="1:14" x14ac:dyDescent="0.25">
      <c r="A2154" s="4" t="s">
        <v>2184</v>
      </c>
      <c r="B2154" s="16" t="str">
        <f t="shared" si="163"/>
        <v>MANOJ NAYAK</v>
      </c>
      <c r="C2154" s="16" t="str">
        <f t="shared" si="164"/>
        <v>Gangapura Chak No.7 / Kolayat / Bikaner</v>
      </c>
      <c r="D2154" s="4" t="s">
        <v>3033</v>
      </c>
      <c r="E2154" s="4" t="s">
        <v>3119</v>
      </c>
      <c r="F2154" s="5">
        <v>46066.999664351853</v>
      </c>
      <c r="G2154" s="16" t="str">
        <f t="shared" si="165"/>
        <v>Silica Sand</v>
      </c>
      <c r="H2154" s="4" t="s">
        <v>3017</v>
      </c>
      <c r="I2154" s="18" t="str" cm="1">
        <f t="array" ref="I2154">_xlfn.LET(_xlpm.text, D2154,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4" s="18" t="str" cm="1">
        <f t="array" ref="J2154">_xlfn.LET(_xlpm.text, E2154,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4" s="14">
        <f t="shared" si="166"/>
        <v>46067</v>
      </c>
      <c r="L2154" s="14">
        <f t="shared" si="167"/>
        <v>46067.624664351853</v>
      </c>
      <c r="N2154" s="12"/>
    </row>
    <row r="2155" spans="1:14" x14ac:dyDescent="0.25">
      <c r="A2155" s="4" t="s">
        <v>2185</v>
      </c>
      <c r="B2155" s="16" t="str">
        <f t="shared" si="163"/>
        <v>MANOJ NAYAK</v>
      </c>
      <c r="C2155" s="16" t="str">
        <f t="shared" si="164"/>
        <v>Gangapura Chak No.7 / Kolayat / Bikaner</v>
      </c>
      <c r="D2155" s="4" t="s">
        <v>3033</v>
      </c>
      <c r="E2155" s="4" t="s">
        <v>3119</v>
      </c>
      <c r="F2155" s="5">
        <v>46065.999664351853</v>
      </c>
      <c r="G2155" s="16" t="str">
        <f t="shared" si="165"/>
        <v>Silica Sand</v>
      </c>
      <c r="H2155" s="4" t="s">
        <v>2970</v>
      </c>
      <c r="I2155" s="18" t="str" cm="1">
        <f t="array" ref="I2155">_xlfn.LET(_xlpm.text, D2155,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5" s="18" t="str" cm="1">
        <f t="array" ref="J2155">_xlfn.LET(_xlpm.text, E2155,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5" s="14">
        <f t="shared" si="166"/>
        <v>46066</v>
      </c>
      <c r="L2155" s="14">
        <f t="shared" si="167"/>
        <v>46066.624664351853</v>
      </c>
      <c r="N2155" s="12"/>
    </row>
    <row r="2156" spans="1:14" x14ac:dyDescent="0.25">
      <c r="A2156" s="4" t="s">
        <v>2186</v>
      </c>
      <c r="B2156" s="16" t="str">
        <f t="shared" si="163"/>
        <v>MANOJ NAYAK</v>
      </c>
      <c r="C2156" s="16" t="str">
        <f t="shared" si="164"/>
        <v>Gangapura Chak No.7 / Kolayat / Bikaner</v>
      </c>
      <c r="D2156" s="4" t="s">
        <v>3033</v>
      </c>
      <c r="E2156" s="4" t="s">
        <v>3119</v>
      </c>
      <c r="F2156" s="5">
        <v>46065.999664351853</v>
      </c>
      <c r="G2156" s="16" t="str">
        <f t="shared" si="165"/>
        <v>Silica Sand</v>
      </c>
      <c r="H2156" s="4" t="s">
        <v>2946</v>
      </c>
      <c r="I2156" s="18" t="str" cm="1">
        <f t="array" ref="I2156">_xlfn.LET(_xlpm.text, D2156,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6" s="18" t="str" cm="1">
        <f t="array" ref="J2156">_xlfn.LET(_xlpm.text, E2156,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6" s="14">
        <f t="shared" si="166"/>
        <v>46066</v>
      </c>
      <c r="L2156" s="14">
        <f t="shared" si="167"/>
        <v>46066.624664351853</v>
      </c>
      <c r="N2156" s="12"/>
    </row>
    <row r="2157" spans="1:14" x14ac:dyDescent="0.25">
      <c r="A2157" s="4" t="s">
        <v>2187</v>
      </c>
      <c r="B2157" s="16" t="str">
        <f t="shared" si="163"/>
        <v>S.R.MINES AND MINERLS</v>
      </c>
      <c r="C2157" s="16" t="str">
        <f t="shared" si="164"/>
        <v>Indo Ka Bala / Kolayat / Bikaner</v>
      </c>
      <c r="D2157" s="4" t="s">
        <v>3033</v>
      </c>
      <c r="E2157" s="4" t="s">
        <v>3119</v>
      </c>
      <c r="F2157" s="5">
        <v>46063.999664351853</v>
      </c>
      <c r="G2157" s="16" t="str">
        <f t="shared" si="165"/>
        <v>Silica Sand</v>
      </c>
      <c r="H2157" s="4" t="s">
        <v>2947</v>
      </c>
      <c r="I2157" s="18" t="str" cm="1">
        <f t="array" ref="I2157">_xlfn.LET(_xlpm.text, D2157,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7" s="18" t="str" cm="1">
        <f t="array" ref="J2157">_xlfn.LET(_xlpm.text, E2157,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7" s="14">
        <f t="shared" si="166"/>
        <v>46064</v>
      </c>
      <c r="L2157" s="14">
        <f t="shared" si="167"/>
        <v>46064.624664351853</v>
      </c>
      <c r="N2157" s="12"/>
    </row>
    <row r="2158" spans="1:14" x14ac:dyDescent="0.25">
      <c r="A2158" s="4" t="s">
        <v>2188</v>
      </c>
      <c r="B2158" s="16" t="str">
        <f t="shared" si="163"/>
        <v>S.R.MINES AND MINERLS</v>
      </c>
      <c r="C2158" s="16" t="str">
        <f t="shared" si="164"/>
        <v>Indo Ka Bala / Kolayat / Bikaner</v>
      </c>
      <c r="D2158" s="4" t="s">
        <v>3033</v>
      </c>
      <c r="E2158" s="4" t="s">
        <v>3119</v>
      </c>
      <c r="F2158" s="5">
        <v>46065.999664351853</v>
      </c>
      <c r="G2158" s="16" t="str">
        <f t="shared" si="165"/>
        <v>Silica Sand</v>
      </c>
      <c r="H2158" s="4" t="s">
        <v>2946</v>
      </c>
      <c r="I2158" s="18" t="str" cm="1">
        <f t="array" ref="I2158">_xlfn.LET(_xlpm.text, D2158,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8" s="18" t="str" cm="1">
        <f t="array" ref="J2158">_xlfn.LET(_xlpm.text, E2158,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8" s="14">
        <f t="shared" si="166"/>
        <v>46066</v>
      </c>
      <c r="L2158" s="14">
        <f t="shared" si="167"/>
        <v>46066.624664351853</v>
      </c>
      <c r="N2158" s="12"/>
    </row>
    <row r="2159" spans="1:14" x14ac:dyDescent="0.25">
      <c r="A2159" s="4" t="s">
        <v>2189</v>
      </c>
      <c r="B2159" s="16" t="str">
        <f t="shared" si="163"/>
        <v>S.R.MINES AND MINERLS</v>
      </c>
      <c r="C2159" s="16" t="str">
        <f t="shared" si="164"/>
        <v>Indo Ka Bala / Kolayat / Bikaner</v>
      </c>
      <c r="D2159" s="4" t="s">
        <v>3033</v>
      </c>
      <c r="E2159" s="4" t="s">
        <v>3119</v>
      </c>
      <c r="F2159" s="5">
        <v>46066.999664351853</v>
      </c>
      <c r="G2159" s="16" t="str">
        <f t="shared" si="165"/>
        <v>Silica Sand</v>
      </c>
      <c r="H2159" s="4" t="s">
        <v>3018</v>
      </c>
      <c r="I2159" s="18" t="str" cm="1">
        <f t="array" ref="I2159">_xlfn.LET(_xlpm.text, D2159,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59" s="18" t="str" cm="1">
        <f t="array" ref="J2159">_xlfn.LET(_xlpm.text, E2159,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59" s="14">
        <f t="shared" si="166"/>
        <v>46067</v>
      </c>
      <c r="L2159" s="14">
        <f t="shared" si="167"/>
        <v>46067.624664351853</v>
      </c>
      <c r="N2159" s="12"/>
    </row>
    <row r="2160" spans="1:14" x14ac:dyDescent="0.25">
      <c r="A2160" s="4" t="s">
        <v>2190</v>
      </c>
      <c r="B2160" s="16" t="str">
        <f t="shared" si="163"/>
        <v>MANOJ NAYAK</v>
      </c>
      <c r="C2160" s="16" t="str">
        <f t="shared" si="164"/>
        <v>Gangapura Chak No.7 / Kolayat / Bikaner</v>
      </c>
      <c r="D2160" s="4" t="s">
        <v>3033</v>
      </c>
      <c r="E2160" s="4" t="s">
        <v>3119</v>
      </c>
      <c r="F2160" s="5">
        <v>46065.999664351853</v>
      </c>
      <c r="G2160" s="16" t="str">
        <f t="shared" si="165"/>
        <v>Silica Sand</v>
      </c>
      <c r="H2160" s="4" t="s">
        <v>2946</v>
      </c>
      <c r="I2160" s="18" t="str" cm="1">
        <f t="array" ref="I2160">_xlfn.LET(_xlpm.text, D2160, _xlpm.L, LEN(_xlpm.text), _xlfn.CONCAT(_xlfn.MAP(_xlfn.SEQUENCE(_xlpm.L), _xlfn.LAMBDA(_xlpm.i, _xlfn.LET(_xlpm.char, MID(_xlpm.text, _xlpm.i, 1), IF(OR(_xlpm.i=1, _xlpm.i=_xlpm.L, _xlpm.char=" "), _xlpm.char, "X"))))))</f>
        <v>AXX XXXXXXXXXXXX XXXXXXY</v>
      </c>
      <c r="J2160" s="18" t="str" cm="1">
        <f t="array" ref="J2160">_xlfn.LET(_xlpm.text, E2160,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0" s="14">
        <f t="shared" si="166"/>
        <v>46066</v>
      </c>
      <c r="L2160" s="14">
        <f t="shared" si="167"/>
        <v>46066.624664351853</v>
      </c>
      <c r="N2160" s="12"/>
    </row>
    <row r="2161" spans="1:14" x14ac:dyDescent="0.25">
      <c r="A2161" s="4" t="s">
        <v>2191</v>
      </c>
      <c r="B2161" s="16" t="str">
        <f t="shared" si="163"/>
        <v>S.R.MINES AND MINERLS</v>
      </c>
      <c r="C2161" s="16" t="str">
        <f t="shared" si="164"/>
        <v>Indo Ka Bala / Kolayat / Bikaner</v>
      </c>
      <c r="D2161" s="4" t="s">
        <v>3031</v>
      </c>
      <c r="E2161" s="4" t="s">
        <v>3119</v>
      </c>
      <c r="F2161" s="5">
        <v>46098.999664351853</v>
      </c>
      <c r="G2161" s="16" t="str">
        <f t="shared" si="165"/>
        <v>Silica Sand</v>
      </c>
      <c r="H2161" s="4" t="s">
        <v>3019</v>
      </c>
      <c r="I2161" s="18" t="str" cm="1">
        <f t="array" ref="I2161">_xlfn.LET(_xlpm.text, D2161,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1" s="18" t="str" cm="1">
        <f t="array" ref="J2161">_xlfn.LET(_xlpm.text, E2161,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1" s="14">
        <f t="shared" si="166"/>
        <v>46099</v>
      </c>
      <c r="L2161" s="14">
        <f t="shared" si="167"/>
        <v>46099.624664351853</v>
      </c>
      <c r="N2161" s="12"/>
    </row>
    <row r="2162" spans="1:14" x14ac:dyDescent="0.25">
      <c r="A2162" s="4" t="s">
        <v>2192</v>
      </c>
      <c r="B2162" s="16" t="str">
        <f t="shared" si="163"/>
        <v>S.R.MINES AND MINERLS</v>
      </c>
      <c r="C2162" s="16" t="str">
        <f t="shared" si="164"/>
        <v>Indo Ka Bala / Kolayat / Bikaner</v>
      </c>
      <c r="D2162" s="4" t="s">
        <v>3031</v>
      </c>
      <c r="E2162" s="4" t="s">
        <v>3119</v>
      </c>
      <c r="F2162" s="5">
        <v>46098.999664351853</v>
      </c>
      <c r="G2162" s="16" t="str">
        <f t="shared" si="165"/>
        <v>Silica Sand</v>
      </c>
      <c r="H2162" s="4" t="s">
        <v>3020</v>
      </c>
      <c r="I2162" s="18" t="str" cm="1">
        <f t="array" ref="I2162">_xlfn.LET(_xlpm.text, D2162,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2" s="18" t="str" cm="1">
        <f t="array" ref="J2162">_xlfn.LET(_xlpm.text, E2162,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2" s="14">
        <f t="shared" si="166"/>
        <v>46099</v>
      </c>
      <c r="L2162" s="14">
        <f t="shared" si="167"/>
        <v>46099.624664351853</v>
      </c>
      <c r="N2162" s="12"/>
    </row>
    <row r="2163" spans="1:14" x14ac:dyDescent="0.25">
      <c r="A2163" s="4" t="s">
        <v>2193</v>
      </c>
      <c r="B2163" s="16" t="str">
        <f t="shared" si="163"/>
        <v>S.R.MINES AND MINERLS</v>
      </c>
      <c r="C2163" s="16" t="str">
        <f t="shared" si="164"/>
        <v>Indo Ka Bala / Kolayat / Bikaner</v>
      </c>
      <c r="D2163" s="4" t="s">
        <v>3031</v>
      </c>
      <c r="E2163" s="4" t="s">
        <v>3119</v>
      </c>
      <c r="F2163" s="5">
        <v>46098.999664351853</v>
      </c>
      <c r="G2163" s="16" t="str">
        <f t="shared" si="165"/>
        <v>Silica Sand</v>
      </c>
      <c r="H2163" s="4" t="s">
        <v>3021</v>
      </c>
      <c r="I2163" s="18" t="str" cm="1">
        <f t="array" ref="I2163">_xlfn.LET(_xlpm.text, D2163,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3" s="18" t="str" cm="1">
        <f t="array" ref="J2163">_xlfn.LET(_xlpm.text, E2163,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3" s="14">
        <f t="shared" si="166"/>
        <v>46099</v>
      </c>
      <c r="L2163" s="14">
        <f t="shared" si="167"/>
        <v>46099.624664351853</v>
      </c>
      <c r="N2163" s="12"/>
    </row>
    <row r="2164" spans="1:14" x14ac:dyDescent="0.25">
      <c r="A2164" s="4" t="s">
        <v>2194</v>
      </c>
      <c r="B2164" s="16" t="str">
        <f t="shared" si="163"/>
        <v>S.R.MINES AND MINERLS</v>
      </c>
      <c r="C2164" s="16" t="str">
        <f t="shared" si="164"/>
        <v>Indo Ka Bala / Kolayat / Bikaner</v>
      </c>
      <c r="D2164" s="4" t="s">
        <v>3031</v>
      </c>
      <c r="E2164" s="4" t="s">
        <v>3119</v>
      </c>
      <c r="F2164" s="5">
        <v>46098.999664351853</v>
      </c>
      <c r="G2164" s="16" t="str">
        <f t="shared" si="165"/>
        <v>Silica Sand</v>
      </c>
      <c r="H2164" s="4" t="s">
        <v>3022</v>
      </c>
      <c r="I2164" s="18" t="str" cm="1">
        <f t="array" ref="I2164">_xlfn.LET(_xlpm.text, D2164,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4" s="18" t="str" cm="1">
        <f t="array" ref="J2164">_xlfn.LET(_xlpm.text, E2164,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4" s="14">
        <f t="shared" si="166"/>
        <v>46099</v>
      </c>
      <c r="L2164" s="14">
        <f t="shared" si="167"/>
        <v>46099.624664351853</v>
      </c>
      <c r="N2164" s="12"/>
    </row>
    <row r="2165" spans="1:14" x14ac:dyDescent="0.25">
      <c r="A2165" s="4" t="s">
        <v>2195</v>
      </c>
      <c r="B2165" s="16" t="str">
        <f t="shared" si="163"/>
        <v>S.R.MINES AND MINERLS</v>
      </c>
      <c r="C2165" s="16" t="str">
        <f t="shared" si="164"/>
        <v>Indo Ka Bala / Kolayat / Bikaner</v>
      </c>
      <c r="D2165" s="4" t="s">
        <v>3031</v>
      </c>
      <c r="E2165" s="4" t="s">
        <v>3119</v>
      </c>
      <c r="F2165" s="5">
        <v>46098.999664351853</v>
      </c>
      <c r="G2165" s="16" t="str">
        <f t="shared" si="165"/>
        <v>Silica Sand</v>
      </c>
      <c r="H2165" s="4" t="s">
        <v>3023</v>
      </c>
      <c r="I2165" s="18" t="str" cm="1">
        <f t="array" ref="I2165">_xlfn.LET(_xlpm.text, D2165,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5" s="18" t="str" cm="1">
        <f t="array" ref="J2165">_xlfn.LET(_xlpm.text, E2165,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5" s="14">
        <f t="shared" si="166"/>
        <v>46099</v>
      </c>
      <c r="L2165" s="14">
        <f t="shared" si="167"/>
        <v>46099.624664351853</v>
      </c>
      <c r="N2165" s="12"/>
    </row>
    <row r="2166" spans="1:14" x14ac:dyDescent="0.25">
      <c r="A2166" s="4" t="s">
        <v>2196</v>
      </c>
      <c r="B2166" s="16" t="str">
        <f t="shared" si="163"/>
        <v>S.R.MINES AND MINERLS</v>
      </c>
      <c r="C2166" s="16" t="str">
        <f t="shared" si="164"/>
        <v>Indo Ka Bala / Kolayat / Bikaner</v>
      </c>
      <c r="D2166" s="4" t="s">
        <v>3031</v>
      </c>
      <c r="E2166" s="4" t="s">
        <v>3119</v>
      </c>
      <c r="F2166" s="5">
        <v>46098.999664351853</v>
      </c>
      <c r="G2166" s="16" t="str">
        <f t="shared" si="165"/>
        <v>Silica Sand</v>
      </c>
      <c r="H2166" s="4" t="s">
        <v>2985</v>
      </c>
      <c r="I2166" s="18" t="str" cm="1">
        <f t="array" ref="I2166">_xlfn.LET(_xlpm.text, D2166,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6" s="18" t="str" cm="1">
        <f t="array" ref="J2166">_xlfn.LET(_xlpm.text, E2166,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6" s="14">
        <f t="shared" si="166"/>
        <v>46099</v>
      </c>
      <c r="L2166" s="14">
        <f t="shared" si="167"/>
        <v>46099.624664351853</v>
      </c>
      <c r="N2166" s="12"/>
    </row>
    <row r="2167" spans="1:14" x14ac:dyDescent="0.25">
      <c r="A2167" s="4" t="s">
        <v>2197</v>
      </c>
      <c r="B2167" s="16" t="str">
        <f t="shared" si="163"/>
        <v>S.R.MINES AND MINERLS</v>
      </c>
      <c r="C2167" s="16" t="str">
        <f t="shared" si="164"/>
        <v>Indo Ka Bala / Kolayat / Bikaner</v>
      </c>
      <c r="D2167" s="4" t="s">
        <v>3031</v>
      </c>
      <c r="E2167" s="4" t="s">
        <v>3119</v>
      </c>
      <c r="F2167" s="5">
        <v>46098.999664351853</v>
      </c>
      <c r="G2167" s="16" t="str">
        <f t="shared" si="165"/>
        <v>Silica Sand</v>
      </c>
      <c r="H2167" s="4" t="s">
        <v>427</v>
      </c>
      <c r="I2167" s="18" t="str" cm="1">
        <f t="array" ref="I2167">_xlfn.LET(_xlpm.text, D2167,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7" s="18" t="str" cm="1">
        <f t="array" ref="J2167">_xlfn.LET(_xlpm.text, E2167,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7" s="14">
        <f t="shared" si="166"/>
        <v>46099</v>
      </c>
      <c r="L2167" s="14">
        <f t="shared" si="167"/>
        <v>46099.624664351853</v>
      </c>
      <c r="N2167" s="12"/>
    </row>
    <row r="2168" spans="1:14" x14ac:dyDescent="0.25">
      <c r="A2168" s="4" t="s">
        <v>2198</v>
      </c>
      <c r="B2168" s="16" t="str">
        <f t="shared" si="163"/>
        <v>S.R.MINES AND MINERLS</v>
      </c>
      <c r="C2168" s="16" t="str">
        <f t="shared" si="164"/>
        <v>Indo Ka Bala / Kolayat / Bikaner</v>
      </c>
      <c r="D2168" s="4" t="s">
        <v>3031</v>
      </c>
      <c r="E2168" s="4" t="s">
        <v>3119</v>
      </c>
      <c r="F2168" s="5">
        <v>46098.999664351853</v>
      </c>
      <c r="G2168" s="16" t="str">
        <f t="shared" si="165"/>
        <v>Silica Sand</v>
      </c>
      <c r="H2168" s="4" t="s">
        <v>3024</v>
      </c>
      <c r="I2168" s="18" t="str" cm="1">
        <f t="array" ref="I2168">_xlfn.LET(_xlpm.text, D2168,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8" s="18" t="str" cm="1">
        <f t="array" ref="J2168">_xlfn.LET(_xlpm.text, E2168,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8" s="14">
        <f t="shared" si="166"/>
        <v>46099</v>
      </c>
      <c r="L2168" s="14">
        <f t="shared" si="167"/>
        <v>46099.624664351853</v>
      </c>
      <c r="N2168" s="12"/>
    </row>
    <row r="2169" spans="1:14" x14ac:dyDescent="0.25">
      <c r="A2169" s="4" t="s">
        <v>2199</v>
      </c>
      <c r="B2169" s="16" t="str">
        <f t="shared" si="163"/>
        <v>S.R.MINES AND MINERLS</v>
      </c>
      <c r="C2169" s="16" t="str">
        <f t="shared" si="164"/>
        <v>Indo Ka Bala / Kolayat / Bikaner</v>
      </c>
      <c r="D2169" s="4" t="s">
        <v>3031</v>
      </c>
      <c r="E2169" s="4" t="s">
        <v>3119</v>
      </c>
      <c r="F2169" s="5">
        <v>46098.999664351853</v>
      </c>
      <c r="G2169" s="16" t="str">
        <f t="shared" si="165"/>
        <v>Silica Sand</v>
      </c>
      <c r="H2169" s="4" t="s">
        <v>2985</v>
      </c>
      <c r="I2169" s="18" t="str" cm="1">
        <f t="array" ref="I2169">_xlfn.LET(_xlpm.text, D2169,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69" s="18" t="str" cm="1">
        <f t="array" ref="J2169">_xlfn.LET(_xlpm.text, E2169,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69" s="14">
        <f t="shared" si="166"/>
        <v>46099</v>
      </c>
      <c r="L2169" s="14">
        <f t="shared" si="167"/>
        <v>46099.624664351853</v>
      </c>
      <c r="N2169" s="12"/>
    </row>
    <row r="2170" spans="1:14" x14ac:dyDescent="0.25">
      <c r="A2170" s="4" t="s">
        <v>2200</v>
      </c>
      <c r="B2170" s="16" t="str">
        <f t="shared" si="163"/>
        <v>S.R.MINES AND MINERLS</v>
      </c>
      <c r="C2170" s="16" t="str">
        <f t="shared" si="164"/>
        <v>Indo Ka Bala / Kolayat / Bikaner</v>
      </c>
      <c r="D2170" s="4" t="s">
        <v>3031</v>
      </c>
      <c r="E2170" s="4" t="s">
        <v>3119</v>
      </c>
      <c r="F2170" s="5">
        <v>46098.999664351853</v>
      </c>
      <c r="G2170" s="16" t="str">
        <f t="shared" si="165"/>
        <v>Silica Sand</v>
      </c>
      <c r="H2170" s="4" t="s">
        <v>3025</v>
      </c>
      <c r="I2170" s="18" t="str" cm="1">
        <f t="array" ref="I2170">_xlfn.LET(_xlpm.text, D2170,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70" s="18" t="str" cm="1">
        <f t="array" ref="J2170">_xlfn.LET(_xlpm.text, E2170,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0" s="14">
        <f t="shared" si="166"/>
        <v>46099</v>
      </c>
      <c r="L2170" s="14">
        <f t="shared" si="167"/>
        <v>46099.624664351853</v>
      </c>
      <c r="N2170" s="12"/>
    </row>
    <row r="2171" spans="1:14" x14ac:dyDescent="0.25">
      <c r="A2171" s="4" t="s">
        <v>2201</v>
      </c>
      <c r="B2171" s="16" t="str">
        <f t="shared" si="163"/>
        <v>S.R.MINES AND MINERLS</v>
      </c>
      <c r="C2171" s="16" t="str">
        <f t="shared" si="164"/>
        <v>Indo Ka Bala / Kolayat / Bikaner</v>
      </c>
      <c r="D2171" s="4" t="s">
        <v>3031</v>
      </c>
      <c r="E2171" s="4" t="s">
        <v>3119</v>
      </c>
      <c r="F2171" s="5">
        <v>46098.999664351853</v>
      </c>
      <c r="G2171" s="16" t="str">
        <f t="shared" si="165"/>
        <v>Silica Sand</v>
      </c>
      <c r="H2171" s="4" t="s">
        <v>3026</v>
      </c>
      <c r="I2171" s="18" t="str" cm="1">
        <f t="array" ref="I2171">_xlfn.LET(_xlpm.text, D2171,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71" s="18" t="str" cm="1">
        <f t="array" ref="J2171">_xlfn.LET(_xlpm.text, E2171,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1" s="14">
        <f t="shared" si="166"/>
        <v>46099</v>
      </c>
      <c r="L2171" s="14">
        <f t="shared" si="167"/>
        <v>46099.624664351853</v>
      </c>
      <c r="N2171" s="12"/>
    </row>
    <row r="2172" spans="1:14" x14ac:dyDescent="0.25">
      <c r="A2172" s="4" t="s">
        <v>2202</v>
      </c>
      <c r="B2172" s="16" t="str">
        <f t="shared" si="163"/>
        <v>S.R.MINES AND MINERLS</v>
      </c>
      <c r="C2172" s="16" t="str">
        <f t="shared" si="164"/>
        <v>Indo Ka Bala / Kolayat / Bikaner</v>
      </c>
      <c r="D2172" s="4" t="s">
        <v>3031</v>
      </c>
      <c r="E2172" s="4" t="s">
        <v>3119</v>
      </c>
      <c r="F2172" s="5">
        <v>46097.999664351853</v>
      </c>
      <c r="G2172" s="16" t="str">
        <f t="shared" si="165"/>
        <v>Silica Sand</v>
      </c>
      <c r="H2172" s="4" t="s">
        <v>3027</v>
      </c>
      <c r="I2172" s="18" t="str" cm="1">
        <f t="array" ref="I2172">_xlfn.LET(_xlpm.text, D2172,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72" s="18" t="str" cm="1">
        <f t="array" ref="J2172">_xlfn.LET(_xlpm.text, E2172,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2" s="14">
        <f t="shared" si="166"/>
        <v>46098</v>
      </c>
      <c r="L2172" s="14">
        <f t="shared" si="167"/>
        <v>46098.624664351853</v>
      </c>
      <c r="N2172" s="12"/>
    </row>
    <row r="2173" spans="1:14" x14ac:dyDescent="0.25">
      <c r="A2173" s="4" t="s">
        <v>2203</v>
      </c>
      <c r="B2173" s="16" t="str">
        <f t="shared" si="163"/>
        <v>S.R.MINES AND MINERLS</v>
      </c>
      <c r="C2173" s="16" t="str">
        <f t="shared" si="164"/>
        <v>Indo Ka Bala / Kolayat / Bikaner</v>
      </c>
      <c r="D2173" s="4" t="s">
        <v>3031</v>
      </c>
      <c r="E2173" s="4" t="s">
        <v>3119</v>
      </c>
      <c r="F2173" s="5">
        <v>46097.999664351853</v>
      </c>
      <c r="G2173" s="16" t="str">
        <f t="shared" si="165"/>
        <v>Silica Sand</v>
      </c>
      <c r="H2173" s="4" t="s">
        <v>3028</v>
      </c>
      <c r="I2173" s="18" t="str" cm="1">
        <f t="array" ref="I2173">_xlfn.LET(_xlpm.text, D2173, _xlpm.L, LEN(_xlpm.text), _xlfn.CONCAT(_xlfn.MAP(_xlfn.SEQUENCE(_xlpm.L), _xlfn.LAMBDA(_xlpm.i, _xlfn.LET(_xlpm.char, MID(_xlpm.text, _xlpm.i, 1), IF(OR(_xlpm.i=1, _xlpm.i=_xlpm.L, _xlpm.char=" "), _xlpm.char, "X"))))))</f>
        <v>RXXXXXX XXXXA</v>
      </c>
      <c r="J2173" s="18" t="str" cm="1">
        <f t="array" ref="J2173">_xlfn.LET(_xlpm.text, E2173,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3" s="14">
        <f t="shared" si="166"/>
        <v>46098</v>
      </c>
      <c r="L2173" s="14">
        <f t="shared" si="167"/>
        <v>46098.624664351853</v>
      </c>
      <c r="N2173" s="12"/>
    </row>
    <row r="2174" spans="1:14" x14ac:dyDescent="0.25">
      <c r="A2174" s="4" t="s">
        <v>2204</v>
      </c>
      <c r="B2174" s="16" t="str">
        <f t="shared" si="163"/>
        <v>M/s SHREE VISHNU MINERALS</v>
      </c>
      <c r="C2174" s="16" t="str">
        <f t="shared" si="164"/>
        <v>Mokha Charnan / Kolayat / Bikaner</v>
      </c>
      <c r="D2174" s="4" t="s">
        <v>3034</v>
      </c>
      <c r="E2174" s="4" t="s">
        <v>3119</v>
      </c>
      <c r="F2174" s="5">
        <v>46098.999664351853</v>
      </c>
      <c r="G2174" s="16" t="str">
        <f t="shared" si="165"/>
        <v>Silica Sand</v>
      </c>
      <c r="H2174" s="4" t="s">
        <v>2882</v>
      </c>
      <c r="I2174" s="18" t="str" cm="1">
        <f t="array" ref="I2174">_xlfn.LET(_xlpm.text, D2174,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74" s="18" t="str" cm="1">
        <f t="array" ref="J2174">_xlfn.LET(_xlpm.text, E2174,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4" s="14">
        <f t="shared" si="166"/>
        <v>46099</v>
      </c>
      <c r="L2174" s="14">
        <f t="shared" si="167"/>
        <v>46099.624664351853</v>
      </c>
      <c r="N2174" s="12"/>
    </row>
    <row r="2175" spans="1:14" x14ac:dyDescent="0.25">
      <c r="A2175" s="4" t="s">
        <v>2205</v>
      </c>
      <c r="B2175" s="16" t="str">
        <f t="shared" si="163"/>
        <v>M/s SHREE VISHNU MINERALS</v>
      </c>
      <c r="C2175" s="16" t="str">
        <f t="shared" si="164"/>
        <v>Mokha Charnan / Kolayat / Bikaner</v>
      </c>
      <c r="D2175" s="4" t="s">
        <v>3034</v>
      </c>
      <c r="E2175" s="4" t="s">
        <v>3119</v>
      </c>
      <c r="F2175" s="5">
        <v>46105.999664351853</v>
      </c>
      <c r="G2175" s="16" t="str">
        <f t="shared" si="165"/>
        <v>Silica Sand</v>
      </c>
      <c r="H2175" s="4" t="s">
        <v>2882</v>
      </c>
      <c r="I2175" s="18" t="str" cm="1">
        <f t="array" ref="I2175">_xlfn.LET(_xlpm.text, D2175,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75" s="18" t="str" cm="1">
        <f t="array" ref="J2175">_xlfn.LET(_xlpm.text, E2175,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5" s="14">
        <f t="shared" si="166"/>
        <v>46106</v>
      </c>
      <c r="L2175" s="14">
        <f t="shared" si="167"/>
        <v>46106.624664351853</v>
      </c>
      <c r="N2175" s="12"/>
    </row>
    <row r="2176" spans="1:14" x14ac:dyDescent="0.25">
      <c r="A2176" s="4" t="s">
        <v>2206</v>
      </c>
      <c r="B2176" s="16" t="str">
        <f t="shared" si="163"/>
        <v>M/s SHREE VISHNU MINERALS</v>
      </c>
      <c r="C2176" s="16" t="str">
        <f t="shared" si="164"/>
        <v>Mokha Charnan / Kolayat / Bikaner</v>
      </c>
      <c r="D2176" s="4" t="s">
        <v>3034</v>
      </c>
      <c r="E2176" s="4" t="s">
        <v>3119</v>
      </c>
      <c r="F2176" s="5">
        <v>46105.999664351853</v>
      </c>
      <c r="G2176" s="16" t="str">
        <f t="shared" si="165"/>
        <v>Silica Sand</v>
      </c>
      <c r="H2176" s="4" t="s">
        <v>2882</v>
      </c>
      <c r="I2176" s="18" t="str" cm="1">
        <f t="array" ref="I2176">_xlfn.LET(_xlpm.text, D2176,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76" s="18" t="str" cm="1">
        <f t="array" ref="J2176">_xlfn.LET(_xlpm.text, E2176,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6" s="14">
        <f t="shared" si="166"/>
        <v>46106</v>
      </c>
      <c r="L2176" s="14">
        <f t="shared" si="167"/>
        <v>46106.624664351853</v>
      </c>
      <c r="N2176" s="12"/>
    </row>
    <row r="2177" spans="1:14" x14ac:dyDescent="0.25">
      <c r="A2177" s="4" t="s">
        <v>2207</v>
      </c>
      <c r="B2177" s="16" t="str">
        <f t="shared" si="163"/>
        <v>M/s SHREE VISHNU MINERALS</v>
      </c>
      <c r="C2177" s="16" t="str">
        <f t="shared" si="164"/>
        <v>Mokha Charnan / Kolayat / Bikaner</v>
      </c>
      <c r="D2177" s="4" t="s">
        <v>3034</v>
      </c>
      <c r="E2177" s="4" t="s">
        <v>3119</v>
      </c>
      <c r="F2177" s="5">
        <v>46090.999664351853</v>
      </c>
      <c r="G2177" s="16" t="str">
        <f t="shared" si="165"/>
        <v>Silica Sand</v>
      </c>
      <c r="H2177" s="4" t="s">
        <v>2882</v>
      </c>
      <c r="I2177" s="18" t="str" cm="1">
        <f t="array" ref="I2177">_xlfn.LET(_xlpm.text, D2177,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77" s="18" t="str" cm="1">
        <f t="array" ref="J2177">_xlfn.LET(_xlpm.text, E2177,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7" s="14">
        <f t="shared" si="166"/>
        <v>46091</v>
      </c>
      <c r="L2177" s="14">
        <f t="shared" si="167"/>
        <v>46091.624664351853</v>
      </c>
      <c r="N2177" s="12"/>
    </row>
    <row r="2178" spans="1:14" x14ac:dyDescent="0.25">
      <c r="A2178" s="4" t="s">
        <v>2208</v>
      </c>
      <c r="B2178" s="16" t="str">
        <f t="shared" ref="B2178:B2200" si="168">VLOOKUP(LEFT($A2178,4)&amp;"*",$O$3:$R$17, 2, FALSE)</f>
        <v>M/s SHREE VISHNU MINERALS</v>
      </c>
      <c r="C2178" s="16" t="str">
        <f t="shared" ref="C2178:C2200" si="169">VLOOKUP(LEFT($A2178,4)&amp;"*",$O$3:$R$17, 3, FALSE)</f>
        <v>Mokha Charnan / Kolayat / Bikaner</v>
      </c>
      <c r="D2178" s="4" t="s">
        <v>3034</v>
      </c>
      <c r="E2178" s="4" t="s">
        <v>3119</v>
      </c>
      <c r="F2178" s="5">
        <v>46097.999664351853</v>
      </c>
      <c r="G2178" s="16" t="str">
        <f t="shared" ref="G2178:G2200" si="170">VLOOKUP(LEFT($A2178,4)&amp;"*",$O$3:$R$17, 4, FALSE)</f>
        <v>Silica Sand</v>
      </c>
      <c r="H2178" s="4" t="s">
        <v>2882</v>
      </c>
      <c r="I2178" s="18" t="str" cm="1">
        <f t="array" ref="I2178">_xlfn.LET(_xlpm.text, D2178, _xlpm.L, LEN(_xlpm.text), _xlfn.CONCAT(_xlfn.MAP(_xlfn.SEQUENCE(_xlpm.L), _xlfn.LAMBDA(_xlpm.i, _xlfn.LET(_xlpm.char, MID(_xlpm.text, _xlpm.i, 1), IF(OR(_xlpm.i=1, _xlpm.i=_xlpm.L, _xlpm.char=" "), _xlpm.char, "X"))))))</f>
        <v>KXXXXX XXXXXXXXXXXX XXXXXXY</v>
      </c>
      <c r="J2178" s="18" t="str" cm="1">
        <f t="array" ref="J2178">_xlfn.LET(_xlpm.text, E2178,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8" s="14">
        <f t="shared" si="166"/>
        <v>46098</v>
      </c>
      <c r="L2178" s="14">
        <f t="shared" si="167"/>
        <v>46098.624664351853</v>
      </c>
      <c r="N2178" s="12"/>
    </row>
    <row r="2179" spans="1:14" x14ac:dyDescent="0.25">
      <c r="A2179" s="4" t="s">
        <v>2209</v>
      </c>
      <c r="B2179" s="16" t="str">
        <f t="shared" si="168"/>
        <v>M/s SHREE VISHNU MINERALS</v>
      </c>
      <c r="C2179" s="16" t="str">
        <f t="shared" si="169"/>
        <v>Mokha Charnan / Kolayat / Bikaner</v>
      </c>
      <c r="D2179" s="4" t="s">
        <v>3035</v>
      </c>
      <c r="E2179" s="4" t="s">
        <v>3119</v>
      </c>
      <c r="F2179" s="5">
        <v>46099.999664351853</v>
      </c>
      <c r="G2179" s="16" t="str">
        <f t="shared" si="170"/>
        <v>Silica Sand</v>
      </c>
      <c r="H2179" s="4" t="s">
        <v>2611</v>
      </c>
      <c r="I2179" s="18" t="str" cm="1">
        <f t="array" ref="I2179">_xlfn.LET(_xlpm.text, D2179,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79" s="18" t="str" cm="1">
        <f t="array" ref="J2179">_xlfn.LET(_xlpm.text, E2179,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79" s="14">
        <f t="shared" ref="K2179:K2201" si="171">F2179+(29/86400)</f>
        <v>46100</v>
      </c>
      <c r="L2179" s="14">
        <f t="shared" ref="L2179:L2201" si="172">F2179+(15/24)</f>
        <v>46100.624664351853</v>
      </c>
      <c r="N2179" s="12"/>
    </row>
    <row r="2180" spans="1:14" x14ac:dyDescent="0.25">
      <c r="A2180" s="4" t="s">
        <v>2210</v>
      </c>
      <c r="B2180" s="16" t="str">
        <f t="shared" si="168"/>
        <v>M/s SHREE VISHNU MINERALS</v>
      </c>
      <c r="C2180" s="16" t="str">
        <f t="shared" si="169"/>
        <v>Mokha Charnan / Kolayat / Bikaner</v>
      </c>
      <c r="D2180" s="4" t="s">
        <v>3035</v>
      </c>
      <c r="E2180" s="4" t="s">
        <v>3119</v>
      </c>
      <c r="F2180" s="5">
        <v>46101.999664351853</v>
      </c>
      <c r="G2180" s="16" t="str">
        <f t="shared" si="170"/>
        <v>Silica Sand</v>
      </c>
      <c r="H2180" s="4" t="s">
        <v>2611</v>
      </c>
      <c r="I2180" s="18" t="str" cm="1">
        <f t="array" ref="I2180">_xlfn.LET(_xlpm.text, D2180,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0" s="18" t="str" cm="1">
        <f t="array" ref="J2180">_xlfn.LET(_xlpm.text, E2180,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0" s="14">
        <f t="shared" si="171"/>
        <v>46102</v>
      </c>
      <c r="L2180" s="14">
        <f t="shared" si="172"/>
        <v>46102.624664351853</v>
      </c>
      <c r="N2180" s="12"/>
    </row>
    <row r="2181" spans="1:14" x14ac:dyDescent="0.25">
      <c r="A2181" s="4" t="s">
        <v>2211</v>
      </c>
      <c r="B2181" s="16" t="str">
        <f t="shared" si="168"/>
        <v>M/s SHREE VISHNU MINERALS</v>
      </c>
      <c r="C2181" s="16" t="str">
        <f t="shared" si="169"/>
        <v>Mokha Charnan / Kolayat / Bikaner</v>
      </c>
      <c r="D2181" s="4" t="s">
        <v>3035</v>
      </c>
      <c r="E2181" s="4" t="s">
        <v>3119</v>
      </c>
      <c r="F2181" s="5">
        <v>46097.999664351853</v>
      </c>
      <c r="G2181" s="16" t="str">
        <f t="shared" si="170"/>
        <v>Silica Sand</v>
      </c>
      <c r="H2181" s="4" t="s">
        <v>2611</v>
      </c>
      <c r="I2181" s="18" t="str" cm="1">
        <f t="array" ref="I2181">_xlfn.LET(_xlpm.text, D2181,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1" s="18" t="str" cm="1">
        <f t="array" ref="J2181">_xlfn.LET(_xlpm.text, E2181,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1" s="14">
        <f t="shared" si="171"/>
        <v>46098</v>
      </c>
      <c r="L2181" s="14">
        <f t="shared" si="172"/>
        <v>46098.624664351853</v>
      </c>
      <c r="N2181" s="12"/>
    </row>
    <row r="2182" spans="1:14" x14ac:dyDescent="0.25">
      <c r="A2182" s="4" t="s">
        <v>2212</v>
      </c>
      <c r="B2182" s="16" t="str">
        <f t="shared" si="168"/>
        <v>M/s SHREE VISHNU MINERALS</v>
      </c>
      <c r="C2182" s="16" t="str">
        <f t="shared" si="169"/>
        <v>Mokha Charnan / Kolayat / Bikaner</v>
      </c>
      <c r="D2182" s="4" t="s">
        <v>3035</v>
      </c>
      <c r="E2182" s="4" t="s">
        <v>3119</v>
      </c>
      <c r="F2182" s="5">
        <v>46092.999664351853</v>
      </c>
      <c r="G2182" s="16" t="str">
        <f t="shared" si="170"/>
        <v>Silica Sand</v>
      </c>
      <c r="H2182" s="4" t="s">
        <v>2611</v>
      </c>
      <c r="I2182" s="18" t="str" cm="1">
        <f t="array" ref="I2182">_xlfn.LET(_xlpm.text, D2182,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2" s="18" t="str" cm="1">
        <f t="array" ref="J2182">_xlfn.LET(_xlpm.text, E2182,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2" s="14">
        <f t="shared" si="171"/>
        <v>46093</v>
      </c>
      <c r="L2182" s="14">
        <f t="shared" si="172"/>
        <v>46093.624664351853</v>
      </c>
      <c r="N2182" s="12"/>
    </row>
    <row r="2183" spans="1:14" x14ac:dyDescent="0.25">
      <c r="A2183" s="4" t="s">
        <v>2213</v>
      </c>
      <c r="B2183" s="16" t="str">
        <f t="shared" si="168"/>
        <v>M/s SHREE VISHNU MINERALS</v>
      </c>
      <c r="C2183" s="16" t="str">
        <f t="shared" si="169"/>
        <v>Mokha Charnan / Kolayat / Bikaner</v>
      </c>
      <c r="D2183" s="4" t="s">
        <v>3035</v>
      </c>
      <c r="E2183" s="4" t="s">
        <v>3119</v>
      </c>
      <c r="F2183" s="5">
        <v>46091.999664351853</v>
      </c>
      <c r="G2183" s="16" t="str">
        <f t="shared" si="170"/>
        <v>Silica Sand</v>
      </c>
      <c r="H2183" s="4" t="s">
        <v>2611</v>
      </c>
      <c r="I2183" s="18" t="str" cm="1">
        <f t="array" ref="I2183">_xlfn.LET(_xlpm.text, D2183,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3" s="18" t="str" cm="1">
        <f t="array" ref="J2183">_xlfn.LET(_xlpm.text, E2183,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3" s="14">
        <f t="shared" si="171"/>
        <v>46092</v>
      </c>
      <c r="L2183" s="14">
        <f t="shared" si="172"/>
        <v>46092.624664351853</v>
      </c>
      <c r="N2183" s="12"/>
    </row>
    <row r="2184" spans="1:14" x14ac:dyDescent="0.25">
      <c r="A2184" s="4" t="s">
        <v>2214</v>
      </c>
      <c r="B2184" s="16" t="str">
        <f t="shared" si="168"/>
        <v>M/s SHREE VISHNU MINERALS</v>
      </c>
      <c r="C2184" s="16" t="str">
        <f t="shared" si="169"/>
        <v>Mokha Charnan / Kolayat / Bikaner</v>
      </c>
      <c r="D2184" s="4" t="s">
        <v>3035</v>
      </c>
      <c r="E2184" s="4" t="s">
        <v>3119</v>
      </c>
      <c r="F2184" s="5">
        <v>46090.999664351853</v>
      </c>
      <c r="G2184" s="16" t="str">
        <f t="shared" si="170"/>
        <v>Silica Sand</v>
      </c>
      <c r="H2184" s="4" t="s">
        <v>2611</v>
      </c>
      <c r="I2184" s="18" t="str" cm="1">
        <f t="array" ref="I2184">_xlfn.LET(_xlpm.text, D2184,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4" s="18" t="str" cm="1">
        <f t="array" ref="J2184">_xlfn.LET(_xlpm.text, E2184,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4" s="14">
        <f t="shared" si="171"/>
        <v>46091</v>
      </c>
      <c r="L2184" s="14">
        <f t="shared" si="172"/>
        <v>46091.624664351853</v>
      </c>
      <c r="N2184" s="12"/>
    </row>
    <row r="2185" spans="1:14" x14ac:dyDescent="0.25">
      <c r="A2185" s="4" t="s">
        <v>2215</v>
      </c>
      <c r="B2185" s="16" t="str">
        <f t="shared" si="168"/>
        <v>M/s SHREE VISHNU MINERALS</v>
      </c>
      <c r="C2185" s="16" t="str">
        <f t="shared" si="169"/>
        <v>Mokha Charnan / Kolayat / Bikaner</v>
      </c>
      <c r="D2185" s="4" t="s">
        <v>3035</v>
      </c>
      <c r="E2185" s="4" t="s">
        <v>3119</v>
      </c>
      <c r="F2185" s="5">
        <v>46089.999664351853</v>
      </c>
      <c r="G2185" s="16" t="str">
        <f t="shared" si="170"/>
        <v>Silica Sand</v>
      </c>
      <c r="H2185" s="4" t="s">
        <v>2611</v>
      </c>
      <c r="I2185" s="18" t="str" cm="1">
        <f t="array" ref="I2185">_xlfn.LET(_xlpm.text, D2185,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5" s="18" t="str" cm="1">
        <f t="array" ref="J2185">_xlfn.LET(_xlpm.text, E2185,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5" s="14">
        <f t="shared" si="171"/>
        <v>46090</v>
      </c>
      <c r="L2185" s="14">
        <f t="shared" si="172"/>
        <v>46090.624664351853</v>
      </c>
      <c r="N2185" s="12"/>
    </row>
    <row r="2186" spans="1:14" x14ac:dyDescent="0.25">
      <c r="A2186" s="4" t="s">
        <v>2216</v>
      </c>
      <c r="B2186" s="16" t="str">
        <f t="shared" si="168"/>
        <v>M/s SHREE VISHNU MINERALS</v>
      </c>
      <c r="C2186" s="16" t="str">
        <f t="shared" si="169"/>
        <v>Mokha Charnan / Kolayat / Bikaner</v>
      </c>
      <c r="D2186" s="4" t="s">
        <v>3035</v>
      </c>
      <c r="E2186" s="4" t="s">
        <v>3119</v>
      </c>
      <c r="F2186" s="5">
        <v>46073.999664351853</v>
      </c>
      <c r="G2186" s="16" t="str">
        <f t="shared" si="170"/>
        <v>Silica Sand</v>
      </c>
      <c r="H2186" s="4" t="s">
        <v>2611</v>
      </c>
      <c r="I2186" s="18" t="str" cm="1">
        <f t="array" ref="I2186">_xlfn.LET(_xlpm.text, D2186,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6" s="18" t="str" cm="1">
        <f t="array" ref="J2186">_xlfn.LET(_xlpm.text, E2186,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6" s="14">
        <f t="shared" si="171"/>
        <v>46074</v>
      </c>
      <c r="L2186" s="14">
        <f t="shared" si="172"/>
        <v>46074.624664351853</v>
      </c>
      <c r="N2186" s="12"/>
    </row>
    <row r="2187" spans="1:14" x14ac:dyDescent="0.25">
      <c r="A2187" s="4" t="s">
        <v>2217</v>
      </c>
      <c r="B2187" s="16" t="str">
        <f t="shared" si="168"/>
        <v>M/s SHREE VISHNU MINERALS</v>
      </c>
      <c r="C2187" s="16" t="str">
        <f t="shared" si="169"/>
        <v>Mokha Charnan / Kolayat / Bikaner</v>
      </c>
      <c r="D2187" s="4" t="s">
        <v>3035</v>
      </c>
      <c r="E2187" s="4" t="s">
        <v>3119</v>
      </c>
      <c r="F2187" s="5">
        <v>46073.999664351853</v>
      </c>
      <c r="G2187" s="16" t="str">
        <f t="shared" si="170"/>
        <v>Silica Sand</v>
      </c>
      <c r="H2187" s="4" t="s">
        <v>2611</v>
      </c>
      <c r="I2187" s="18" t="str" cm="1">
        <f t="array" ref="I2187">_xlfn.LET(_xlpm.text, D2187,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7" s="18" t="str" cm="1">
        <f t="array" ref="J2187">_xlfn.LET(_xlpm.text, E2187,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7" s="14">
        <f t="shared" si="171"/>
        <v>46074</v>
      </c>
      <c r="L2187" s="14">
        <f t="shared" si="172"/>
        <v>46074.624664351853</v>
      </c>
      <c r="N2187" s="12"/>
    </row>
    <row r="2188" spans="1:14" x14ac:dyDescent="0.25">
      <c r="A2188" s="4" t="s">
        <v>2218</v>
      </c>
      <c r="B2188" s="16" t="str">
        <f t="shared" si="168"/>
        <v>M/s SHREE VISHNU MINERALS</v>
      </c>
      <c r="C2188" s="16" t="str">
        <f t="shared" si="169"/>
        <v>Mokha Charnan / Kolayat / Bikaner</v>
      </c>
      <c r="D2188" s="4" t="s">
        <v>3035</v>
      </c>
      <c r="E2188" s="4" t="s">
        <v>3119</v>
      </c>
      <c r="F2188" s="5">
        <v>46102.999664351853</v>
      </c>
      <c r="G2188" s="16" t="str">
        <f t="shared" si="170"/>
        <v>Silica Sand</v>
      </c>
      <c r="H2188" s="4" t="s">
        <v>2611</v>
      </c>
      <c r="I2188" s="18" t="str" cm="1">
        <f t="array" ref="I2188">_xlfn.LET(_xlpm.text, D2188,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8" s="18" t="str" cm="1">
        <f t="array" ref="J2188">_xlfn.LET(_xlpm.text, E2188,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8" s="14">
        <f t="shared" si="171"/>
        <v>46103</v>
      </c>
      <c r="L2188" s="14">
        <f t="shared" si="172"/>
        <v>46103.624664351853</v>
      </c>
      <c r="N2188" s="12"/>
    </row>
    <row r="2189" spans="1:14" x14ac:dyDescent="0.25">
      <c r="A2189" s="4" t="s">
        <v>2219</v>
      </c>
      <c r="B2189" s="16" t="str">
        <f t="shared" si="168"/>
        <v>M/s SHREE VISHNU MINERALS</v>
      </c>
      <c r="C2189" s="16" t="str">
        <f t="shared" si="169"/>
        <v>Mokha Charnan / Kolayat / Bikaner</v>
      </c>
      <c r="D2189" s="4" t="s">
        <v>3035</v>
      </c>
      <c r="E2189" s="4" t="s">
        <v>3119</v>
      </c>
      <c r="F2189" s="5">
        <v>46104.999664351853</v>
      </c>
      <c r="G2189" s="16" t="str">
        <f t="shared" si="170"/>
        <v>Silica Sand</v>
      </c>
      <c r="H2189" s="4" t="s">
        <v>2611</v>
      </c>
      <c r="I2189" s="18" t="str" cm="1">
        <f t="array" ref="I2189">_xlfn.LET(_xlpm.text, D2189,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89" s="18" t="str" cm="1">
        <f t="array" ref="J2189">_xlfn.LET(_xlpm.text, E2189,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89" s="14">
        <f t="shared" si="171"/>
        <v>46105</v>
      </c>
      <c r="L2189" s="14">
        <f t="shared" si="172"/>
        <v>46105.624664351853</v>
      </c>
      <c r="N2189" s="12"/>
    </row>
    <row r="2190" spans="1:14" x14ac:dyDescent="0.25">
      <c r="A2190" s="4" t="s">
        <v>2220</v>
      </c>
      <c r="B2190" s="16" t="str">
        <f t="shared" si="168"/>
        <v>M/s SHREE VISHNU MINERALS</v>
      </c>
      <c r="C2190" s="16" t="str">
        <f t="shared" si="169"/>
        <v>Mokha Charnan / Kolayat / Bikaner</v>
      </c>
      <c r="D2190" s="4" t="s">
        <v>3035</v>
      </c>
      <c r="E2190" s="4" t="s">
        <v>3119</v>
      </c>
      <c r="F2190" s="5">
        <v>46109.999664351853</v>
      </c>
      <c r="G2190" s="16" t="str">
        <f t="shared" si="170"/>
        <v>Silica Sand</v>
      </c>
      <c r="H2190" s="4" t="s">
        <v>2611</v>
      </c>
      <c r="I2190" s="18" t="str" cm="1">
        <f t="array" ref="I2190">_xlfn.LET(_xlpm.text, D2190,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0" s="18" t="str" cm="1">
        <f t="array" ref="J2190">_xlfn.LET(_xlpm.text, E2190,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0" s="14">
        <f t="shared" si="171"/>
        <v>46110</v>
      </c>
      <c r="L2190" s="14">
        <f t="shared" si="172"/>
        <v>46110.624664351853</v>
      </c>
      <c r="N2190" s="12"/>
    </row>
    <row r="2191" spans="1:14" x14ac:dyDescent="0.25">
      <c r="A2191" s="4" t="s">
        <v>2221</v>
      </c>
      <c r="B2191" s="16" t="str">
        <f t="shared" si="168"/>
        <v>M/s SHREE VISHNU MINERALS</v>
      </c>
      <c r="C2191" s="16" t="str">
        <f t="shared" si="169"/>
        <v>Mokha Charnan / Kolayat / Bikaner</v>
      </c>
      <c r="D2191" s="4" t="s">
        <v>3035</v>
      </c>
      <c r="E2191" s="4" t="s">
        <v>3119</v>
      </c>
      <c r="F2191" s="5">
        <v>46111.999664351853</v>
      </c>
      <c r="G2191" s="16" t="str">
        <f t="shared" si="170"/>
        <v>Silica Sand</v>
      </c>
      <c r="H2191" s="4" t="s">
        <v>2611</v>
      </c>
      <c r="I2191" s="18" t="str" cm="1">
        <f t="array" ref="I2191">_xlfn.LET(_xlpm.text, D2191,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1" s="18" t="str" cm="1">
        <f t="array" ref="J2191">_xlfn.LET(_xlpm.text, E2191,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1" s="14">
        <f t="shared" si="171"/>
        <v>46112</v>
      </c>
      <c r="L2191" s="14">
        <f t="shared" si="172"/>
        <v>46112.624664351853</v>
      </c>
      <c r="N2191" s="12"/>
    </row>
    <row r="2192" spans="1:14" x14ac:dyDescent="0.25">
      <c r="A2192" s="4" t="s">
        <v>2222</v>
      </c>
      <c r="B2192" s="16" t="str">
        <f t="shared" si="168"/>
        <v>M/s SHREE VISHNU MINERALS</v>
      </c>
      <c r="C2192" s="16" t="str">
        <f t="shared" si="169"/>
        <v>Mokha Charnan / Kolayat / Bikaner</v>
      </c>
      <c r="D2192" s="4" t="s">
        <v>3035</v>
      </c>
      <c r="E2192" s="4" t="s">
        <v>3119</v>
      </c>
      <c r="F2192" s="5">
        <v>46112.999664351853</v>
      </c>
      <c r="G2192" s="16" t="str">
        <f t="shared" si="170"/>
        <v>Silica Sand</v>
      </c>
      <c r="H2192" s="4" t="s">
        <v>2611</v>
      </c>
      <c r="I2192" s="18" t="str" cm="1">
        <f t="array" ref="I2192">_xlfn.LET(_xlpm.text, D2192,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2" s="18" t="str" cm="1">
        <f t="array" ref="J2192">_xlfn.LET(_xlpm.text, E2192,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2" s="14">
        <f t="shared" si="171"/>
        <v>46113</v>
      </c>
      <c r="L2192" s="14">
        <f t="shared" si="172"/>
        <v>46113.624664351853</v>
      </c>
      <c r="N2192" s="12"/>
    </row>
    <row r="2193" spans="1:14" x14ac:dyDescent="0.25">
      <c r="A2193" s="4" t="s">
        <v>2223</v>
      </c>
      <c r="B2193" s="16" t="str">
        <f t="shared" si="168"/>
        <v>M/s SHREE VISHNU MINERALS</v>
      </c>
      <c r="C2193" s="16" t="str">
        <f t="shared" si="169"/>
        <v>Mokha Charnan / Kolayat / Bikaner</v>
      </c>
      <c r="D2193" s="4" t="s">
        <v>3035</v>
      </c>
      <c r="E2193" s="4" t="s">
        <v>3119</v>
      </c>
      <c r="F2193" s="5">
        <v>46115.999664351853</v>
      </c>
      <c r="G2193" s="16" t="str">
        <f t="shared" si="170"/>
        <v>Silica Sand</v>
      </c>
      <c r="H2193" s="4" t="s">
        <v>2611</v>
      </c>
      <c r="I2193" s="18" t="str" cm="1">
        <f t="array" ref="I2193">_xlfn.LET(_xlpm.text, D2193,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3" s="18" t="str" cm="1">
        <f t="array" ref="J2193">_xlfn.LET(_xlpm.text, E2193,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3" s="14">
        <f t="shared" si="171"/>
        <v>46116</v>
      </c>
      <c r="L2193" s="14">
        <f t="shared" si="172"/>
        <v>46116.624664351853</v>
      </c>
      <c r="N2193" s="12"/>
    </row>
    <row r="2194" spans="1:14" x14ac:dyDescent="0.25">
      <c r="A2194" s="4" t="s">
        <v>2224</v>
      </c>
      <c r="B2194" s="16" t="str">
        <f t="shared" si="168"/>
        <v>M/s SHREE VISHNU MINERALS</v>
      </c>
      <c r="C2194" s="16" t="str">
        <f t="shared" si="169"/>
        <v>Mokha Charnan / Kolayat / Bikaner</v>
      </c>
      <c r="D2194" s="4" t="s">
        <v>3035</v>
      </c>
      <c r="E2194" s="4" t="s">
        <v>3119</v>
      </c>
      <c r="F2194" s="5">
        <v>46116.999664351853</v>
      </c>
      <c r="G2194" s="16" t="str">
        <f t="shared" si="170"/>
        <v>Silica Sand</v>
      </c>
      <c r="H2194" s="4" t="s">
        <v>2611</v>
      </c>
      <c r="I2194" s="18" t="str" cm="1">
        <f t="array" ref="I2194">_xlfn.LET(_xlpm.text, D2194,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4" s="18" t="str" cm="1">
        <f t="array" ref="J2194">_xlfn.LET(_xlpm.text, E2194,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4" s="14">
        <f t="shared" si="171"/>
        <v>46117</v>
      </c>
      <c r="L2194" s="14">
        <f t="shared" si="172"/>
        <v>46117.624664351853</v>
      </c>
      <c r="N2194" s="12"/>
    </row>
    <row r="2195" spans="1:14" x14ac:dyDescent="0.25">
      <c r="A2195" s="4" t="s">
        <v>2225</v>
      </c>
      <c r="B2195" s="16" t="str">
        <f t="shared" si="168"/>
        <v>M/s SHREE VISHNU MINERALS</v>
      </c>
      <c r="C2195" s="16" t="str">
        <f t="shared" si="169"/>
        <v>Mokha Charnan / Kolayat / Bikaner</v>
      </c>
      <c r="D2195" s="4" t="s">
        <v>3035</v>
      </c>
      <c r="E2195" s="4" t="s">
        <v>3119</v>
      </c>
      <c r="F2195" s="5">
        <v>46123.999664351853</v>
      </c>
      <c r="G2195" s="16" t="str">
        <f t="shared" si="170"/>
        <v>Silica Sand</v>
      </c>
      <c r="H2195" s="4" t="s">
        <v>2611</v>
      </c>
      <c r="I2195" s="18" t="str" cm="1">
        <f t="array" ref="I2195">_xlfn.LET(_xlpm.text, D2195,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5" s="18" t="str" cm="1">
        <f t="array" ref="J2195">_xlfn.LET(_xlpm.text, E2195,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5" s="14">
        <f t="shared" si="171"/>
        <v>46124</v>
      </c>
      <c r="L2195" s="14">
        <f t="shared" si="172"/>
        <v>46124.624664351853</v>
      </c>
      <c r="N2195" s="12"/>
    </row>
    <row r="2196" spans="1:14" x14ac:dyDescent="0.25">
      <c r="A2196" s="4" t="s">
        <v>2226</v>
      </c>
      <c r="B2196" s="16" t="str">
        <f t="shared" si="168"/>
        <v>M/s SHREE VISHNU MINERALS</v>
      </c>
      <c r="C2196" s="16" t="str">
        <f t="shared" si="169"/>
        <v>Mokha Charnan / Kolayat / Bikaner</v>
      </c>
      <c r="D2196" s="4" t="s">
        <v>3035</v>
      </c>
      <c r="E2196" s="4" t="s">
        <v>3119</v>
      </c>
      <c r="F2196" s="5">
        <v>46125.999664351853</v>
      </c>
      <c r="G2196" s="16" t="str">
        <f t="shared" si="170"/>
        <v>Silica Sand</v>
      </c>
      <c r="H2196" s="4" t="s">
        <v>2611</v>
      </c>
      <c r="I2196" s="18" t="str" cm="1">
        <f t="array" ref="I2196">_xlfn.LET(_xlpm.text, D2196,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6" s="18" t="str" cm="1">
        <f t="array" ref="J2196">_xlfn.LET(_xlpm.text, E2196,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6" s="14">
        <f t="shared" si="171"/>
        <v>46126</v>
      </c>
      <c r="L2196" s="14">
        <f t="shared" si="172"/>
        <v>46126.624664351853</v>
      </c>
      <c r="N2196" s="12"/>
    </row>
    <row r="2197" spans="1:14" x14ac:dyDescent="0.25">
      <c r="A2197" s="4" t="s">
        <v>2227</v>
      </c>
      <c r="B2197" s="16" t="str">
        <f t="shared" si="168"/>
        <v>M/s SHREE VISHNU MINERALS</v>
      </c>
      <c r="C2197" s="16" t="str">
        <f t="shared" si="169"/>
        <v>Mokha Charnan / Kolayat / Bikaner</v>
      </c>
      <c r="D2197" s="4" t="s">
        <v>3035</v>
      </c>
      <c r="E2197" s="4" t="s">
        <v>3119</v>
      </c>
      <c r="F2197" s="5">
        <v>46120.999664351853</v>
      </c>
      <c r="G2197" s="16" t="str">
        <f t="shared" si="170"/>
        <v>Silica Sand</v>
      </c>
      <c r="H2197" s="4" t="s">
        <v>2611</v>
      </c>
      <c r="I2197" s="18" t="str" cm="1">
        <f t="array" ref="I2197">_xlfn.LET(_xlpm.text, D2197,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7" s="18" t="str" cm="1">
        <f t="array" ref="J2197">_xlfn.LET(_xlpm.text, E2197,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7" s="14">
        <f t="shared" si="171"/>
        <v>46121</v>
      </c>
      <c r="L2197" s="14">
        <f t="shared" si="172"/>
        <v>46121.624664351853</v>
      </c>
      <c r="N2197" s="12"/>
    </row>
    <row r="2198" spans="1:14" x14ac:dyDescent="0.25">
      <c r="A2198" s="4" t="s">
        <v>2228</v>
      </c>
      <c r="B2198" s="16" t="str">
        <f t="shared" si="168"/>
        <v>M/s SHREE VISHNU MINERALS</v>
      </c>
      <c r="C2198" s="16" t="str">
        <f t="shared" si="169"/>
        <v>Mokha Charnan / Kolayat / Bikaner</v>
      </c>
      <c r="D2198" s="4" t="s">
        <v>3035</v>
      </c>
      <c r="E2198" s="4" t="s">
        <v>3119</v>
      </c>
      <c r="F2198" s="5">
        <v>46119.999664351853</v>
      </c>
      <c r="G2198" s="16" t="str">
        <f t="shared" si="170"/>
        <v>Silica Sand</v>
      </c>
      <c r="H2198" s="4" t="s">
        <v>2611</v>
      </c>
      <c r="I2198" s="18" t="str" cm="1">
        <f t="array" ref="I2198">_xlfn.LET(_xlpm.text, D2198,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8" s="18" t="str" cm="1">
        <f t="array" ref="J2198">_xlfn.LET(_xlpm.text, E2198,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8" s="14">
        <f t="shared" si="171"/>
        <v>46120</v>
      </c>
      <c r="L2198" s="14">
        <f t="shared" si="172"/>
        <v>46120.624664351853</v>
      </c>
      <c r="N2198" s="12"/>
    </row>
    <row r="2199" spans="1:14" x14ac:dyDescent="0.25">
      <c r="A2199" s="4" t="s">
        <v>2229</v>
      </c>
      <c r="B2199" s="16" t="str">
        <f t="shared" si="168"/>
        <v>M/s SHREE VISHNU MINERALS</v>
      </c>
      <c r="C2199" s="16" t="str">
        <f t="shared" si="169"/>
        <v>Mokha Charnan / Kolayat / Bikaner</v>
      </c>
      <c r="D2199" s="4" t="s">
        <v>3035</v>
      </c>
      <c r="E2199" s="4" t="s">
        <v>3119</v>
      </c>
      <c r="F2199" s="5">
        <v>46117.999664351853</v>
      </c>
      <c r="G2199" s="16" t="str">
        <f t="shared" si="170"/>
        <v>Silica Sand</v>
      </c>
      <c r="H2199" s="4" t="s">
        <v>2611</v>
      </c>
      <c r="I2199" s="18" t="str" cm="1">
        <f t="array" ref="I2199">_xlfn.LET(_xlpm.text, D2199,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199" s="18" t="str" cm="1">
        <f t="array" ref="J2199">_xlfn.LET(_xlpm.text, E2199,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199" s="14">
        <f t="shared" si="171"/>
        <v>46118</v>
      </c>
      <c r="L2199" s="14">
        <f t="shared" si="172"/>
        <v>46118.624664351853</v>
      </c>
      <c r="N2199" s="12"/>
    </row>
    <row r="2200" spans="1:14" x14ac:dyDescent="0.25">
      <c r="A2200" s="4" t="s">
        <v>2230</v>
      </c>
      <c r="B2200" s="16" t="str">
        <f t="shared" si="168"/>
        <v>M/s SHREE VISHNU MINERALS</v>
      </c>
      <c r="C2200" s="16" t="str">
        <f t="shared" si="169"/>
        <v>Mokha Charnan / Kolayat / Bikaner</v>
      </c>
      <c r="D2200" s="4" t="s">
        <v>3035</v>
      </c>
      <c r="E2200" s="4" t="s">
        <v>3119</v>
      </c>
      <c r="F2200" s="5">
        <v>46126.999664351853</v>
      </c>
      <c r="G2200" s="16" t="str">
        <f t="shared" si="170"/>
        <v>Silica Sand</v>
      </c>
      <c r="H2200" s="4" t="s">
        <v>2611</v>
      </c>
      <c r="I2200" s="18" t="str" cm="1">
        <f t="array" ref="I2200">_xlfn.LET(_xlpm.text, D2200,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00" s="18" t="str" cm="1">
        <f t="array" ref="J2200">_xlfn.LET(_xlpm.text, E2200,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00" s="14">
        <f t="shared" si="171"/>
        <v>46127</v>
      </c>
      <c r="L2200" s="14">
        <f t="shared" si="172"/>
        <v>46127.624664351853</v>
      </c>
      <c r="N2200" s="12"/>
    </row>
    <row r="2201" spans="1:14" x14ac:dyDescent="0.25">
      <c r="A2201" s="4" t="s">
        <v>3039</v>
      </c>
      <c r="B2201" s="16" t="str">
        <f>VLOOKUP(LEFT($A2201,4)&amp;"*",$O$3:$R$17, 2, FALSE)</f>
        <v>SHYAM SUNDER BISHNOI</v>
      </c>
      <c r="C2201" s="16" t="str">
        <f>VLOOKUP(LEFT($A2201,4)&amp;"*",$O$3:$R$17, 3, FALSE)</f>
        <v>Chak No 6 Kharicharnan / Kolayat / Bikaner</v>
      </c>
      <c r="D2201" s="4" t="s">
        <v>3029</v>
      </c>
      <c r="E2201" s="4" t="s">
        <v>3119</v>
      </c>
      <c r="F2201" s="5">
        <v>46140.143321759257</v>
      </c>
      <c r="G2201" s="16" t="str">
        <f>VLOOKUP(LEFT($A2201,4)&amp;"*",$O$3:$R$17, 4, FALSE)</f>
        <v>Gravel</v>
      </c>
      <c r="H2201" s="4" t="s">
        <v>3040</v>
      </c>
      <c r="I2201" s="18" t="str" cm="1">
        <f t="array" ref="I2201">_xlfn.LET(_xlpm.text, D2201,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1" s="18" t="str" cm="1">
        <f t="array" ref="J2201">_xlfn.LET(_xlpm.text, E2201, _xlpm.L, LEN(_xlpm.text), _xlfn.CONCAT(_xlfn.MAP(_xlfn.SEQUENCE(_xlpm.L), _xlfn.LAMBDA(_xlpm.i, _xlfn.LET(_xlpm.char, MID(_xlpm.text, _xlpm.i, 1), IF(OR(_xlpm.i=1, _xlpm.i=_xlpm.L, _xlpm.char=" "), _xlpm.char, "X"))))))</f>
        <v>KXXXXXXXX XXXXXXXX XXXXXXXX XXX.</v>
      </c>
      <c r="K2201" s="14">
        <f t="shared" si="171"/>
        <v>46140.143657407403</v>
      </c>
      <c r="L2201" s="14">
        <f t="shared" si="172"/>
        <v>46140.768321759257</v>
      </c>
    </row>
    <row r="2202" spans="1:14" x14ac:dyDescent="0.25">
      <c r="A2202" s="4" t="s">
        <v>3041</v>
      </c>
      <c r="B2202" s="16" t="s">
        <v>3120</v>
      </c>
      <c r="C2202" s="16" t="s">
        <v>3121</v>
      </c>
      <c r="D2202" s="4" t="s">
        <v>3117</v>
      </c>
      <c r="E2202" s="4" t="s">
        <v>3118</v>
      </c>
      <c r="F2202" s="5">
        <v>46157.341828703706</v>
      </c>
      <c r="G2202" s="16" t="s">
        <v>326</v>
      </c>
      <c r="H2202" s="4" t="s">
        <v>3082</v>
      </c>
      <c r="I2202" s="18" t="str" cm="1">
        <f t="array" ref="I2202">_xlfn.LET(_xlpm.text, D2202,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2" s="18" t="str" cm="1">
        <f t="array" ref="J2202">_xlfn.LET(_xlpm.text, E2202,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2" s="14">
        <v>46157.343402777777</v>
      </c>
      <c r="L2202" s="14">
        <v>46158.341828703706</v>
      </c>
    </row>
    <row r="2203" spans="1:14" x14ac:dyDescent="0.25">
      <c r="A2203" s="4" t="s">
        <v>3042</v>
      </c>
      <c r="B2203" s="16" t="s">
        <v>3120</v>
      </c>
      <c r="C2203" s="16" t="s">
        <v>3121</v>
      </c>
      <c r="D2203" s="4" t="s">
        <v>3117</v>
      </c>
      <c r="E2203" s="4" t="s">
        <v>3118</v>
      </c>
      <c r="F2203" s="5">
        <v>46157.675335648149</v>
      </c>
      <c r="G2203" s="16" t="s">
        <v>326</v>
      </c>
      <c r="H2203" s="4" t="s">
        <v>2458</v>
      </c>
      <c r="I2203" s="18" t="str" cm="1">
        <f t="array" ref="I2203">_xlfn.LET(_xlpm.text, D2203,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3" s="18" t="str" cm="1">
        <f t="array" ref="J2203">_xlfn.LET(_xlpm.text, E2203,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3" s="14">
        <v>46157.67690972222</v>
      </c>
      <c r="L2203" s="14">
        <v>46158.675335648149</v>
      </c>
    </row>
    <row r="2204" spans="1:14" x14ac:dyDescent="0.25">
      <c r="A2204" s="4" t="s">
        <v>3043</v>
      </c>
      <c r="B2204" s="16" t="s">
        <v>3120</v>
      </c>
      <c r="C2204" s="16" t="s">
        <v>3121</v>
      </c>
      <c r="D2204" s="4" t="s">
        <v>3117</v>
      </c>
      <c r="E2204" s="4" t="s">
        <v>3118</v>
      </c>
      <c r="F2204" s="5">
        <v>46157.925532407411</v>
      </c>
      <c r="G2204" s="16" t="s">
        <v>326</v>
      </c>
      <c r="H2204" s="4" t="s">
        <v>3083</v>
      </c>
      <c r="I2204" s="18" t="str" cm="1">
        <f t="array" ref="I2204">_xlfn.LET(_xlpm.text, D2204,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4" s="18" t="str" cm="1">
        <f t="array" ref="J2204">_xlfn.LET(_xlpm.text, E2204,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4" s="14">
        <v>46157.927106481482</v>
      </c>
      <c r="L2204" s="14">
        <v>46158.925532407411</v>
      </c>
    </row>
    <row r="2205" spans="1:14" x14ac:dyDescent="0.25">
      <c r="A2205" s="4" t="s">
        <v>3044</v>
      </c>
      <c r="B2205" s="16" t="s">
        <v>3120</v>
      </c>
      <c r="C2205" s="16" t="s">
        <v>3121</v>
      </c>
      <c r="D2205" s="4" t="s">
        <v>3117</v>
      </c>
      <c r="E2205" s="4" t="s">
        <v>3118</v>
      </c>
      <c r="F2205" s="5">
        <v>46158.259421296301</v>
      </c>
      <c r="G2205" s="16" t="s">
        <v>326</v>
      </c>
      <c r="H2205" s="4" t="s">
        <v>3084</v>
      </c>
      <c r="I2205" s="18" t="str" cm="1">
        <f t="array" ref="I2205">_xlfn.LET(_xlpm.text, D2205,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5" s="18" t="str" cm="1">
        <f t="array" ref="J2205">_xlfn.LET(_xlpm.text, E2205,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5" s="14">
        <v>46158.260995370372</v>
      </c>
      <c r="L2205" s="14">
        <v>46159.259421296301</v>
      </c>
    </row>
    <row r="2206" spans="1:14" x14ac:dyDescent="0.25">
      <c r="A2206" s="4" t="s">
        <v>3045</v>
      </c>
      <c r="B2206" s="16" t="s">
        <v>3120</v>
      </c>
      <c r="C2206" s="16" t="s">
        <v>3121</v>
      </c>
      <c r="D2206" s="4" t="s">
        <v>3117</v>
      </c>
      <c r="E2206" s="4" t="s">
        <v>3118</v>
      </c>
      <c r="F2206" s="5">
        <v>46158.551226851858</v>
      </c>
      <c r="G2206" s="16" t="s">
        <v>326</v>
      </c>
      <c r="H2206" s="4" t="s">
        <v>3085</v>
      </c>
      <c r="I2206" s="18" t="str" cm="1">
        <f t="array" ref="I2206">_xlfn.LET(_xlpm.text, D2206,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6" s="18" t="str" cm="1">
        <f t="array" ref="J2206">_xlfn.LET(_xlpm.text, E2206,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6" s="14">
        <v>46158.552800925929</v>
      </c>
      <c r="L2206" s="14">
        <v>46159.551226851858</v>
      </c>
    </row>
    <row r="2207" spans="1:14" x14ac:dyDescent="0.25">
      <c r="A2207" s="4" t="s">
        <v>3046</v>
      </c>
      <c r="B2207" s="16" t="s">
        <v>3120</v>
      </c>
      <c r="C2207" s="16" t="s">
        <v>3121</v>
      </c>
      <c r="D2207" s="4" t="s">
        <v>3117</v>
      </c>
      <c r="E2207" s="4" t="s">
        <v>3118</v>
      </c>
      <c r="F2207" s="5">
        <v>46158.926793981489</v>
      </c>
      <c r="G2207" s="16" t="s">
        <v>326</v>
      </c>
      <c r="H2207" s="4" t="s">
        <v>3086</v>
      </c>
      <c r="I2207" s="18" t="str" cm="1">
        <f t="array" ref="I2207">_xlfn.LET(_xlpm.text, D2207,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7" s="18" t="str" cm="1">
        <f t="array" ref="J2207">_xlfn.LET(_xlpm.text, E2207,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7" s="14">
        <v>46158.92836805556</v>
      </c>
      <c r="L2207" s="14">
        <v>46159.926793981489</v>
      </c>
    </row>
    <row r="2208" spans="1:14" x14ac:dyDescent="0.25">
      <c r="A2208" s="4" t="s">
        <v>3047</v>
      </c>
      <c r="B2208" s="16" t="s">
        <v>3120</v>
      </c>
      <c r="C2208" s="16" t="s">
        <v>3121</v>
      </c>
      <c r="D2208" s="4" t="s">
        <v>3117</v>
      </c>
      <c r="E2208" s="4" t="s">
        <v>3118</v>
      </c>
      <c r="F2208" s="5">
        <v>46159.177280092597</v>
      </c>
      <c r="G2208" s="16" t="s">
        <v>326</v>
      </c>
      <c r="H2208" s="4" t="s">
        <v>3087</v>
      </c>
      <c r="I2208" s="18" t="str" cm="1">
        <f t="array" ref="I2208">_xlfn.LET(_xlpm.text, D2208,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8" s="18" t="str" cm="1">
        <f t="array" ref="J2208">_xlfn.LET(_xlpm.text, E2208,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8" s="14">
        <v>46159.178854166668</v>
      </c>
      <c r="L2208" s="14">
        <v>46160.177280092597</v>
      </c>
    </row>
    <row r="2209" spans="1:12" x14ac:dyDescent="0.25">
      <c r="A2209" s="4" t="s">
        <v>3048</v>
      </c>
      <c r="B2209" s="16" t="s">
        <v>3120</v>
      </c>
      <c r="C2209" s="16" t="s">
        <v>3121</v>
      </c>
      <c r="D2209" s="4" t="s">
        <v>3117</v>
      </c>
      <c r="E2209" s="4" t="s">
        <v>3118</v>
      </c>
      <c r="F2209" s="5">
        <v>46159.552557870375</v>
      </c>
      <c r="G2209" s="16" t="s">
        <v>326</v>
      </c>
      <c r="H2209" s="4" t="s">
        <v>3088</v>
      </c>
      <c r="I2209" s="18" t="str" cm="1">
        <f t="array" ref="I2209">_xlfn.LET(_xlpm.text, D2209,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09" s="18" t="str" cm="1">
        <f t="array" ref="J2209">_xlfn.LET(_xlpm.text, E2209,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09" s="14">
        <v>46159.554131944446</v>
      </c>
      <c r="L2209" s="14">
        <v>46160.552557870375</v>
      </c>
    </row>
    <row r="2210" spans="1:12" x14ac:dyDescent="0.25">
      <c r="A2210" s="4" t="s">
        <v>3049</v>
      </c>
      <c r="B2210" s="16" t="s">
        <v>3120</v>
      </c>
      <c r="C2210" s="16" t="s">
        <v>3121</v>
      </c>
      <c r="D2210" s="4" t="s">
        <v>3117</v>
      </c>
      <c r="E2210" s="4" t="s">
        <v>3118</v>
      </c>
      <c r="F2210" s="5">
        <v>46159.88621527778</v>
      </c>
      <c r="G2210" s="16" t="s">
        <v>326</v>
      </c>
      <c r="H2210" s="4" t="s">
        <v>3089</v>
      </c>
      <c r="I2210" s="18" t="str" cm="1">
        <f t="array" ref="I2210">_xlfn.LET(_xlpm.text, D2210,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0" s="18" t="str" cm="1">
        <f t="array" ref="J2210">_xlfn.LET(_xlpm.text, E2210,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0" s="14">
        <v>46159.887789351851</v>
      </c>
      <c r="L2210" s="14">
        <v>46160.88621527778</v>
      </c>
    </row>
    <row r="2211" spans="1:12" x14ac:dyDescent="0.25">
      <c r="A2211" s="4" t="s">
        <v>3050</v>
      </c>
      <c r="B2211" s="16" t="s">
        <v>3120</v>
      </c>
      <c r="C2211" s="16" t="s">
        <v>3121</v>
      </c>
      <c r="D2211" s="4" t="s">
        <v>3117</v>
      </c>
      <c r="E2211" s="4" t="s">
        <v>3118</v>
      </c>
      <c r="F2211" s="5">
        <v>46160.261319444449</v>
      </c>
      <c r="G2211" s="16" t="s">
        <v>326</v>
      </c>
      <c r="H2211" s="4" t="s">
        <v>3090</v>
      </c>
      <c r="I2211" s="18" t="str" cm="1">
        <f t="array" ref="I2211">_xlfn.LET(_xlpm.text, D2211,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1" s="18" t="str" cm="1">
        <f t="array" ref="J2211">_xlfn.LET(_xlpm.text, E2211,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1" s="14">
        <v>46160.26289351852</v>
      </c>
      <c r="L2211" s="14">
        <v>46161.261319444449</v>
      </c>
    </row>
    <row r="2212" spans="1:12" x14ac:dyDescent="0.25">
      <c r="A2212" s="4" t="s">
        <v>3051</v>
      </c>
      <c r="B2212" s="16" t="s">
        <v>3120</v>
      </c>
      <c r="C2212" s="16" t="s">
        <v>3121</v>
      </c>
      <c r="D2212" s="4" t="s">
        <v>3117</v>
      </c>
      <c r="E2212" s="4" t="s">
        <v>3118</v>
      </c>
      <c r="F2212" s="5">
        <v>46160.595034722224</v>
      </c>
      <c r="G2212" s="16" t="s">
        <v>326</v>
      </c>
      <c r="H2212" s="4" t="s">
        <v>3091</v>
      </c>
      <c r="I2212" s="18" t="str" cm="1">
        <f t="array" ref="I2212">_xlfn.LET(_xlpm.text, D2212,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2" s="18" t="str" cm="1">
        <f t="array" ref="J2212">_xlfn.LET(_xlpm.text, E2212,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2" s="14">
        <v>46160.596608796295</v>
      </c>
      <c r="L2212" s="14">
        <v>46161.595034722224</v>
      </c>
    </row>
    <row r="2213" spans="1:12" x14ac:dyDescent="0.25">
      <c r="A2213" s="4" t="s">
        <v>3052</v>
      </c>
      <c r="B2213" s="16" t="s">
        <v>3120</v>
      </c>
      <c r="C2213" s="16" t="s">
        <v>3121</v>
      </c>
      <c r="D2213" s="4" t="s">
        <v>3117</v>
      </c>
      <c r="E2213" s="4" t="s">
        <v>3118</v>
      </c>
      <c r="F2213" s="5">
        <v>46160.970717592594</v>
      </c>
      <c r="G2213" s="16" t="s">
        <v>326</v>
      </c>
      <c r="H2213" s="4" t="s">
        <v>3092</v>
      </c>
      <c r="I2213" s="18" t="str" cm="1">
        <f t="array" ref="I2213">_xlfn.LET(_xlpm.text, D2213,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3" s="18" t="str" cm="1">
        <f t="array" ref="J2213">_xlfn.LET(_xlpm.text, E2213,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3" s="14">
        <v>46160.972291666665</v>
      </c>
      <c r="L2213" s="14">
        <v>46161.970717592594</v>
      </c>
    </row>
    <row r="2214" spans="1:12" x14ac:dyDescent="0.25">
      <c r="A2214" s="4" t="s">
        <v>3053</v>
      </c>
      <c r="B2214" s="16" t="s">
        <v>3120</v>
      </c>
      <c r="C2214" s="16" t="s">
        <v>3121</v>
      </c>
      <c r="D2214" s="4" t="s">
        <v>3117</v>
      </c>
      <c r="E2214" s="4" t="s">
        <v>3118</v>
      </c>
      <c r="F2214" s="5">
        <v>46161.304224537038</v>
      </c>
      <c r="G2214" s="16" t="s">
        <v>326</v>
      </c>
      <c r="H2214" s="4" t="s">
        <v>3093</v>
      </c>
      <c r="I2214" s="18" t="str" cm="1">
        <f t="array" ref="I2214">_xlfn.LET(_xlpm.text, D2214,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4" s="18" t="str" cm="1">
        <f t="array" ref="J2214">_xlfn.LET(_xlpm.text, E2214,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4" s="14">
        <v>46161.305798611109</v>
      </c>
      <c r="L2214" s="14">
        <v>46162.304224537038</v>
      </c>
    </row>
    <row r="2215" spans="1:12" x14ac:dyDescent="0.25">
      <c r="A2215" s="4" t="s">
        <v>3054</v>
      </c>
      <c r="B2215" s="16" t="s">
        <v>3120</v>
      </c>
      <c r="C2215" s="16" t="s">
        <v>3121</v>
      </c>
      <c r="D2215" s="4" t="s">
        <v>3117</v>
      </c>
      <c r="E2215" s="4" t="s">
        <v>3118</v>
      </c>
      <c r="F2215" s="5">
        <v>46161.679710648146</v>
      </c>
      <c r="G2215" s="16" t="s">
        <v>326</v>
      </c>
      <c r="H2215" s="4" t="s">
        <v>2913</v>
      </c>
      <c r="I2215" s="18" t="str" cm="1">
        <f t="array" ref="I2215">_xlfn.LET(_xlpm.text, D2215,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5" s="18" t="str" cm="1">
        <f t="array" ref="J2215">_xlfn.LET(_xlpm.text, E2215,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5" s="14">
        <v>46161.681284722217</v>
      </c>
      <c r="L2215" s="14">
        <v>46162.679710648146</v>
      </c>
    </row>
    <row r="2216" spans="1:12" x14ac:dyDescent="0.25">
      <c r="A2216" s="4" t="s">
        <v>3055</v>
      </c>
      <c r="B2216" s="16" t="s">
        <v>3120</v>
      </c>
      <c r="C2216" s="16" t="s">
        <v>3121</v>
      </c>
      <c r="D2216" s="4" t="s">
        <v>3117</v>
      </c>
      <c r="E2216" s="4" t="s">
        <v>3118</v>
      </c>
      <c r="F2216" s="5">
        <v>46161.971666666665</v>
      </c>
      <c r="G2216" s="16" t="s">
        <v>326</v>
      </c>
      <c r="H2216" s="4" t="s">
        <v>3094</v>
      </c>
      <c r="I2216" s="18" t="str" cm="1">
        <f t="array" ref="I2216">_xlfn.LET(_xlpm.text, D2216,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6" s="18" t="str" cm="1">
        <f t="array" ref="J2216">_xlfn.LET(_xlpm.text, E2216,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6" s="14">
        <v>46161.973240740735</v>
      </c>
      <c r="L2216" s="14">
        <v>46162.971666666665</v>
      </c>
    </row>
    <row r="2217" spans="1:12" x14ac:dyDescent="0.25">
      <c r="A2217" s="4" t="s">
        <v>3056</v>
      </c>
      <c r="B2217" s="16" t="s">
        <v>3120</v>
      </c>
      <c r="C2217" s="16" t="s">
        <v>3121</v>
      </c>
      <c r="D2217" s="4" t="s">
        <v>3117</v>
      </c>
      <c r="E2217" s="4" t="s">
        <v>3118</v>
      </c>
      <c r="F2217" s="5">
        <v>46162.346666666665</v>
      </c>
      <c r="G2217" s="16" t="s">
        <v>326</v>
      </c>
      <c r="H2217" s="4" t="s">
        <v>3095</v>
      </c>
      <c r="I2217" s="18" t="str" cm="1">
        <f t="array" ref="I2217">_xlfn.LET(_xlpm.text, D2217,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7" s="18" t="str" cm="1">
        <f t="array" ref="J2217">_xlfn.LET(_xlpm.text, E2217,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7" s="14">
        <v>46162.348240740735</v>
      </c>
      <c r="L2217" s="14">
        <v>46163.346666666665</v>
      </c>
    </row>
    <row r="2218" spans="1:12" x14ac:dyDescent="0.25">
      <c r="A2218" s="4" t="s">
        <v>3057</v>
      </c>
      <c r="B2218" s="16" t="s">
        <v>3120</v>
      </c>
      <c r="C2218" s="16" t="s">
        <v>3121</v>
      </c>
      <c r="D2218" s="4" t="s">
        <v>3117</v>
      </c>
      <c r="E2218" s="4" t="s">
        <v>3118</v>
      </c>
      <c r="F2218" s="5">
        <v>46162.639016203699</v>
      </c>
      <c r="G2218" s="16" t="s">
        <v>326</v>
      </c>
      <c r="H2218" s="4" t="s">
        <v>3096</v>
      </c>
      <c r="I2218" s="18" t="str" cm="1">
        <f t="array" ref="I2218">_xlfn.LET(_xlpm.text, D2218,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8" s="18" t="str" cm="1">
        <f t="array" ref="J2218">_xlfn.LET(_xlpm.text, E2218,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8" s="14">
        <v>46162.64059027777</v>
      </c>
      <c r="L2218" s="14">
        <v>46163.639016203699</v>
      </c>
    </row>
    <row r="2219" spans="1:12" x14ac:dyDescent="0.25">
      <c r="A2219" s="4" t="s">
        <v>3058</v>
      </c>
      <c r="B2219" s="16" t="s">
        <v>3120</v>
      </c>
      <c r="C2219" s="16" t="s">
        <v>3121</v>
      </c>
      <c r="D2219" s="4" t="s">
        <v>3117</v>
      </c>
      <c r="E2219" s="4" t="s">
        <v>3118</v>
      </c>
      <c r="F2219" s="5">
        <v>46162.972951388881</v>
      </c>
      <c r="G2219" s="16" t="s">
        <v>326</v>
      </c>
      <c r="H2219" s="4" t="s">
        <v>3097</v>
      </c>
      <c r="I2219" s="18" t="str" cm="1">
        <f t="array" ref="I2219">_xlfn.LET(_xlpm.text, D2219,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19" s="18" t="str" cm="1">
        <f t="array" ref="J2219">_xlfn.LET(_xlpm.text, E2219,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19" s="14">
        <v>46162.974525462952</v>
      </c>
      <c r="L2219" s="14">
        <v>46163.972951388881</v>
      </c>
    </row>
    <row r="2220" spans="1:12" x14ac:dyDescent="0.25">
      <c r="A2220" s="4" t="s">
        <v>3059</v>
      </c>
      <c r="B2220" s="16" t="s">
        <v>3120</v>
      </c>
      <c r="C2220" s="16" t="s">
        <v>3121</v>
      </c>
      <c r="D2220" s="4" t="s">
        <v>3117</v>
      </c>
      <c r="E2220" s="4" t="s">
        <v>3118</v>
      </c>
      <c r="F2220" s="5">
        <v>46163.348530092582</v>
      </c>
      <c r="G2220" s="16" t="s">
        <v>326</v>
      </c>
      <c r="H2220" s="4" t="s">
        <v>3098</v>
      </c>
      <c r="I2220" s="18" t="str" cm="1">
        <f t="array" ref="I2220">_xlfn.LET(_xlpm.text, D2220,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0" s="18" t="str" cm="1">
        <f t="array" ref="J2220">_xlfn.LET(_xlpm.text, E2220,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0" s="14">
        <v>46163.350104166653</v>
      </c>
      <c r="L2220" s="14">
        <v>46164.348530092582</v>
      </c>
    </row>
    <row r="2221" spans="1:12" x14ac:dyDescent="0.25">
      <c r="A2221" s="4" t="s">
        <v>3060</v>
      </c>
      <c r="B2221" s="16" t="s">
        <v>3120</v>
      </c>
      <c r="C2221" s="16" t="s">
        <v>3121</v>
      </c>
      <c r="D2221" s="4" t="s">
        <v>3117</v>
      </c>
      <c r="E2221" s="4" t="s">
        <v>3118</v>
      </c>
      <c r="F2221" s="5">
        <v>46163.72406249999</v>
      </c>
      <c r="G2221" s="16" t="s">
        <v>326</v>
      </c>
      <c r="H2221" s="4" t="s">
        <v>3099</v>
      </c>
      <c r="I2221" s="18" t="str" cm="1">
        <f t="array" ref="I2221">_xlfn.LET(_xlpm.text, D2221,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1" s="18" t="str" cm="1">
        <f t="array" ref="J2221">_xlfn.LET(_xlpm.text, E2221,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1" s="14">
        <v>46163.725636574061</v>
      </c>
      <c r="L2221" s="14">
        <v>46164.72406249999</v>
      </c>
    </row>
    <row r="2222" spans="1:12" x14ac:dyDescent="0.25">
      <c r="A2222" s="4" t="s">
        <v>3061</v>
      </c>
      <c r="B2222" s="16" t="s">
        <v>3120</v>
      </c>
      <c r="C2222" s="16" t="s">
        <v>3121</v>
      </c>
      <c r="D2222" s="4" t="s">
        <v>3117</v>
      </c>
      <c r="E2222" s="4" t="s">
        <v>3118</v>
      </c>
      <c r="F2222" s="5">
        <v>46164.099340277768</v>
      </c>
      <c r="G2222" s="16" t="s">
        <v>326</v>
      </c>
      <c r="H2222" s="4" t="s">
        <v>3100</v>
      </c>
      <c r="I2222" s="18" t="str" cm="1">
        <f t="array" ref="I2222">_xlfn.LET(_xlpm.text, D2222,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2" s="18" t="str" cm="1">
        <f t="array" ref="J2222">_xlfn.LET(_xlpm.text, E2222,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2" s="14">
        <v>46164.100914351839</v>
      </c>
      <c r="L2222" s="14">
        <v>46165.099340277768</v>
      </c>
    </row>
    <row r="2223" spans="1:12" x14ac:dyDescent="0.25">
      <c r="A2223" s="4" t="s">
        <v>3062</v>
      </c>
      <c r="B2223" s="16" t="s">
        <v>3120</v>
      </c>
      <c r="C2223" s="16" t="s">
        <v>3121</v>
      </c>
      <c r="D2223" s="4" t="s">
        <v>3117</v>
      </c>
      <c r="E2223" s="4" t="s">
        <v>3118</v>
      </c>
      <c r="F2223" s="5">
        <v>46164.349918981468</v>
      </c>
      <c r="G2223" s="16" t="s">
        <v>326</v>
      </c>
      <c r="H2223" s="4" t="s">
        <v>3101</v>
      </c>
      <c r="I2223" s="18" t="str" cm="1">
        <f t="array" ref="I2223">_xlfn.LET(_xlpm.text, D2223,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3" s="18" t="str" cm="1">
        <f t="array" ref="J2223">_xlfn.LET(_xlpm.text, E2223,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3" s="14">
        <v>46164.351493055539</v>
      </c>
      <c r="L2223" s="14">
        <v>46165.349918981468</v>
      </c>
    </row>
    <row r="2224" spans="1:12" x14ac:dyDescent="0.25">
      <c r="A2224" s="4" t="s">
        <v>3063</v>
      </c>
      <c r="B2224" s="16" t="s">
        <v>3120</v>
      </c>
      <c r="C2224" s="16" t="s">
        <v>3121</v>
      </c>
      <c r="D2224" s="4" t="s">
        <v>3117</v>
      </c>
      <c r="E2224" s="4" t="s">
        <v>3118</v>
      </c>
      <c r="F2224" s="5">
        <v>46164.641793981471</v>
      </c>
      <c r="G2224" s="16" t="s">
        <v>326</v>
      </c>
      <c r="H2224" s="4" t="s">
        <v>3102</v>
      </c>
      <c r="I2224" s="18" t="str" cm="1">
        <f t="array" ref="I2224">_xlfn.LET(_xlpm.text, D2224,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4" s="18" t="str" cm="1">
        <f t="array" ref="J2224">_xlfn.LET(_xlpm.text, E2224,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4" s="14">
        <v>46164.643368055542</v>
      </c>
      <c r="L2224" s="14">
        <v>46165.641793981471</v>
      </c>
    </row>
    <row r="2225" spans="1:12" x14ac:dyDescent="0.25">
      <c r="A2225" s="4" t="s">
        <v>3064</v>
      </c>
      <c r="B2225" s="16" t="s">
        <v>3120</v>
      </c>
      <c r="C2225" s="16" t="s">
        <v>3121</v>
      </c>
      <c r="D2225" s="4" t="s">
        <v>3117</v>
      </c>
      <c r="E2225" s="4" t="s">
        <v>3118</v>
      </c>
      <c r="F2225" s="5">
        <v>46165.017476851841</v>
      </c>
      <c r="G2225" s="16" t="s">
        <v>326</v>
      </c>
      <c r="H2225" s="4" t="s">
        <v>3103</v>
      </c>
      <c r="I2225" s="18" t="str" cm="1">
        <f t="array" ref="I2225">_xlfn.LET(_xlpm.text, D2225,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5" s="18" t="str" cm="1">
        <f t="array" ref="J2225">_xlfn.LET(_xlpm.text, E2225,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5" s="14">
        <v>46165.019050925912</v>
      </c>
      <c r="L2225" s="14">
        <v>46166.017476851841</v>
      </c>
    </row>
    <row r="2226" spans="1:12" x14ac:dyDescent="0.25">
      <c r="A2226" s="4" t="s">
        <v>3065</v>
      </c>
      <c r="B2226" s="16" t="s">
        <v>3120</v>
      </c>
      <c r="C2226" s="16" t="s">
        <v>3121</v>
      </c>
      <c r="D2226" s="4" t="s">
        <v>3117</v>
      </c>
      <c r="E2226" s="4" t="s">
        <v>3118</v>
      </c>
      <c r="F2226" s="5">
        <v>46165.267847222211</v>
      </c>
      <c r="G2226" s="16" t="s">
        <v>326</v>
      </c>
      <c r="H2226" s="4" t="s">
        <v>3104</v>
      </c>
      <c r="I2226" s="18" t="str" cm="1">
        <f t="array" ref="I2226">_xlfn.LET(_xlpm.text, D2226,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6" s="18" t="str" cm="1">
        <f t="array" ref="J2226">_xlfn.LET(_xlpm.text, E2226,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6" s="14">
        <v>46165.269421296282</v>
      </c>
      <c r="L2226" s="14">
        <v>46166.267847222211</v>
      </c>
    </row>
    <row r="2227" spans="1:12" x14ac:dyDescent="0.25">
      <c r="A2227" s="4" t="s">
        <v>3066</v>
      </c>
      <c r="B2227" s="16" t="s">
        <v>3120</v>
      </c>
      <c r="C2227" s="16" t="s">
        <v>3121</v>
      </c>
      <c r="D2227" s="4" t="s">
        <v>3117</v>
      </c>
      <c r="E2227" s="4" t="s">
        <v>3118</v>
      </c>
      <c r="F2227" s="5">
        <v>46165.55968749999</v>
      </c>
      <c r="G2227" s="16" t="s">
        <v>326</v>
      </c>
      <c r="H2227" s="4" t="s">
        <v>3105</v>
      </c>
      <c r="I2227" s="18" t="str" cm="1">
        <f t="array" ref="I2227">_xlfn.LET(_xlpm.text, D2227,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7" s="18" t="str" cm="1">
        <f t="array" ref="J2227">_xlfn.LET(_xlpm.text, E2227,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7" s="14">
        <v>46165.561261574061</v>
      </c>
      <c r="L2227" s="14">
        <v>46166.55968749999</v>
      </c>
    </row>
    <row r="2228" spans="1:12" x14ac:dyDescent="0.25">
      <c r="A2228" s="4" t="s">
        <v>3067</v>
      </c>
      <c r="B2228" s="16" t="s">
        <v>3120</v>
      </c>
      <c r="C2228" s="16" t="s">
        <v>3121</v>
      </c>
      <c r="D2228" s="4" t="s">
        <v>3117</v>
      </c>
      <c r="E2228" s="4" t="s">
        <v>3118</v>
      </c>
      <c r="F2228" s="5">
        <v>46165.935034722213</v>
      </c>
      <c r="G2228" s="16" t="s">
        <v>326</v>
      </c>
      <c r="H2228" s="4" t="s">
        <v>3106</v>
      </c>
      <c r="I2228" s="18" t="str" cm="1">
        <f t="array" ref="I2228">_xlfn.LET(_xlpm.text, D2228,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8" s="18" t="str" cm="1">
        <f t="array" ref="J2228">_xlfn.LET(_xlpm.text, E2228,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8" s="14">
        <v>46165.936608796284</v>
      </c>
      <c r="L2228" s="14">
        <v>46166.935034722213</v>
      </c>
    </row>
    <row r="2229" spans="1:12" x14ac:dyDescent="0.25">
      <c r="A2229" s="4" t="s">
        <v>3068</v>
      </c>
      <c r="B2229" s="16" t="s">
        <v>3120</v>
      </c>
      <c r="C2229" s="16" t="s">
        <v>3121</v>
      </c>
      <c r="D2229" s="4" t="s">
        <v>3117</v>
      </c>
      <c r="E2229" s="4" t="s">
        <v>3118</v>
      </c>
      <c r="F2229" s="5">
        <v>46166.268912037027</v>
      </c>
      <c r="G2229" s="16" t="s">
        <v>326</v>
      </c>
      <c r="H2229" s="4" t="s">
        <v>3107</v>
      </c>
      <c r="I2229" s="18" t="str" cm="1">
        <f t="array" ref="I2229">_xlfn.LET(_xlpm.text, D2229,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29" s="18" t="str" cm="1">
        <f t="array" ref="J2229">_xlfn.LET(_xlpm.text, E2229,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29" s="14">
        <v>46166.270486111098</v>
      </c>
      <c r="L2229" s="14">
        <v>46167.268912037027</v>
      </c>
    </row>
    <row r="2230" spans="1:12" x14ac:dyDescent="0.25">
      <c r="A2230" s="4" t="s">
        <v>3069</v>
      </c>
      <c r="B2230" s="16" t="s">
        <v>3120</v>
      </c>
      <c r="C2230" s="16" t="s">
        <v>3121</v>
      </c>
      <c r="D2230" s="4" t="s">
        <v>3117</v>
      </c>
      <c r="E2230" s="4" t="s">
        <v>3118</v>
      </c>
      <c r="F2230" s="5">
        <v>46166.561064814807</v>
      </c>
      <c r="G2230" s="16" t="s">
        <v>326</v>
      </c>
      <c r="H2230" s="4" t="s">
        <v>3108</v>
      </c>
      <c r="I2230" s="18" t="str" cm="1">
        <f t="array" ref="I2230">_xlfn.LET(_xlpm.text, D2230,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0" s="18" t="str" cm="1">
        <f t="array" ref="J2230">_xlfn.LET(_xlpm.text, E2230,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0" s="14">
        <v>46166.562638888878</v>
      </c>
      <c r="L2230" s="14">
        <v>46167.561064814807</v>
      </c>
    </row>
    <row r="2231" spans="1:12" x14ac:dyDescent="0.25">
      <c r="A2231" s="4" t="s">
        <v>3070</v>
      </c>
      <c r="B2231" s="16" t="s">
        <v>3120</v>
      </c>
      <c r="C2231" s="16" t="s">
        <v>3121</v>
      </c>
      <c r="D2231" s="4" t="s">
        <v>3117</v>
      </c>
      <c r="E2231" s="4" t="s">
        <v>3118</v>
      </c>
      <c r="F2231" s="5">
        <v>46166.894710648143</v>
      </c>
      <c r="G2231" s="16" t="s">
        <v>326</v>
      </c>
      <c r="H2231" s="4" t="s">
        <v>3017</v>
      </c>
      <c r="I2231" s="18" t="str" cm="1">
        <f t="array" ref="I2231">_xlfn.LET(_xlpm.text, D2231,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1" s="18" t="str" cm="1">
        <f t="array" ref="J2231">_xlfn.LET(_xlpm.text, E2231,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1" s="14">
        <v>46166.896284722214</v>
      </c>
      <c r="L2231" s="14">
        <v>46167.894710648143</v>
      </c>
    </row>
    <row r="2232" spans="1:12" x14ac:dyDescent="0.25">
      <c r="A2232" s="4" t="s">
        <v>3071</v>
      </c>
      <c r="B2232" s="16" t="s">
        <v>3120</v>
      </c>
      <c r="C2232" s="16" t="s">
        <v>3121</v>
      </c>
      <c r="D2232" s="4" t="s">
        <v>3117</v>
      </c>
      <c r="E2232" s="4" t="s">
        <v>3118</v>
      </c>
      <c r="F2232" s="5">
        <v>46167.144953703697</v>
      </c>
      <c r="G2232" s="16" t="s">
        <v>326</v>
      </c>
      <c r="H2232" s="4" t="s">
        <v>3109</v>
      </c>
      <c r="I2232" s="18" t="str" cm="1">
        <f t="array" ref="I2232">_xlfn.LET(_xlpm.text, D2232,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2" s="18" t="str" cm="1">
        <f t="array" ref="J2232">_xlfn.LET(_xlpm.text, E2232,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2" s="14">
        <v>46167.146527777768</v>
      </c>
      <c r="L2232" s="14">
        <v>46168.144953703697</v>
      </c>
    </row>
    <row r="2233" spans="1:12" x14ac:dyDescent="0.25">
      <c r="A2233" s="4" t="s">
        <v>3072</v>
      </c>
      <c r="B2233" s="16" t="s">
        <v>3120</v>
      </c>
      <c r="C2233" s="16" t="s">
        <v>3121</v>
      </c>
      <c r="D2233" s="4" t="s">
        <v>3117</v>
      </c>
      <c r="E2233" s="4" t="s">
        <v>3118</v>
      </c>
      <c r="F2233" s="5">
        <v>46167.478738425918</v>
      </c>
      <c r="G2233" s="16" t="s">
        <v>326</v>
      </c>
      <c r="H2233" s="4" t="s">
        <v>3110</v>
      </c>
      <c r="I2233" s="18" t="str" cm="1">
        <f t="array" ref="I2233">_xlfn.LET(_xlpm.text, D2233,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3" s="18" t="str" cm="1">
        <f t="array" ref="J2233">_xlfn.LET(_xlpm.text, E2233,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3" s="14">
        <v>46167.480312499989</v>
      </c>
      <c r="L2233" s="14">
        <v>46168.478738425918</v>
      </c>
    </row>
    <row r="2234" spans="1:12" x14ac:dyDescent="0.25">
      <c r="A2234" s="4" t="s">
        <v>3073</v>
      </c>
      <c r="B2234" s="16" t="s">
        <v>3120</v>
      </c>
      <c r="C2234" s="16" t="s">
        <v>3121</v>
      </c>
      <c r="D2234" s="4" t="s">
        <v>3117</v>
      </c>
      <c r="E2234" s="4" t="s">
        <v>3118</v>
      </c>
      <c r="F2234" s="5">
        <v>46167.812222222215</v>
      </c>
      <c r="G2234" s="16" t="s">
        <v>326</v>
      </c>
      <c r="H2234" s="4" t="s">
        <v>3111</v>
      </c>
      <c r="I2234" s="18" t="str" cm="1">
        <f t="array" ref="I2234">_xlfn.LET(_xlpm.text, D2234,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4" s="18" t="str" cm="1">
        <f t="array" ref="J2234">_xlfn.LET(_xlpm.text, E2234,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4" s="14">
        <v>46167.813796296286</v>
      </c>
      <c r="L2234" s="14">
        <v>46168.812222222215</v>
      </c>
    </row>
    <row r="2235" spans="1:12" x14ac:dyDescent="0.25">
      <c r="A2235" s="4" t="s">
        <v>3074</v>
      </c>
      <c r="B2235" s="16" t="s">
        <v>3120</v>
      </c>
      <c r="C2235" s="16" t="s">
        <v>3121</v>
      </c>
      <c r="D2235" s="4" t="s">
        <v>3117</v>
      </c>
      <c r="E2235" s="4" t="s">
        <v>3118</v>
      </c>
      <c r="F2235" s="5">
        <v>46168.062650462954</v>
      </c>
      <c r="G2235" s="16" t="s">
        <v>326</v>
      </c>
      <c r="H2235" s="4" t="s">
        <v>3086</v>
      </c>
      <c r="I2235" s="18" t="str" cm="1">
        <f t="array" ref="I2235">_xlfn.LET(_xlpm.text, D2235,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5" s="18" t="str" cm="1">
        <f t="array" ref="J2235">_xlfn.LET(_xlpm.text, E2235,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5" s="14">
        <v>46168.064224537025</v>
      </c>
      <c r="L2235" s="14">
        <v>46169.062650462954</v>
      </c>
    </row>
    <row r="2236" spans="1:12" x14ac:dyDescent="0.25">
      <c r="A2236" s="4" t="s">
        <v>3075</v>
      </c>
      <c r="B2236" s="16" t="s">
        <v>3120</v>
      </c>
      <c r="C2236" s="16" t="s">
        <v>3121</v>
      </c>
      <c r="D2236" s="4" t="s">
        <v>3117</v>
      </c>
      <c r="E2236" s="4" t="s">
        <v>3118</v>
      </c>
      <c r="F2236" s="5">
        <v>46168.438136574063</v>
      </c>
      <c r="G2236" s="16" t="s">
        <v>326</v>
      </c>
      <c r="H2236" s="4" t="s">
        <v>3112</v>
      </c>
      <c r="I2236" s="18" t="str" cm="1">
        <f t="array" ref="I2236">_xlfn.LET(_xlpm.text, D2236,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6" s="18" t="str" cm="1">
        <f t="array" ref="J2236">_xlfn.LET(_xlpm.text, E2236,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6" s="14">
        <v>46168.439710648134</v>
      </c>
      <c r="L2236" s="14">
        <v>46169.438136574063</v>
      </c>
    </row>
    <row r="2237" spans="1:12" x14ac:dyDescent="0.25">
      <c r="A2237" s="4" t="s">
        <v>3076</v>
      </c>
      <c r="B2237" s="16" t="s">
        <v>3120</v>
      </c>
      <c r="C2237" s="16" t="s">
        <v>3121</v>
      </c>
      <c r="D2237" s="4" t="s">
        <v>3117</v>
      </c>
      <c r="E2237" s="4" t="s">
        <v>3118</v>
      </c>
      <c r="F2237" s="5">
        <v>46168.730324074066</v>
      </c>
      <c r="G2237" s="16" t="s">
        <v>326</v>
      </c>
      <c r="H2237" s="4" t="s">
        <v>3113</v>
      </c>
      <c r="I2237" s="18" t="str" cm="1">
        <f t="array" ref="I2237">_xlfn.LET(_xlpm.text, D2237,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7" s="18" t="str" cm="1">
        <f t="array" ref="J2237">_xlfn.LET(_xlpm.text, E2237,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7" s="14">
        <v>46168.731898148137</v>
      </c>
      <c r="L2237" s="14">
        <v>46169.730324074066</v>
      </c>
    </row>
    <row r="2238" spans="1:12" x14ac:dyDescent="0.25">
      <c r="A2238" s="4" t="s">
        <v>3077</v>
      </c>
      <c r="B2238" s="16" t="s">
        <v>3120</v>
      </c>
      <c r="C2238" s="16" t="s">
        <v>3121</v>
      </c>
      <c r="D2238" s="4" t="s">
        <v>3117</v>
      </c>
      <c r="E2238" s="4" t="s">
        <v>3118</v>
      </c>
      <c r="F2238" s="5">
        <v>46169.105914351843</v>
      </c>
      <c r="G2238" s="16" t="s">
        <v>326</v>
      </c>
      <c r="H2238" s="4" t="s">
        <v>3114</v>
      </c>
      <c r="I2238" s="18" t="str" cm="1">
        <f t="array" ref="I2238">_xlfn.LET(_xlpm.text, D2238,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8" s="18" t="str" cm="1">
        <f t="array" ref="J2238">_xlfn.LET(_xlpm.text, E2238,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8" s="14">
        <v>46169.107488425914</v>
      </c>
      <c r="L2238" s="14">
        <v>46170.105914351843</v>
      </c>
    </row>
    <row r="2239" spans="1:12" x14ac:dyDescent="0.25">
      <c r="A2239" s="4" t="s">
        <v>3078</v>
      </c>
      <c r="B2239" s="16" t="s">
        <v>3120</v>
      </c>
      <c r="C2239" s="16" t="s">
        <v>3121</v>
      </c>
      <c r="D2239" s="4" t="s">
        <v>3117</v>
      </c>
      <c r="E2239" s="4" t="s">
        <v>3118</v>
      </c>
      <c r="F2239" s="5">
        <v>46169.397916666661</v>
      </c>
      <c r="G2239" s="16" t="s">
        <v>326</v>
      </c>
      <c r="H2239" s="4" t="s">
        <v>2968</v>
      </c>
      <c r="I2239" s="18" t="str" cm="1">
        <f t="array" ref="I2239">_xlfn.LET(_xlpm.text, D2239,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39" s="18" t="str" cm="1">
        <f t="array" ref="J2239">_xlfn.LET(_xlpm.text, E2239,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39" s="14">
        <v>46169.399490740732</v>
      </c>
      <c r="L2239" s="14">
        <v>46170.397916666661</v>
      </c>
    </row>
    <row r="2240" spans="1:12" x14ac:dyDescent="0.25">
      <c r="A2240" s="4" t="s">
        <v>3079</v>
      </c>
      <c r="B2240" s="16" t="s">
        <v>3120</v>
      </c>
      <c r="C2240" s="16" t="s">
        <v>3121</v>
      </c>
      <c r="D2240" s="4" t="s">
        <v>3117</v>
      </c>
      <c r="E2240" s="4" t="s">
        <v>3118</v>
      </c>
      <c r="F2240" s="5">
        <v>46169.731724537029</v>
      </c>
      <c r="G2240" s="16" t="s">
        <v>326</v>
      </c>
      <c r="H2240" s="4" t="s">
        <v>3115</v>
      </c>
      <c r="I2240" s="18" t="str" cm="1">
        <f t="array" ref="I2240">_xlfn.LET(_xlpm.text, D2240,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40" s="18" t="str" cm="1">
        <f t="array" ref="J2240">_xlfn.LET(_xlpm.text, E2240,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40" s="14">
        <v>46169.7332986111</v>
      </c>
      <c r="L2240" s="14">
        <v>46170.731724537029</v>
      </c>
    </row>
    <row r="2241" spans="1:12" x14ac:dyDescent="0.25">
      <c r="A2241" s="4" t="s">
        <v>3080</v>
      </c>
      <c r="B2241" s="16" t="s">
        <v>3120</v>
      </c>
      <c r="C2241" s="16" t="s">
        <v>3121</v>
      </c>
      <c r="D2241" s="4" t="s">
        <v>3117</v>
      </c>
      <c r="E2241" s="4" t="s">
        <v>3118</v>
      </c>
      <c r="F2241" s="5">
        <v>46170.02398148147</v>
      </c>
      <c r="G2241" s="16" t="s">
        <v>326</v>
      </c>
      <c r="H2241" s="4" t="s">
        <v>3116</v>
      </c>
      <c r="I2241" s="18" t="str" cm="1">
        <f t="array" ref="I2241">_xlfn.LET(_xlpm.text, D2241,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41" s="18" t="str" cm="1">
        <f t="array" ref="J2241">_xlfn.LET(_xlpm.text, E2241,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41" s="14">
        <v>46170.025555555541</v>
      </c>
      <c r="L2241" s="14">
        <v>46171.02398148147</v>
      </c>
    </row>
    <row r="2242" spans="1:12" x14ac:dyDescent="0.25">
      <c r="A2242" s="4" t="s">
        <v>3081</v>
      </c>
      <c r="B2242" s="16" t="s">
        <v>3120</v>
      </c>
      <c r="C2242" s="16" t="s">
        <v>3121</v>
      </c>
      <c r="D2242" s="4" t="s">
        <v>3117</v>
      </c>
      <c r="E2242" s="4" t="s">
        <v>3118</v>
      </c>
      <c r="F2242" s="5">
        <v>46170.274386574063</v>
      </c>
      <c r="G2242" s="16" t="s">
        <v>326</v>
      </c>
      <c r="H2242" s="4" t="s">
        <v>3122</v>
      </c>
      <c r="I2242" s="18" t="str" cm="1">
        <f t="array" ref="I2242">_xlfn.LET(_xlpm.text, D2242, _xlpm.L, LEN(_xlpm.text), _xlfn.CONCAT(_xlfn.MAP(_xlfn.SEQUENCE(_xlpm.L), _xlfn.LAMBDA(_xlpm.i, _xlfn.LET(_xlpm.char, MID(_xlpm.text, _xlpm.i, 1), IF(OR(_xlpm.i=1, _xlpm.i=_xlpm.L, _xlpm.char=" "), _xlpm.char, "X"))))))</f>
        <v>NXXXX XXXXXXXXXXXX XXXXXXy</v>
      </c>
      <c r="J2242" s="18" t="str" cm="1">
        <f t="array" ref="J2242">_xlfn.LET(_xlpm.text, E2242, _xlpm.L, LEN(_xlpm.text), _xlfn.CONCAT(_xlfn.MAP(_xlfn.SEQUENCE(_xlpm.L), _xlfn.LAMBDA(_xlpm.i, _xlfn.LET(_xlpm.char, MID(_xlpm.text, _xlpm.i, 1), IF(OR(_xlpm.i=1, _xlpm.i=_xlpm.L, _xlpm.char=" "), _xlpm.char, "X"))))))</f>
        <v>4XXXXX XXXXXX XXXXXXXX XXXXXXx</v>
      </c>
      <c r="K2242" s="14">
        <v>46170.275960648134</v>
      </c>
      <c r="L2242" s="14">
        <v>46171.274386574063</v>
      </c>
    </row>
    <row r="2243" spans="1:12" x14ac:dyDescent="0.25">
      <c r="A2243" s="4" t="s">
        <v>3123</v>
      </c>
      <c r="B2243" s="16" t="str">
        <f t="shared" ref="B2243:B2306" si="173">VLOOKUP(LEFT($A2243,4)&amp;"*",$O$3:$R$17, 2, FALSE)</f>
        <v>M/s SHREE VISHNU MINERALS</v>
      </c>
      <c r="C2243" s="16" t="str">
        <f t="shared" ref="C2243:C2306" si="174">VLOOKUP(LEFT($A2243,4)&amp;"*",$O$3:$R$17, 3, FALSE)</f>
        <v>Mokha Charnan / Kolayat / Bikaner</v>
      </c>
      <c r="D2243" s="4" t="s">
        <v>3035</v>
      </c>
      <c r="E2243" s="4" t="s">
        <v>3192</v>
      </c>
      <c r="F2243" s="5">
        <v>46181.63653935185</v>
      </c>
      <c r="G2243" s="16" t="str">
        <f t="shared" ref="G2243:G2306" si="175">VLOOKUP(LEFT($A2243,4)&amp;"*",$O$3:$R$17, 4, FALSE)</f>
        <v>Silica Sand</v>
      </c>
      <c r="H2243" s="4" t="s">
        <v>2708</v>
      </c>
      <c r="I2243" s="18" t="str" cm="1">
        <f t="array" ref="I2243">_xlfn.LET(_xlpm.text, D2243,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3" s="18" t="str" cm="1">
        <f t="array" ref="J2243">_xlfn.LET(_xlpm.text, E2243,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3" s="14">
        <v>46181.637094907404</v>
      </c>
      <c r="L2243" s="14">
        <f t="shared" ref="L2243:L2306" si="176">F2243+(15/24)</f>
        <v>46182.26153935185</v>
      </c>
    </row>
    <row r="2244" spans="1:12" x14ac:dyDescent="0.25">
      <c r="A2244" s="4" t="s">
        <v>3124</v>
      </c>
      <c r="B2244" s="16" t="str">
        <f t="shared" si="173"/>
        <v>M/s SHREE VISHNU MINERALS</v>
      </c>
      <c r="C2244" s="16" t="str">
        <f t="shared" si="174"/>
        <v>Mokha Charnan / Kolayat / Bikaner</v>
      </c>
      <c r="D2244" s="4" t="s">
        <v>3035</v>
      </c>
      <c r="E2244" s="4" t="s">
        <v>3192</v>
      </c>
      <c r="F2244" s="5">
        <v>46181.576967592591</v>
      </c>
      <c r="G2244" s="16" t="str">
        <f t="shared" si="175"/>
        <v>Silica Sand</v>
      </c>
      <c r="H2244" s="4" t="s">
        <v>3194</v>
      </c>
      <c r="I2244" s="18" t="str" cm="1">
        <f t="array" ref="I2244">_xlfn.LET(_xlpm.text, D2244,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4" s="18" t="str" cm="1">
        <f t="array" ref="J2244">_xlfn.LET(_xlpm.text, E2244,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4" s="14">
        <v>46181.577499999999</v>
      </c>
      <c r="L2244" s="14">
        <f t="shared" si="176"/>
        <v>46182.201967592591</v>
      </c>
    </row>
    <row r="2245" spans="1:12" x14ac:dyDescent="0.25">
      <c r="A2245" s="4" t="s">
        <v>3125</v>
      </c>
      <c r="B2245" s="16" t="str">
        <f t="shared" si="173"/>
        <v>M/s SHREE VISHNU MINERALS</v>
      </c>
      <c r="C2245" s="16" t="str">
        <f t="shared" si="174"/>
        <v>Mokha Charnan / Kolayat / Bikaner</v>
      </c>
      <c r="D2245" s="4" t="s">
        <v>3035</v>
      </c>
      <c r="E2245" s="4" t="s">
        <v>3192</v>
      </c>
      <c r="F2245" s="5">
        <v>46180.932847222219</v>
      </c>
      <c r="G2245" s="16" t="str">
        <f t="shared" si="175"/>
        <v>Silica Sand</v>
      </c>
      <c r="H2245" s="4" t="s">
        <v>2766</v>
      </c>
      <c r="I2245" s="18" t="str" cm="1">
        <f t="array" ref="I2245">_xlfn.LET(_xlpm.text, D2245,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5" s="18" t="str" cm="1">
        <f t="array" ref="J2245">_xlfn.LET(_xlpm.text, E2245,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5" s="14">
        <v>46180.93341435185</v>
      </c>
      <c r="L2245" s="14">
        <f t="shared" si="176"/>
        <v>46181.557847222219</v>
      </c>
    </row>
    <row r="2246" spans="1:12" x14ac:dyDescent="0.25">
      <c r="A2246" s="4" t="s">
        <v>3126</v>
      </c>
      <c r="B2246" s="16" t="str">
        <f t="shared" si="173"/>
        <v>M/s SHREE VISHNU MINERALS</v>
      </c>
      <c r="C2246" s="16" t="str">
        <f t="shared" si="174"/>
        <v>Mokha Charnan / Kolayat / Bikaner</v>
      </c>
      <c r="D2246" s="4" t="s">
        <v>3035</v>
      </c>
      <c r="E2246" s="4" t="s">
        <v>3192</v>
      </c>
      <c r="F2246" s="5">
        <v>46180.8675</v>
      </c>
      <c r="G2246" s="16" t="str">
        <f t="shared" si="175"/>
        <v>Silica Sand</v>
      </c>
      <c r="H2246" s="4" t="s">
        <v>2582</v>
      </c>
      <c r="I2246" s="18" t="str" cm="1">
        <f t="array" ref="I2246">_xlfn.LET(_xlpm.text, D2246,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6" s="18" t="str" cm="1">
        <f t="array" ref="J2246">_xlfn.LET(_xlpm.text, E2246,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6" s="14">
        <v>46180.868090277778</v>
      </c>
      <c r="L2246" s="14">
        <f t="shared" si="176"/>
        <v>46181.4925</v>
      </c>
    </row>
    <row r="2247" spans="1:12" x14ac:dyDescent="0.25">
      <c r="A2247" s="4" t="s">
        <v>3127</v>
      </c>
      <c r="B2247" s="16" t="str">
        <f t="shared" si="173"/>
        <v>M/s SHREE VISHNU MINERALS</v>
      </c>
      <c r="C2247" s="16" t="str">
        <f t="shared" si="174"/>
        <v>Mokha Charnan / Kolayat / Bikaner</v>
      </c>
      <c r="D2247" s="4" t="s">
        <v>3035</v>
      </c>
      <c r="E2247" s="4" t="s">
        <v>3192</v>
      </c>
      <c r="F2247" s="5">
        <v>46180.778368055559</v>
      </c>
      <c r="G2247" s="16" t="str">
        <f t="shared" si="175"/>
        <v>Silica Sand</v>
      </c>
      <c r="H2247" s="4" t="s">
        <v>2904</v>
      </c>
      <c r="I2247" s="18" t="str" cm="1">
        <f t="array" ref="I2247">_xlfn.LET(_xlpm.text, D2247,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7" s="18" t="str" cm="1">
        <f t="array" ref="J2247">_xlfn.LET(_xlpm.text, E2247,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7" s="14">
        <v>46180.779872685183</v>
      </c>
      <c r="L2247" s="14">
        <f t="shared" si="176"/>
        <v>46181.403368055559</v>
      </c>
    </row>
    <row r="2248" spans="1:12" x14ac:dyDescent="0.25">
      <c r="A2248" s="4" t="s">
        <v>3128</v>
      </c>
      <c r="B2248" s="16" t="str">
        <f t="shared" si="173"/>
        <v>M/s SHREE VISHNU MINERALS</v>
      </c>
      <c r="C2248" s="16" t="str">
        <f t="shared" si="174"/>
        <v>Mokha Charnan / Kolayat / Bikaner</v>
      </c>
      <c r="D2248" s="4" t="s">
        <v>3035</v>
      </c>
      <c r="E2248" s="4" t="s">
        <v>3192</v>
      </c>
      <c r="F2248" s="5">
        <v>46179.765104166669</v>
      </c>
      <c r="G2248" s="16" t="str">
        <f t="shared" si="175"/>
        <v>Silica Sand</v>
      </c>
      <c r="H2248" s="4" t="s">
        <v>412</v>
      </c>
      <c r="I2248" s="18" t="str" cm="1">
        <f t="array" ref="I2248">_xlfn.LET(_xlpm.text, D2248,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8" s="18" t="str" cm="1">
        <f t="array" ref="J2248">_xlfn.LET(_xlpm.text, E2248,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8" s="14">
        <v>46179.765833333331</v>
      </c>
      <c r="L2248" s="14">
        <f t="shared" si="176"/>
        <v>46180.390104166669</v>
      </c>
    </row>
    <row r="2249" spans="1:12" x14ac:dyDescent="0.25">
      <c r="A2249" s="4" t="s">
        <v>3129</v>
      </c>
      <c r="B2249" s="16" t="str">
        <f t="shared" si="173"/>
        <v>M/s SHREE VISHNU MINERALS</v>
      </c>
      <c r="C2249" s="16" t="str">
        <f t="shared" si="174"/>
        <v>Mokha Charnan / Kolayat / Bikaner</v>
      </c>
      <c r="D2249" s="4" t="s">
        <v>3035</v>
      </c>
      <c r="E2249" s="4" t="s">
        <v>3192</v>
      </c>
      <c r="F2249" s="5">
        <v>46179.659131944441</v>
      </c>
      <c r="G2249" s="16" t="str">
        <f t="shared" si="175"/>
        <v>Silica Sand</v>
      </c>
      <c r="H2249" s="4" t="s">
        <v>3195</v>
      </c>
      <c r="I2249" s="18" t="str" cm="1">
        <f t="array" ref="I2249">_xlfn.LET(_xlpm.text, D2249,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49" s="18" t="str" cm="1">
        <f t="array" ref="J2249">_xlfn.LET(_xlpm.text, E2249,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49" s="14">
        <v>46179.660486111112</v>
      </c>
      <c r="L2249" s="14">
        <f t="shared" si="176"/>
        <v>46180.284131944441</v>
      </c>
    </row>
    <row r="2250" spans="1:12" x14ac:dyDescent="0.25">
      <c r="A2250" s="4" t="s">
        <v>3130</v>
      </c>
      <c r="B2250" s="16" t="str">
        <f t="shared" si="173"/>
        <v>M/s SHREE VISHNU MINERALS</v>
      </c>
      <c r="C2250" s="16" t="str">
        <f t="shared" si="174"/>
        <v>Mokha Charnan / Kolayat / Bikaner</v>
      </c>
      <c r="D2250" s="4" t="s">
        <v>3035</v>
      </c>
      <c r="E2250" s="4" t="s">
        <v>3192</v>
      </c>
      <c r="F2250" s="5">
        <v>46179.651504629626</v>
      </c>
      <c r="G2250" s="16" t="str">
        <f t="shared" si="175"/>
        <v>Silica Sand</v>
      </c>
      <c r="H2250" s="4" t="s">
        <v>2856</v>
      </c>
      <c r="I2250" s="18" t="str" cm="1">
        <f t="array" ref="I2250">_xlfn.LET(_xlpm.text, D2250,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0" s="18" t="str" cm="1">
        <f t="array" ref="J2250">_xlfn.LET(_xlpm.text, E2250,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0" s="14">
        <v>46179.652175925927</v>
      </c>
      <c r="L2250" s="14">
        <f t="shared" si="176"/>
        <v>46180.276504629626</v>
      </c>
    </row>
    <row r="2251" spans="1:12" x14ac:dyDescent="0.25">
      <c r="A2251" s="4" t="s">
        <v>3131</v>
      </c>
      <c r="B2251" s="16" t="str">
        <f t="shared" si="173"/>
        <v>M/s SHREE VISHNU MINERALS</v>
      </c>
      <c r="C2251" s="16" t="str">
        <f t="shared" si="174"/>
        <v>Mokha Charnan / Kolayat / Bikaner</v>
      </c>
      <c r="D2251" s="4" t="s">
        <v>3035</v>
      </c>
      <c r="E2251" s="4" t="s">
        <v>3192</v>
      </c>
      <c r="F2251" s="5">
        <v>46179.616770833331</v>
      </c>
      <c r="G2251" s="16" t="str">
        <f t="shared" si="175"/>
        <v>Silica Sand</v>
      </c>
      <c r="H2251" s="4" t="s">
        <v>2882</v>
      </c>
      <c r="I2251" s="18" t="str" cm="1">
        <f t="array" ref="I2251">_xlfn.LET(_xlpm.text, D2251,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1" s="18" t="str" cm="1">
        <f t="array" ref="J2251">_xlfn.LET(_xlpm.text, E2251,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1" s="14">
        <v>46179.617349537039</v>
      </c>
      <c r="L2251" s="14">
        <f t="shared" si="176"/>
        <v>46180.241770833331</v>
      </c>
    </row>
    <row r="2252" spans="1:12" x14ac:dyDescent="0.25">
      <c r="A2252" s="4" t="s">
        <v>3132</v>
      </c>
      <c r="B2252" s="16" t="str">
        <f t="shared" si="173"/>
        <v>M/s SHREE VISHNU MINERALS</v>
      </c>
      <c r="C2252" s="16" t="str">
        <f t="shared" si="174"/>
        <v>Mokha Charnan / Kolayat / Bikaner</v>
      </c>
      <c r="D2252" s="4" t="s">
        <v>3035</v>
      </c>
      <c r="E2252" s="4" t="s">
        <v>3192</v>
      </c>
      <c r="F2252" s="5">
        <v>46179.576597222222</v>
      </c>
      <c r="G2252" s="16" t="str">
        <f t="shared" si="175"/>
        <v>Silica Sand</v>
      </c>
      <c r="H2252" s="4" t="s">
        <v>2978</v>
      </c>
      <c r="I2252" s="18" t="str" cm="1">
        <f t="array" ref="I2252">_xlfn.LET(_xlpm.text, D2252,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2" s="18" t="str" cm="1">
        <f t="array" ref="J2252">_xlfn.LET(_xlpm.text, E2252,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2" s="14">
        <v>46179.577175925922</v>
      </c>
      <c r="L2252" s="14">
        <f t="shared" si="176"/>
        <v>46180.201597222222</v>
      </c>
    </row>
    <row r="2253" spans="1:12" x14ac:dyDescent="0.25">
      <c r="A2253" s="4" t="s">
        <v>3133</v>
      </c>
      <c r="B2253" s="16" t="str">
        <f t="shared" si="173"/>
        <v>M/s SHREE VISHNU MINERALS</v>
      </c>
      <c r="C2253" s="16" t="str">
        <f t="shared" si="174"/>
        <v>Mokha Charnan / Kolayat / Bikaner</v>
      </c>
      <c r="D2253" s="4" t="s">
        <v>3035</v>
      </c>
      <c r="E2253" s="4" t="s">
        <v>3192</v>
      </c>
      <c r="F2253" s="5">
        <v>46179.442002314812</v>
      </c>
      <c r="G2253" s="16" t="str">
        <f t="shared" si="175"/>
        <v>Silica Sand</v>
      </c>
      <c r="H2253" s="4" t="s">
        <v>389</v>
      </c>
      <c r="I2253" s="18" t="str" cm="1">
        <f t="array" ref="I2253">_xlfn.LET(_xlpm.text, D2253,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3" s="18" t="str" cm="1">
        <f t="array" ref="J2253">_xlfn.LET(_xlpm.text, E2253,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3" s="14">
        <v>46179.442685185182</v>
      </c>
      <c r="L2253" s="14">
        <f t="shared" si="176"/>
        <v>46180.067002314812</v>
      </c>
    </row>
    <row r="2254" spans="1:12" x14ac:dyDescent="0.25">
      <c r="A2254" s="4" t="s">
        <v>3134</v>
      </c>
      <c r="B2254" s="16" t="str">
        <f t="shared" si="173"/>
        <v>M/s SHREE VISHNU MINERALS</v>
      </c>
      <c r="C2254" s="16" t="str">
        <f t="shared" si="174"/>
        <v>Mokha Charnan / Kolayat / Bikaner</v>
      </c>
      <c r="D2254" s="4" t="s">
        <v>3035</v>
      </c>
      <c r="E2254" s="4" t="s">
        <v>3192</v>
      </c>
      <c r="F2254" s="5">
        <v>46178.868379629632</v>
      </c>
      <c r="G2254" s="16" t="str">
        <f t="shared" si="175"/>
        <v>Silica Sand</v>
      </c>
      <c r="H2254" s="4" t="s">
        <v>2766</v>
      </c>
      <c r="I2254" s="18" t="str" cm="1">
        <f t="array" ref="I2254">_xlfn.LET(_xlpm.text, D2254,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4" s="18" t="str" cm="1">
        <f t="array" ref="J2254">_xlfn.LET(_xlpm.text, E2254,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4" s="14">
        <v>46178.868842592594</v>
      </c>
      <c r="L2254" s="14">
        <f t="shared" si="176"/>
        <v>46179.493379629632</v>
      </c>
    </row>
    <row r="2255" spans="1:12" x14ac:dyDescent="0.25">
      <c r="A2255" s="4" t="s">
        <v>3135</v>
      </c>
      <c r="B2255" s="16" t="str">
        <f t="shared" si="173"/>
        <v>M/s SHREE VISHNU MINERALS</v>
      </c>
      <c r="C2255" s="16" t="str">
        <f t="shared" si="174"/>
        <v>Mokha Charnan / Kolayat / Bikaner</v>
      </c>
      <c r="D2255" s="4" t="s">
        <v>3035</v>
      </c>
      <c r="E2255" s="4" t="s">
        <v>3192</v>
      </c>
      <c r="F2255" s="5">
        <v>46178.846030092594</v>
      </c>
      <c r="G2255" s="16" t="str">
        <f t="shared" si="175"/>
        <v>Silica Sand</v>
      </c>
      <c r="H2255" s="4" t="s">
        <v>2582</v>
      </c>
      <c r="I2255" s="18" t="str" cm="1">
        <f t="array" ref="I2255">_xlfn.LET(_xlpm.text, D2255,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5" s="18" t="str" cm="1">
        <f t="array" ref="J2255">_xlfn.LET(_xlpm.text, E2255,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5" s="14">
        <v>46178.846504629626</v>
      </c>
      <c r="L2255" s="14">
        <f t="shared" si="176"/>
        <v>46179.471030092594</v>
      </c>
    </row>
    <row r="2256" spans="1:12" x14ac:dyDescent="0.25">
      <c r="A2256" s="4" t="s">
        <v>3136</v>
      </c>
      <c r="B2256" s="16" t="str">
        <f t="shared" si="173"/>
        <v>M/s SHREE VISHNU MINERALS</v>
      </c>
      <c r="C2256" s="16" t="str">
        <f t="shared" si="174"/>
        <v>Mokha Charnan / Kolayat / Bikaner</v>
      </c>
      <c r="D2256" s="4" t="s">
        <v>3035</v>
      </c>
      <c r="E2256" s="4" t="s">
        <v>3192</v>
      </c>
      <c r="F2256" s="5">
        <v>46178.80027777778</v>
      </c>
      <c r="G2256" s="16" t="str">
        <f t="shared" si="175"/>
        <v>Silica Sand</v>
      </c>
      <c r="H2256" s="4" t="s">
        <v>2315</v>
      </c>
      <c r="I2256" s="18" t="str" cm="1">
        <f t="array" ref="I2256">_xlfn.LET(_xlpm.text, D2256,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6" s="18" t="str" cm="1">
        <f t="array" ref="J2256">_xlfn.LET(_xlpm.text, E2256,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6" s="14">
        <v>46178.800844907404</v>
      </c>
      <c r="L2256" s="14">
        <f t="shared" si="176"/>
        <v>46179.42527777778</v>
      </c>
    </row>
    <row r="2257" spans="1:12" x14ac:dyDescent="0.25">
      <c r="A2257" s="4" t="s">
        <v>3137</v>
      </c>
      <c r="B2257" s="16" t="str">
        <f t="shared" si="173"/>
        <v>M/s SHREE VISHNU MINERALS</v>
      </c>
      <c r="C2257" s="16" t="str">
        <f t="shared" si="174"/>
        <v>Mokha Charnan / Kolayat / Bikaner</v>
      </c>
      <c r="D2257" s="4" t="s">
        <v>3035</v>
      </c>
      <c r="E2257" s="4" t="s">
        <v>3192</v>
      </c>
      <c r="F2257" s="5">
        <v>46178.795659722222</v>
      </c>
      <c r="G2257" s="16" t="str">
        <f t="shared" si="175"/>
        <v>Silica Sand</v>
      </c>
      <c r="H2257" s="4" t="s">
        <v>2399</v>
      </c>
      <c r="I2257" s="18" t="str" cm="1">
        <f t="array" ref="I2257">_xlfn.LET(_xlpm.text, D2257,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7" s="18" t="str" cm="1">
        <f t="array" ref="J2257">_xlfn.LET(_xlpm.text, E2257,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7" s="14">
        <v>46178.796284722222</v>
      </c>
      <c r="L2257" s="14">
        <f t="shared" si="176"/>
        <v>46179.420659722222</v>
      </c>
    </row>
    <row r="2258" spans="1:12" x14ac:dyDescent="0.25">
      <c r="A2258" s="4" t="s">
        <v>3138</v>
      </c>
      <c r="B2258" s="16" t="str">
        <f t="shared" si="173"/>
        <v>M/s SHREE VISHNU MINERALS</v>
      </c>
      <c r="C2258" s="16" t="str">
        <f t="shared" si="174"/>
        <v>Mokha Charnan / Kolayat / Bikaner</v>
      </c>
      <c r="D2258" s="4" t="s">
        <v>3035</v>
      </c>
      <c r="E2258" s="4" t="s">
        <v>3192</v>
      </c>
      <c r="F2258" s="5">
        <v>46178.75341435185</v>
      </c>
      <c r="G2258" s="16" t="str">
        <f t="shared" si="175"/>
        <v>Silica Sand</v>
      </c>
      <c r="H2258" s="4" t="s">
        <v>2766</v>
      </c>
      <c r="I2258" s="18" t="str" cm="1">
        <f t="array" ref="I2258">_xlfn.LET(_xlpm.text, D2258,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8" s="18" t="str" cm="1">
        <f t="array" ref="J2258">_xlfn.LET(_xlpm.text, E2258,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58" s="14">
        <v>46178.753912037035</v>
      </c>
      <c r="L2258" s="14">
        <f t="shared" si="176"/>
        <v>46179.37841435185</v>
      </c>
    </row>
    <row r="2259" spans="1:12" x14ac:dyDescent="0.25">
      <c r="A2259" s="4" t="s">
        <v>3139</v>
      </c>
      <c r="B2259" s="16" t="str">
        <f t="shared" si="173"/>
        <v>M/s SHREE VISHNU MINERALS</v>
      </c>
      <c r="C2259" s="16" t="str">
        <f t="shared" si="174"/>
        <v>Mokha Charnan / Kolayat / Bikaner</v>
      </c>
      <c r="D2259" s="4" t="s">
        <v>3035</v>
      </c>
      <c r="E2259" s="4" t="s">
        <v>3193</v>
      </c>
      <c r="F2259" s="5">
        <v>46177.795636574076</v>
      </c>
      <c r="G2259" s="16" t="str">
        <f t="shared" si="175"/>
        <v>Silica Sand</v>
      </c>
      <c r="H2259" s="4" t="s">
        <v>2766</v>
      </c>
      <c r="I2259" s="18" t="str" cm="1">
        <f t="array" ref="I2259">_xlfn.LET(_xlpm.text, D2259,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59" s="18" t="str" cm="1">
        <f t="array" ref="J2259">_xlfn.LET(_xlpm.text, E2259, _xlpm.L, LEN(_xlpm.text), _xlfn.CONCAT(_xlfn.MAP(_xlfn.SEQUENCE(_xlpm.L), _xlfn.LAMBDA(_xlpm.i, _xlfn.LET(_xlpm.char, MID(_xlpm.text, _xlpm.i, 1), IF(OR(_xlpm.i=1, _xlpm.i=_xlpm.L, _xlpm.char=" "), _xlpm.char, "X"))))))</f>
        <v>SXXXXX XXXXXXs</v>
      </c>
      <c r="K2259" s="14">
        <v>46177.796180555553</v>
      </c>
      <c r="L2259" s="14">
        <f t="shared" si="176"/>
        <v>46178.420636574076</v>
      </c>
    </row>
    <row r="2260" spans="1:12" x14ac:dyDescent="0.25">
      <c r="A2260" s="4" t="s">
        <v>3140</v>
      </c>
      <c r="B2260" s="16" t="str">
        <f t="shared" si="173"/>
        <v>M/s SHREE VISHNU MINERALS</v>
      </c>
      <c r="C2260" s="16" t="str">
        <f t="shared" si="174"/>
        <v>Mokha Charnan / Kolayat / Bikaner</v>
      </c>
      <c r="D2260" s="4" t="s">
        <v>3035</v>
      </c>
      <c r="E2260" s="4" t="s">
        <v>3192</v>
      </c>
      <c r="F2260" s="5">
        <v>46177.772476851853</v>
      </c>
      <c r="G2260" s="16" t="str">
        <f t="shared" si="175"/>
        <v>Silica Sand</v>
      </c>
      <c r="H2260" s="4" t="s">
        <v>2611</v>
      </c>
      <c r="I2260" s="18" t="str" cm="1">
        <f t="array" ref="I2260">_xlfn.LET(_xlpm.text, D2260,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0" s="18" t="str" cm="1">
        <f t="array" ref="J2260">_xlfn.LET(_xlpm.text, E2260,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0" s="14">
        <v>46177.772951388892</v>
      </c>
      <c r="L2260" s="14">
        <f t="shared" si="176"/>
        <v>46178.397476851853</v>
      </c>
    </row>
    <row r="2261" spans="1:12" x14ac:dyDescent="0.25">
      <c r="A2261" s="4" t="s">
        <v>3141</v>
      </c>
      <c r="B2261" s="16" t="str">
        <f t="shared" si="173"/>
        <v>M/s SHREE VISHNU MINERALS</v>
      </c>
      <c r="C2261" s="16" t="str">
        <f t="shared" si="174"/>
        <v>Mokha Charnan / Kolayat / Bikaner</v>
      </c>
      <c r="D2261" s="4" t="s">
        <v>3035</v>
      </c>
      <c r="E2261" s="4" t="s">
        <v>3192</v>
      </c>
      <c r="F2261" s="5">
        <v>46177.768645833334</v>
      </c>
      <c r="G2261" s="16" t="str">
        <f t="shared" si="175"/>
        <v>Silica Sand</v>
      </c>
      <c r="H2261" s="4" t="s">
        <v>2611</v>
      </c>
      <c r="I2261" s="18" t="str" cm="1">
        <f t="array" ref="I2261">_xlfn.LET(_xlpm.text, D2261,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1" s="18" t="str" cm="1">
        <f t="array" ref="J2261">_xlfn.LET(_xlpm.text, E2261,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1" s="14">
        <v>46177.769259259258</v>
      </c>
      <c r="L2261" s="14">
        <f t="shared" si="176"/>
        <v>46178.393645833334</v>
      </c>
    </row>
    <row r="2262" spans="1:12" x14ac:dyDescent="0.25">
      <c r="A2262" s="4" t="s">
        <v>3142</v>
      </c>
      <c r="B2262" s="16" t="str">
        <f t="shared" si="173"/>
        <v>M/s SHREE VISHNU MINERALS</v>
      </c>
      <c r="C2262" s="16" t="str">
        <f t="shared" si="174"/>
        <v>Mokha Charnan / Kolayat / Bikaner</v>
      </c>
      <c r="D2262" s="4" t="s">
        <v>3035</v>
      </c>
      <c r="E2262" s="4" t="s">
        <v>3192</v>
      </c>
      <c r="F2262" s="5">
        <v>46177.597337962965</v>
      </c>
      <c r="G2262" s="16" t="str">
        <f t="shared" si="175"/>
        <v>Silica Sand</v>
      </c>
      <c r="H2262" s="4" t="s">
        <v>3196</v>
      </c>
      <c r="I2262" s="18" t="str" cm="1">
        <f t="array" ref="I2262">_xlfn.LET(_xlpm.text, D2262,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2" s="18" t="str" cm="1">
        <f t="array" ref="J2262">_xlfn.LET(_xlpm.text, E2262,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2" s="14">
        <v>46177.597800925927</v>
      </c>
      <c r="L2262" s="14">
        <f t="shared" si="176"/>
        <v>46178.222337962965</v>
      </c>
    </row>
    <row r="2263" spans="1:12" x14ac:dyDescent="0.25">
      <c r="A2263" s="4" t="s">
        <v>3143</v>
      </c>
      <c r="B2263" s="16" t="str">
        <f t="shared" si="173"/>
        <v>M/s SHREE VISHNU MINERALS</v>
      </c>
      <c r="C2263" s="16" t="str">
        <f t="shared" si="174"/>
        <v>Mokha Charnan / Kolayat / Bikaner</v>
      </c>
      <c r="D2263" s="4" t="s">
        <v>3035</v>
      </c>
      <c r="E2263" s="4" t="s">
        <v>3192</v>
      </c>
      <c r="F2263" s="5">
        <v>46177.574236111112</v>
      </c>
      <c r="G2263" s="16" t="str">
        <f t="shared" si="175"/>
        <v>Silica Sand</v>
      </c>
      <c r="H2263" s="4" t="s">
        <v>2481</v>
      </c>
      <c r="I2263" s="18" t="str" cm="1">
        <f t="array" ref="I2263">_xlfn.LET(_xlpm.text, D2263,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3" s="18" t="str" cm="1">
        <f t="array" ref="J2263">_xlfn.LET(_xlpm.text, E2263,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3" s="14">
        <v>46177.575127314813</v>
      </c>
      <c r="L2263" s="14">
        <f t="shared" si="176"/>
        <v>46178.199236111112</v>
      </c>
    </row>
    <row r="2264" spans="1:12" x14ac:dyDescent="0.25">
      <c r="A2264" s="4" t="s">
        <v>3144</v>
      </c>
      <c r="B2264" s="16" t="str">
        <f t="shared" si="173"/>
        <v>M/s SHREE VISHNU MINERALS</v>
      </c>
      <c r="C2264" s="16" t="str">
        <f t="shared" si="174"/>
        <v>Mokha Charnan / Kolayat / Bikaner</v>
      </c>
      <c r="D2264" s="4" t="s">
        <v>3035</v>
      </c>
      <c r="E2264" s="4" t="s">
        <v>3192</v>
      </c>
      <c r="F2264" s="5">
        <v>46177.57068287037</v>
      </c>
      <c r="G2264" s="16" t="str">
        <f t="shared" si="175"/>
        <v>Silica Sand</v>
      </c>
      <c r="H2264" s="4" t="s">
        <v>2867</v>
      </c>
      <c r="I2264" s="18" t="str" cm="1">
        <f t="array" ref="I2264">_xlfn.LET(_xlpm.text, D2264,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4" s="18" t="str" cm="1">
        <f t="array" ref="J2264">_xlfn.LET(_xlpm.text, E2264,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4" s="14">
        <v>46177.57130787037</v>
      </c>
      <c r="L2264" s="14">
        <f t="shared" si="176"/>
        <v>46178.19568287037</v>
      </c>
    </row>
    <row r="2265" spans="1:12" x14ac:dyDescent="0.25">
      <c r="A2265" s="4" t="s">
        <v>3145</v>
      </c>
      <c r="B2265" s="16" t="str">
        <f t="shared" si="173"/>
        <v>M/s SHREE VISHNU MINERALS</v>
      </c>
      <c r="C2265" s="16" t="str">
        <f t="shared" si="174"/>
        <v>Mokha Charnan / Kolayat / Bikaner</v>
      </c>
      <c r="D2265" s="4" t="s">
        <v>3035</v>
      </c>
      <c r="E2265" s="4" t="s">
        <v>3192</v>
      </c>
      <c r="F2265" s="5">
        <v>46177.533113425925</v>
      </c>
      <c r="G2265" s="16" t="str">
        <f t="shared" si="175"/>
        <v>Silica Sand</v>
      </c>
      <c r="H2265" s="4" t="s">
        <v>3197</v>
      </c>
      <c r="I2265" s="18" t="str" cm="1">
        <f t="array" ref="I2265">_xlfn.LET(_xlpm.text, D2265,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5" s="18" t="str" cm="1">
        <f t="array" ref="J2265">_xlfn.LET(_xlpm.text, E2265,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5" s="14">
        <v>46177.534432870372</v>
      </c>
      <c r="L2265" s="14">
        <f t="shared" si="176"/>
        <v>46178.158113425925</v>
      </c>
    </row>
    <row r="2266" spans="1:12" x14ac:dyDescent="0.25">
      <c r="A2266" s="4" t="s">
        <v>3146</v>
      </c>
      <c r="B2266" s="16" t="str">
        <f t="shared" si="173"/>
        <v>M/s SHREE VISHNU MINERALS</v>
      </c>
      <c r="C2266" s="16" t="str">
        <f t="shared" si="174"/>
        <v>Mokha Charnan / Kolayat / Bikaner</v>
      </c>
      <c r="D2266" s="4" t="s">
        <v>3035</v>
      </c>
      <c r="E2266" s="4" t="s">
        <v>3192</v>
      </c>
      <c r="F2266" s="5">
        <v>46176.851412037038</v>
      </c>
      <c r="G2266" s="16" t="str">
        <f t="shared" si="175"/>
        <v>Silica Sand</v>
      </c>
      <c r="H2266" s="4" t="s">
        <v>3198</v>
      </c>
      <c r="I2266" s="18" t="str" cm="1">
        <f t="array" ref="I2266">_xlfn.LET(_xlpm.text, D2266,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6" s="18" t="str" cm="1">
        <f t="array" ref="J2266">_xlfn.LET(_xlpm.text, E2266,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6" s="14">
        <v>46176.851886574077</v>
      </c>
      <c r="L2266" s="14">
        <f t="shared" si="176"/>
        <v>46177.476412037038</v>
      </c>
    </row>
    <row r="2267" spans="1:12" x14ac:dyDescent="0.25">
      <c r="A2267" s="4" t="s">
        <v>3147</v>
      </c>
      <c r="B2267" s="16" t="str">
        <f t="shared" si="173"/>
        <v>M/s SHREE VISHNU MINERALS</v>
      </c>
      <c r="C2267" s="16" t="str">
        <f t="shared" si="174"/>
        <v>Mokha Charnan / Kolayat / Bikaner</v>
      </c>
      <c r="D2267" s="4" t="s">
        <v>3035</v>
      </c>
      <c r="E2267" s="4" t="s">
        <v>3192</v>
      </c>
      <c r="F2267" s="5">
        <v>46176.811898148146</v>
      </c>
      <c r="G2267" s="16" t="str">
        <f t="shared" si="175"/>
        <v>Silica Sand</v>
      </c>
      <c r="H2267" s="4" t="s">
        <v>2399</v>
      </c>
      <c r="I2267" s="18" t="str" cm="1">
        <f t="array" ref="I2267">_xlfn.LET(_xlpm.text, D2267,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7" s="18" t="str" cm="1">
        <f t="array" ref="J2267">_xlfn.LET(_xlpm.text, E2267,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7" s="14">
        <v>46176.812534722223</v>
      </c>
      <c r="L2267" s="14">
        <f t="shared" si="176"/>
        <v>46177.436898148146</v>
      </c>
    </row>
    <row r="2268" spans="1:12" x14ac:dyDescent="0.25">
      <c r="A2268" s="4" t="s">
        <v>3148</v>
      </c>
      <c r="B2268" s="16" t="str">
        <f t="shared" si="173"/>
        <v>M/s SHREE VISHNU MINERALS</v>
      </c>
      <c r="C2268" s="16" t="str">
        <f t="shared" si="174"/>
        <v>Mokha Charnan / Kolayat / Bikaner</v>
      </c>
      <c r="D2268" s="4" t="s">
        <v>3035</v>
      </c>
      <c r="E2268" s="4" t="s">
        <v>3192</v>
      </c>
      <c r="F2268" s="5">
        <v>46176.801701388889</v>
      </c>
      <c r="G2268" s="16" t="str">
        <f t="shared" si="175"/>
        <v>Silica Sand</v>
      </c>
      <c r="H2268" s="4" t="s">
        <v>2766</v>
      </c>
      <c r="I2268" s="18" t="str" cm="1">
        <f t="array" ref="I2268">_xlfn.LET(_xlpm.text, D2268,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8" s="18" t="str" cm="1">
        <f t="array" ref="J2268">_xlfn.LET(_xlpm.text, E2268,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8" s="14">
        <v>46176.802141203705</v>
      </c>
      <c r="L2268" s="14">
        <f t="shared" si="176"/>
        <v>46177.426701388889</v>
      </c>
    </row>
    <row r="2269" spans="1:12" x14ac:dyDescent="0.25">
      <c r="A2269" s="4" t="s">
        <v>3149</v>
      </c>
      <c r="B2269" s="16" t="str">
        <f t="shared" si="173"/>
        <v>M/s SHREE VISHNU MINERALS</v>
      </c>
      <c r="C2269" s="16" t="str">
        <f t="shared" si="174"/>
        <v>Mokha Charnan / Kolayat / Bikaner</v>
      </c>
      <c r="D2269" s="4" t="s">
        <v>3035</v>
      </c>
      <c r="E2269" s="4" t="s">
        <v>3192</v>
      </c>
      <c r="F2269" s="5">
        <v>46176.778020833335</v>
      </c>
      <c r="G2269" s="16" t="str">
        <f t="shared" si="175"/>
        <v>Silica Sand</v>
      </c>
      <c r="H2269" s="4" t="s">
        <v>2766</v>
      </c>
      <c r="I2269" s="18" t="str" cm="1">
        <f t="array" ref="I2269">_xlfn.LET(_xlpm.text, D2269,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69" s="18" t="str" cm="1">
        <f t="array" ref="J2269">_xlfn.LET(_xlpm.text, E2269,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69" s="14">
        <v>46176.778541666667</v>
      </c>
      <c r="L2269" s="14">
        <f t="shared" si="176"/>
        <v>46177.403020833335</v>
      </c>
    </row>
    <row r="2270" spans="1:12" x14ac:dyDescent="0.25">
      <c r="A2270" s="4" t="s">
        <v>3150</v>
      </c>
      <c r="B2270" s="16" t="str">
        <f t="shared" si="173"/>
        <v>M/s SHREE VISHNU MINERALS</v>
      </c>
      <c r="C2270" s="16" t="str">
        <f t="shared" si="174"/>
        <v>Mokha Charnan / Kolayat / Bikaner</v>
      </c>
      <c r="D2270" s="4" t="s">
        <v>3035</v>
      </c>
      <c r="E2270" s="4" t="s">
        <v>3192</v>
      </c>
      <c r="F2270" s="5">
        <v>46176.759965277779</v>
      </c>
      <c r="G2270" s="16" t="str">
        <f t="shared" si="175"/>
        <v>Silica Sand</v>
      </c>
      <c r="H2270" s="4" t="s">
        <v>2315</v>
      </c>
      <c r="I2270" s="18" t="str" cm="1">
        <f t="array" ref="I2270">_xlfn.LET(_xlpm.text, D2270,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0" s="18" t="str" cm="1">
        <f t="array" ref="J2270">_xlfn.LET(_xlpm.text, E2270,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0" s="14">
        <v>46176.760659722226</v>
      </c>
      <c r="L2270" s="14">
        <f t="shared" si="176"/>
        <v>46177.384965277779</v>
      </c>
    </row>
    <row r="2271" spans="1:12" x14ac:dyDescent="0.25">
      <c r="A2271" s="4" t="s">
        <v>3151</v>
      </c>
      <c r="B2271" s="16" t="str">
        <f t="shared" si="173"/>
        <v>M/s SHREE VISHNU MINERALS</v>
      </c>
      <c r="C2271" s="16" t="str">
        <f t="shared" si="174"/>
        <v>Mokha Charnan / Kolayat / Bikaner</v>
      </c>
      <c r="D2271" s="4" t="s">
        <v>3035</v>
      </c>
      <c r="E2271" s="4" t="s">
        <v>3192</v>
      </c>
      <c r="F2271" s="5">
        <v>46176.738587962966</v>
      </c>
      <c r="G2271" s="16" t="str">
        <f t="shared" si="175"/>
        <v>Silica Sand</v>
      </c>
      <c r="H2271" s="4" t="s">
        <v>3199</v>
      </c>
      <c r="I2271" s="18" t="str" cm="1">
        <f t="array" ref="I2271">_xlfn.LET(_xlpm.text, D2271,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1" s="18" t="str" cm="1">
        <f t="array" ref="J2271">_xlfn.LET(_xlpm.text, E2271,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1" s="14">
        <v>46176.73914351852</v>
      </c>
      <c r="L2271" s="14">
        <f t="shared" si="176"/>
        <v>46177.363587962966</v>
      </c>
    </row>
    <row r="2272" spans="1:12" x14ac:dyDescent="0.25">
      <c r="A2272" s="4" t="s">
        <v>3152</v>
      </c>
      <c r="B2272" s="16" t="str">
        <f t="shared" si="173"/>
        <v>M/s SHREE VISHNU MINERALS</v>
      </c>
      <c r="C2272" s="16" t="str">
        <f t="shared" si="174"/>
        <v>Mokha Charnan / Kolayat / Bikaner</v>
      </c>
      <c r="D2272" s="4" t="s">
        <v>3035</v>
      </c>
      <c r="E2272" s="4" t="s">
        <v>3192</v>
      </c>
      <c r="F2272" s="5">
        <v>46175.903749999998</v>
      </c>
      <c r="G2272" s="16" t="str">
        <f t="shared" si="175"/>
        <v>Silica Sand</v>
      </c>
      <c r="H2272" s="4" t="s">
        <v>2399</v>
      </c>
      <c r="I2272" s="18" t="str" cm="1">
        <f t="array" ref="I2272">_xlfn.LET(_xlpm.text, D2272,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2" s="18" t="str" cm="1">
        <f t="array" ref="J2272">_xlfn.LET(_xlpm.text, E2272,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2" s="14">
        <v>46175.904490740744</v>
      </c>
      <c r="L2272" s="14">
        <f t="shared" si="176"/>
        <v>46176.528749999998</v>
      </c>
    </row>
    <row r="2273" spans="1:12" x14ac:dyDescent="0.25">
      <c r="A2273" s="4" t="s">
        <v>3153</v>
      </c>
      <c r="B2273" s="16" t="str">
        <f t="shared" si="173"/>
        <v>M/s SHREE VISHNU MINERALS</v>
      </c>
      <c r="C2273" s="16" t="str">
        <f t="shared" si="174"/>
        <v>Mokha Charnan / Kolayat / Bikaner</v>
      </c>
      <c r="D2273" s="4" t="s">
        <v>3035</v>
      </c>
      <c r="E2273" s="4" t="s">
        <v>3192</v>
      </c>
      <c r="F2273" s="5">
        <v>46175.81858796296</v>
      </c>
      <c r="G2273" s="16" t="str">
        <f t="shared" si="175"/>
        <v>Silica Sand</v>
      </c>
      <c r="H2273" s="4" t="s">
        <v>2661</v>
      </c>
      <c r="I2273" s="18" t="str" cm="1">
        <f t="array" ref="I2273">_xlfn.LET(_xlpm.text, D2273,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3" s="18" t="str" cm="1">
        <f t="array" ref="J2273">_xlfn.LET(_xlpm.text, E2273,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3" s="14">
        <v>46175.819224537037</v>
      </c>
      <c r="L2273" s="14">
        <f t="shared" si="176"/>
        <v>46176.44358796296</v>
      </c>
    </row>
    <row r="2274" spans="1:12" x14ac:dyDescent="0.25">
      <c r="A2274" s="4" t="s">
        <v>3154</v>
      </c>
      <c r="B2274" s="16" t="str">
        <f t="shared" si="173"/>
        <v>M/s SHREE VISHNU MINERALS</v>
      </c>
      <c r="C2274" s="16" t="str">
        <f t="shared" si="174"/>
        <v>Mokha Charnan / Kolayat / Bikaner</v>
      </c>
      <c r="D2274" s="4" t="s">
        <v>3035</v>
      </c>
      <c r="E2274" s="4" t="s">
        <v>3192</v>
      </c>
      <c r="F2274" s="5">
        <v>46175.791400462964</v>
      </c>
      <c r="G2274" s="16" t="str">
        <f t="shared" si="175"/>
        <v>Silica Sand</v>
      </c>
      <c r="H2274" s="4" t="s">
        <v>412</v>
      </c>
      <c r="I2274" s="18" t="str" cm="1">
        <f t="array" ref="I2274">_xlfn.LET(_xlpm.text, D2274,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4" s="18" t="str" cm="1">
        <f t="array" ref="J2274">_xlfn.LET(_xlpm.text, E2274,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4" s="14">
        <v>46175.792129629626</v>
      </c>
      <c r="L2274" s="14">
        <f t="shared" si="176"/>
        <v>46176.416400462964</v>
      </c>
    </row>
    <row r="2275" spans="1:12" x14ac:dyDescent="0.25">
      <c r="A2275" s="4" t="s">
        <v>3155</v>
      </c>
      <c r="B2275" s="16" t="str">
        <f t="shared" si="173"/>
        <v>M/s SHREE VISHNU MINERALS</v>
      </c>
      <c r="C2275" s="16" t="str">
        <f t="shared" si="174"/>
        <v>Mokha Charnan / Kolayat / Bikaner</v>
      </c>
      <c r="D2275" s="4" t="s">
        <v>3035</v>
      </c>
      <c r="E2275" s="4" t="s">
        <v>3192</v>
      </c>
      <c r="F2275" s="5">
        <v>46175.608854166669</v>
      </c>
      <c r="G2275" s="16" t="str">
        <f t="shared" si="175"/>
        <v>Silica Sand</v>
      </c>
      <c r="H2275" s="4" t="s">
        <v>2656</v>
      </c>
      <c r="I2275" s="18" t="str" cm="1">
        <f t="array" ref="I2275">_xlfn.LET(_xlpm.text, D2275,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5" s="18" t="str" cm="1">
        <f t="array" ref="J2275">_xlfn.LET(_xlpm.text, E2275,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5" s="14">
        <v>46175.6093287037</v>
      </c>
      <c r="L2275" s="14">
        <f t="shared" si="176"/>
        <v>46176.233854166669</v>
      </c>
    </row>
    <row r="2276" spans="1:12" x14ac:dyDescent="0.25">
      <c r="A2276" s="4" t="s">
        <v>3156</v>
      </c>
      <c r="B2276" s="16" t="str">
        <f t="shared" si="173"/>
        <v>M/s SHREE VISHNU MINERALS</v>
      </c>
      <c r="C2276" s="16" t="str">
        <f t="shared" si="174"/>
        <v>Mokha Charnan / Kolayat / Bikaner</v>
      </c>
      <c r="D2276" s="4" t="s">
        <v>3035</v>
      </c>
      <c r="E2276" s="4" t="s">
        <v>3192</v>
      </c>
      <c r="F2276" s="5">
        <v>46175.605011574073</v>
      </c>
      <c r="G2276" s="16" t="str">
        <f t="shared" si="175"/>
        <v>Silica Sand</v>
      </c>
      <c r="H2276" s="4" t="s">
        <v>2661</v>
      </c>
      <c r="I2276" s="18" t="str" cm="1">
        <f t="array" ref="I2276">_xlfn.LET(_xlpm.text, D2276,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6" s="18" t="str" cm="1">
        <f t="array" ref="J2276">_xlfn.LET(_xlpm.text, E2276,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6" s="14">
        <v>46175.60564814815</v>
      </c>
      <c r="L2276" s="14">
        <f t="shared" si="176"/>
        <v>46176.230011574073</v>
      </c>
    </row>
    <row r="2277" spans="1:12" x14ac:dyDescent="0.25">
      <c r="A2277" s="4" t="s">
        <v>3157</v>
      </c>
      <c r="B2277" s="16" t="str">
        <f t="shared" si="173"/>
        <v>M/s SHREE VISHNU MINERALS</v>
      </c>
      <c r="C2277" s="16" t="str">
        <f t="shared" si="174"/>
        <v>Mokha Charnan / Kolayat / Bikaner</v>
      </c>
      <c r="D2277" s="4" t="s">
        <v>3035</v>
      </c>
      <c r="E2277" s="4" t="s">
        <v>3192</v>
      </c>
      <c r="F2277" s="5">
        <v>46174.853078703702</v>
      </c>
      <c r="G2277" s="16" t="str">
        <f t="shared" si="175"/>
        <v>Silica Sand</v>
      </c>
      <c r="H2277" s="4" t="s">
        <v>2661</v>
      </c>
      <c r="I2277" s="18" t="str" cm="1">
        <f t="array" ref="I2277">_xlfn.LET(_xlpm.text, D2277,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7" s="18" t="str" cm="1">
        <f t="array" ref="J2277">_xlfn.LET(_xlpm.text, E2277,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7" s="14">
        <v>46174.853634259256</v>
      </c>
      <c r="L2277" s="14">
        <f t="shared" si="176"/>
        <v>46175.478078703702</v>
      </c>
    </row>
    <row r="2278" spans="1:12" x14ac:dyDescent="0.25">
      <c r="A2278" s="4" t="s">
        <v>3158</v>
      </c>
      <c r="B2278" s="16" t="str">
        <f t="shared" si="173"/>
        <v>M/s SHREE VISHNU MINERALS</v>
      </c>
      <c r="C2278" s="16" t="str">
        <f t="shared" si="174"/>
        <v>Mokha Charnan / Kolayat / Bikaner</v>
      </c>
      <c r="D2278" s="4" t="s">
        <v>3035</v>
      </c>
      <c r="E2278" s="4" t="s">
        <v>3192</v>
      </c>
      <c r="F2278" s="5">
        <v>46174.851006944446</v>
      </c>
      <c r="G2278" s="16" t="str">
        <f t="shared" si="175"/>
        <v>Silica Sand</v>
      </c>
      <c r="H2278" s="4" t="s">
        <v>2399</v>
      </c>
      <c r="I2278" s="18" t="str" cm="1">
        <f t="array" ref="I2278">_xlfn.LET(_xlpm.text, D2278,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8" s="18" t="str" cm="1">
        <f t="array" ref="J2278">_xlfn.LET(_xlpm.text, E2278,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8" s="14">
        <v>46174.851504629631</v>
      </c>
      <c r="L2278" s="14">
        <f t="shared" si="176"/>
        <v>46175.476006944446</v>
      </c>
    </row>
    <row r="2279" spans="1:12" x14ac:dyDescent="0.25">
      <c r="A2279" s="4" t="s">
        <v>3159</v>
      </c>
      <c r="B2279" s="16" t="str">
        <f t="shared" si="173"/>
        <v>M/s SHREE VISHNU MINERALS</v>
      </c>
      <c r="C2279" s="16" t="str">
        <f t="shared" si="174"/>
        <v>Mokha Charnan / Kolayat / Bikaner</v>
      </c>
      <c r="D2279" s="4" t="s">
        <v>3035</v>
      </c>
      <c r="E2279" s="4" t="s">
        <v>3192</v>
      </c>
      <c r="F2279" s="5">
        <v>46173.992129629631</v>
      </c>
      <c r="G2279" s="16" t="str">
        <f t="shared" si="175"/>
        <v>Silica Sand</v>
      </c>
      <c r="H2279" s="4" t="s">
        <v>3200</v>
      </c>
      <c r="I2279" s="18" t="str" cm="1">
        <f t="array" ref="I2279">_xlfn.LET(_xlpm.text, D2279,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79" s="18" t="str" cm="1">
        <f t="array" ref="J2279">_xlfn.LET(_xlpm.text, E2279,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79" s="14">
        <v>46173.993356481478</v>
      </c>
      <c r="L2279" s="14">
        <f t="shared" si="176"/>
        <v>46174.617129629631</v>
      </c>
    </row>
    <row r="2280" spans="1:12" x14ac:dyDescent="0.25">
      <c r="A2280" s="4" t="s">
        <v>3160</v>
      </c>
      <c r="B2280" s="16" t="str">
        <f t="shared" si="173"/>
        <v>M/s SHREE VISHNU MINERALS</v>
      </c>
      <c r="C2280" s="16" t="str">
        <f t="shared" si="174"/>
        <v>Mokha Charnan / Kolayat / Bikaner</v>
      </c>
      <c r="D2280" s="4" t="s">
        <v>3035</v>
      </c>
      <c r="E2280" s="4" t="s">
        <v>3192</v>
      </c>
      <c r="F2280" s="5">
        <v>46173.837708333333</v>
      </c>
      <c r="G2280" s="16" t="str">
        <f t="shared" si="175"/>
        <v>Silica Sand</v>
      </c>
      <c r="H2280" s="4" t="s">
        <v>2766</v>
      </c>
      <c r="I2280" s="18" t="str" cm="1">
        <f t="array" ref="I2280">_xlfn.LET(_xlpm.text, D2280,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0" s="18" t="str" cm="1">
        <f t="array" ref="J2280">_xlfn.LET(_xlpm.text, E2280,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0" s="14">
        <v>46173.838310185187</v>
      </c>
      <c r="L2280" s="14">
        <f t="shared" si="176"/>
        <v>46174.462708333333</v>
      </c>
    </row>
    <row r="2281" spans="1:12" x14ac:dyDescent="0.25">
      <c r="A2281" s="4" t="s">
        <v>3161</v>
      </c>
      <c r="B2281" s="16" t="str">
        <f t="shared" si="173"/>
        <v>M/s SHREE VISHNU MINERALS</v>
      </c>
      <c r="C2281" s="16" t="str">
        <f t="shared" si="174"/>
        <v>Mokha Charnan / Kolayat / Bikaner</v>
      </c>
      <c r="D2281" s="4" t="s">
        <v>3035</v>
      </c>
      <c r="E2281" s="4" t="s">
        <v>3192</v>
      </c>
      <c r="F2281" s="5">
        <v>46173.74013888889</v>
      </c>
      <c r="G2281" s="16" t="str">
        <f t="shared" si="175"/>
        <v>Silica Sand</v>
      </c>
      <c r="H2281" s="4" t="s">
        <v>2582</v>
      </c>
      <c r="I2281" s="18" t="str" cm="1">
        <f t="array" ref="I2281">_xlfn.LET(_xlpm.text, D2281,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1" s="18" t="str" cm="1">
        <f t="array" ref="J2281">_xlfn.LET(_xlpm.text, E2281,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1" s="14">
        <v>46173.740717592591</v>
      </c>
      <c r="L2281" s="14">
        <f t="shared" si="176"/>
        <v>46174.36513888889</v>
      </c>
    </row>
    <row r="2282" spans="1:12" x14ac:dyDescent="0.25">
      <c r="A2282" s="4" t="s">
        <v>3162</v>
      </c>
      <c r="B2282" s="16" t="str">
        <f t="shared" si="173"/>
        <v>M/s SHREE VISHNU MINERALS</v>
      </c>
      <c r="C2282" s="16" t="str">
        <f t="shared" si="174"/>
        <v>Mokha Charnan / Kolayat / Bikaner</v>
      </c>
      <c r="D2282" s="4" t="s">
        <v>3035</v>
      </c>
      <c r="E2282" s="4" t="s">
        <v>3192</v>
      </c>
      <c r="F2282" s="5">
        <v>46173.715925925928</v>
      </c>
      <c r="G2282" s="16" t="str">
        <f t="shared" si="175"/>
        <v>Silica Sand</v>
      </c>
      <c r="H2282" s="4" t="s">
        <v>2527</v>
      </c>
      <c r="I2282" s="18" t="str" cm="1">
        <f t="array" ref="I2282">_xlfn.LET(_xlpm.text, D2282,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2" s="18" t="str" cm="1">
        <f t="array" ref="J2282">_xlfn.LET(_xlpm.text, E2282,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2" s="14">
        <v>46173.716493055559</v>
      </c>
      <c r="L2282" s="14">
        <f t="shared" si="176"/>
        <v>46174.340925925928</v>
      </c>
    </row>
    <row r="2283" spans="1:12" x14ac:dyDescent="0.25">
      <c r="A2283" s="4" t="s">
        <v>3163</v>
      </c>
      <c r="B2283" s="16" t="str">
        <f t="shared" si="173"/>
        <v>M/s SHREE VISHNU MINERALS</v>
      </c>
      <c r="C2283" s="16" t="str">
        <f t="shared" si="174"/>
        <v>Mokha Charnan / Kolayat / Bikaner</v>
      </c>
      <c r="D2283" s="4" t="s">
        <v>3035</v>
      </c>
      <c r="E2283" s="4" t="s">
        <v>3192</v>
      </c>
      <c r="F2283" s="5">
        <v>46173.703981481478</v>
      </c>
      <c r="G2283" s="16" t="str">
        <f t="shared" si="175"/>
        <v>Silica Sand</v>
      </c>
      <c r="H2283" s="4" t="s">
        <v>2259</v>
      </c>
      <c r="I2283" s="18" t="str" cm="1">
        <f t="array" ref="I2283">_xlfn.LET(_xlpm.text, D2283,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3" s="18" t="str" cm="1">
        <f t="array" ref="J2283">_xlfn.LET(_xlpm.text, E2283,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3" s="14">
        <v>46173.704629629632</v>
      </c>
      <c r="L2283" s="14">
        <f t="shared" si="176"/>
        <v>46174.328981481478</v>
      </c>
    </row>
    <row r="2284" spans="1:12" x14ac:dyDescent="0.25">
      <c r="A2284" s="4" t="s">
        <v>3164</v>
      </c>
      <c r="B2284" s="16" t="str">
        <f t="shared" si="173"/>
        <v>M/s SHREE VISHNU MINERALS</v>
      </c>
      <c r="C2284" s="16" t="str">
        <f t="shared" si="174"/>
        <v>Mokha Charnan / Kolayat / Bikaner</v>
      </c>
      <c r="D2284" s="4" t="s">
        <v>3035</v>
      </c>
      <c r="E2284" s="4" t="s">
        <v>3192</v>
      </c>
      <c r="F2284" s="5">
        <v>46173.674988425926</v>
      </c>
      <c r="G2284" s="16" t="str">
        <f t="shared" si="175"/>
        <v>Silica Sand</v>
      </c>
      <c r="H2284" s="4" t="s">
        <v>2895</v>
      </c>
      <c r="I2284" s="18" t="str" cm="1">
        <f t="array" ref="I2284">_xlfn.LET(_xlpm.text, D2284,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4" s="18" t="str" cm="1">
        <f t="array" ref="J2284">_xlfn.LET(_xlpm.text, E2284,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4" s="14">
        <v>46173.675543981481</v>
      </c>
      <c r="L2284" s="14">
        <f t="shared" si="176"/>
        <v>46174.299988425926</v>
      </c>
    </row>
    <row r="2285" spans="1:12" x14ac:dyDescent="0.25">
      <c r="A2285" s="4" t="s">
        <v>3165</v>
      </c>
      <c r="B2285" s="16" t="str">
        <f t="shared" si="173"/>
        <v>M/s SHREE VISHNU MINERALS</v>
      </c>
      <c r="C2285" s="16" t="str">
        <f t="shared" si="174"/>
        <v>Mokha Charnan / Kolayat / Bikaner</v>
      </c>
      <c r="D2285" s="4" t="s">
        <v>3035</v>
      </c>
      <c r="E2285" s="4" t="s">
        <v>3192</v>
      </c>
      <c r="F2285" s="5">
        <v>46173.572187500002</v>
      </c>
      <c r="G2285" s="16" t="str">
        <f t="shared" si="175"/>
        <v>Silica Sand</v>
      </c>
      <c r="H2285" s="4" t="s">
        <v>2611</v>
      </c>
      <c r="I2285" s="18" t="str" cm="1">
        <f t="array" ref="I2285">_xlfn.LET(_xlpm.text, D2285,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5" s="18" t="str" cm="1">
        <f t="array" ref="J2285">_xlfn.LET(_xlpm.text, E2285,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5" s="14">
        <v>46173.572974537034</v>
      </c>
      <c r="L2285" s="14">
        <f t="shared" si="176"/>
        <v>46174.197187500002</v>
      </c>
    </row>
    <row r="2286" spans="1:12" x14ac:dyDescent="0.25">
      <c r="A2286" s="4" t="s">
        <v>3166</v>
      </c>
      <c r="B2286" s="16" t="str">
        <f t="shared" si="173"/>
        <v>M/s SHREE VISHNU MINERALS</v>
      </c>
      <c r="C2286" s="16" t="str">
        <f t="shared" si="174"/>
        <v>Mokha Charnan / Kolayat / Bikaner</v>
      </c>
      <c r="D2286" s="4" t="s">
        <v>3035</v>
      </c>
      <c r="E2286" s="4" t="s">
        <v>3192</v>
      </c>
      <c r="F2286" s="5">
        <v>46172.93476851852</v>
      </c>
      <c r="G2286" s="16" t="str">
        <f t="shared" si="175"/>
        <v>Silica Sand</v>
      </c>
      <c r="H2286" s="4" t="s">
        <v>2399</v>
      </c>
      <c r="I2286" s="18" t="str" cm="1">
        <f t="array" ref="I2286">_xlfn.LET(_xlpm.text, D2286,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6" s="18" t="str" cm="1">
        <f t="array" ref="J2286">_xlfn.LET(_xlpm.text, E2286,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6" s="14">
        <v>46172.935798611114</v>
      </c>
      <c r="L2286" s="14">
        <f t="shared" si="176"/>
        <v>46173.55976851852</v>
      </c>
    </row>
    <row r="2287" spans="1:12" x14ac:dyDescent="0.25">
      <c r="A2287" s="4" t="s">
        <v>3167</v>
      </c>
      <c r="B2287" s="16" t="str">
        <f t="shared" si="173"/>
        <v>M/s SHREE VISHNU MINERALS</v>
      </c>
      <c r="C2287" s="16" t="str">
        <f t="shared" si="174"/>
        <v>Mokha Charnan / Kolayat / Bikaner</v>
      </c>
      <c r="D2287" s="4" t="s">
        <v>3035</v>
      </c>
      <c r="E2287" s="4" t="s">
        <v>3192</v>
      </c>
      <c r="F2287" s="5">
        <v>46172.844270833331</v>
      </c>
      <c r="G2287" s="16" t="str">
        <f t="shared" si="175"/>
        <v>Silica Sand</v>
      </c>
      <c r="H2287" s="4" t="s">
        <v>2912</v>
      </c>
      <c r="I2287" s="18" t="str" cm="1">
        <f t="array" ref="I2287">_xlfn.LET(_xlpm.text, D2287,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7" s="18" t="str" cm="1">
        <f t="array" ref="J2287">_xlfn.LET(_xlpm.text, E2287,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7" s="14">
        <v>46172.844884259262</v>
      </c>
      <c r="L2287" s="14">
        <f t="shared" si="176"/>
        <v>46173.469270833331</v>
      </c>
    </row>
    <row r="2288" spans="1:12" x14ac:dyDescent="0.25">
      <c r="A2288" s="4" t="s">
        <v>3168</v>
      </c>
      <c r="B2288" s="16" t="str">
        <f t="shared" si="173"/>
        <v>M/s SHREE VISHNU MINERALS</v>
      </c>
      <c r="C2288" s="16" t="str">
        <f t="shared" si="174"/>
        <v>Mokha Charnan / Kolayat / Bikaner</v>
      </c>
      <c r="D2288" s="4" t="s">
        <v>3035</v>
      </c>
      <c r="E2288" s="4" t="s">
        <v>3192</v>
      </c>
      <c r="F2288" s="5">
        <v>46172.830763888887</v>
      </c>
      <c r="G2288" s="16" t="str">
        <f t="shared" si="175"/>
        <v>Silica Sand</v>
      </c>
      <c r="H2288" s="4" t="s">
        <v>2611</v>
      </c>
      <c r="I2288" s="18" t="str" cm="1">
        <f t="array" ref="I2288">_xlfn.LET(_xlpm.text, D2288,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8" s="18" t="str" cm="1">
        <f t="array" ref="J2288">_xlfn.LET(_xlpm.text, E2288,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8" s="14">
        <v>46172.831446759257</v>
      </c>
      <c r="L2288" s="14">
        <f t="shared" si="176"/>
        <v>46173.455763888887</v>
      </c>
    </row>
    <row r="2289" spans="1:12" x14ac:dyDescent="0.25">
      <c r="A2289" s="4" t="s">
        <v>3169</v>
      </c>
      <c r="B2289" s="16" t="str">
        <f t="shared" si="173"/>
        <v>M/s SHREE VISHNU MINERALS</v>
      </c>
      <c r="C2289" s="16" t="str">
        <f t="shared" si="174"/>
        <v>Mokha Charnan / Kolayat / Bikaner</v>
      </c>
      <c r="D2289" s="4" t="s">
        <v>3035</v>
      </c>
      <c r="E2289" s="4" t="s">
        <v>3192</v>
      </c>
      <c r="F2289" s="5">
        <v>46172.810532407406</v>
      </c>
      <c r="G2289" s="16" t="str">
        <f t="shared" si="175"/>
        <v>Silica Sand</v>
      </c>
      <c r="H2289" s="4" t="s">
        <v>2912</v>
      </c>
      <c r="I2289" s="18" t="str" cm="1">
        <f t="array" ref="I2289">_xlfn.LET(_xlpm.text, D2289,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89" s="18" t="str" cm="1">
        <f t="array" ref="J2289">_xlfn.LET(_xlpm.text, E2289,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89" s="14">
        <v>46172.811597222222</v>
      </c>
      <c r="L2289" s="14">
        <f t="shared" si="176"/>
        <v>46173.435532407406</v>
      </c>
    </row>
    <row r="2290" spans="1:12" x14ac:dyDescent="0.25">
      <c r="A2290" s="4" t="s">
        <v>3170</v>
      </c>
      <c r="B2290" s="16" t="str">
        <f t="shared" si="173"/>
        <v>M/s SHREE VISHNU MINERALS</v>
      </c>
      <c r="C2290" s="16" t="str">
        <f t="shared" si="174"/>
        <v>Mokha Charnan / Kolayat / Bikaner</v>
      </c>
      <c r="D2290" s="4" t="s">
        <v>3035</v>
      </c>
      <c r="E2290" s="4" t="s">
        <v>3192</v>
      </c>
      <c r="F2290" s="5">
        <v>46172.784062500003</v>
      </c>
      <c r="G2290" s="16" t="str">
        <f t="shared" si="175"/>
        <v>Silica Sand</v>
      </c>
      <c r="H2290" s="4" t="s">
        <v>2895</v>
      </c>
      <c r="I2290" s="18" t="str" cm="1">
        <f t="array" ref="I2290">_xlfn.LET(_xlpm.text, D2290,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0" s="18" t="str" cm="1">
        <f t="array" ref="J2290">_xlfn.LET(_xlpm.text, E2290,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0" s="14">
        <v>46172.784548611111</v>
      </c>
      <c r="L2290" s="14">
        <f t="shared" si="176"/>
        <v>46173.409062500003</v>
      </c>
    </row>
    <row r="2291" spans="1:12" x14ac:dyDescent="0.25">
      <c r="A2291" s="4" t="s">
        <v>3171</v>
      </c>
      <c r="B2291" s="16" t="str">
        <f t="shared" si="173"/>
        <v>M/s SHREE VISHNU MINERALS</v>
      </c>
      <c r="C2291" s="16" t="str">
        <f t="shared" si="174"/>
        <v>Mokha Charnan / Kolayat / Bikaner</v>
      </c>
      <c r="D2291" s="4" t="s">
        <v>3035</v>
      </c>
      <c r="E2291" s="4" t="s">
        <v>3192</v>
      </c>
      <c r="F2291" s="5">
        <v>46171.986064814817</v>
      </c>
      <c r="G2291" s="16" t="str">
        <f t="shared" si="175"/>
        <v>Silica Sand</v>
      </c>
      <c r="H2291" s="4" t="s">
        <v>2766</v>
      </c>
      <c r="I2291" s="18" t="str" cm="1">
        <f t="array" ref="I2291">_xlfn.LET(_xlpm.text, D2291,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1" s="18" t="str" cm="1">
        <f t="array" ref="J2291">_xlfn.LET(_xlpm.text, E2291,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1" s="14">
        <v>46171.986550925925</v>
      </c>
      <c r="L2291" s="14">
        <f t="shared" si="176"/>
        <v>46172.611064814817</v>
      </c>
    </row>
    <row r="2292" spans="1:12" x14ac:dyDescent="0.25">
      <c r="A2292" s="4" t="s">
        <v>3172</v>
      </c>
      <c r="B2292" s="16" t="str">
        <f t="shared" si="173"/>
        <v>M/s SHREE VISHNU MINERALS</v>
      </c>
      <c r="C2292" s="16" t="str">
        <f t="shared" si="174"/>
        <v>Mokha Charnan / Kolayat / Bikaner</v>
      </c>
      <c r="D2292" s="4" t="s">
        <v>3035</v>
      </c>
      <c r="E2292" s="4" t="s">
        <v>3192</v>
      </c>
      <c r="F2292" s="5">
        <v>46171.974780092591</v>
      </c>
      <c r="G2292" s="16" t="str">
        <f t="shared" si="175"/>
        <v>Silica Sand</v>
      </c>
      <c r="H2292" s="4" t="s">
        <v>2766</v>
      </c>
      <c r="I2292" s="18" t="str" cm="1">
        <f t="array" ref="I2292">_xlfn.LET(_xlpm.text, D2292,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2" s="18" t="str" cm="1">
        <f t="array" ref="J2292">_xlfn.LET(_xlpm.text, E2292,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2" s="14">
        <v>46171.975763888891</v>
      </c>
      <c r="L2292" s="14">
        <f t="shared" si="176"/>
        <v>46172.599780092591</v>
      </c>
    </row>
    <row r="2293" spans="1:12" x14ac:dyDescent="0.25">
      <c r="A2293" s="4" t="s">
        <v>3173</v>
      </c>
      <c r="B2293" s="16" t="str">
        <f t="shared" si="173"/>
        <v>M/s SHREE VISHNU MINERALS</v>
      </c>
      <c r="C2293" s="16" t="str">
        <f t="shared" si="174"/>
        <v>Mokha Charnan / Kolayat / Bikaner</v>
      </c>
      <c r="D2293" s="4" t="s">
        <v>3035</v>
      </c>
      <c r="E2293" s="4" t="s">
        <v>3192</v>
      </c>
      <c r="F2293" s="5">
        <v>46171.834236111114</v>
      </c>
      <c r="G2293" s="16" t="str">
        <f t="shared" si="175"/>
        <v>Silica Sand</v>
      </c>
      <c r="H2293" s="4" t="s">
        <v>2611</v>
      </c>
      <c r="I2293" s="18" t="str" cm="1">
        <f t="array" ref="I2293">_xlfn.LET(_xlpm.text, D2293,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3" s="18" t="str" cm="1">
        <f t="array" ref="J2293">_xlfn.LET(_xlpm.text, E2293,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3" s="14">
        <v>46171.834722222222</v>
      </c>
      <c r="L2293" s="14">
        <f t="shared" si="176"/>
        <v>46172.459236111114</v>
      </c>
    </row>
    <row r="2294" spans="1:12" x14ac:dyDescent="0.25">
      <c r="A2294" s="4" t="s">
        <v>3174</v>
      </c>
      <c r="B2294" s="16" t="str">
        <f t="shared" si="173"/>
        <v>M/s SHREE VISHNU MINERALS</v>
      </c>
      <c r="C2294" s="16" t="str">
        <f t="shared" si="174"/>
        <v>Mokha Charnan / Kolayat / Bikaner</v>
      </c>
      <c r="D2294" s="4" t="s">
        <v>3035</v>
      </c>
      <c r="E2294" s="4" t="s">
        <v>3192</v>
      </c>
      <c r="F2294" s="5">
        <v>46171.804432870369</v>
      </c>
      <c r="G2294" s="16" t="str">
        <f t="shared" si="175"/>
        <v>Silica Sand</v>
      </c>
      <c r="H2294" s="4" t="s">
        <v>2611</v>
      </c>
      <c r="I2294" s="18" t="str" cm="1">
        <f t="array" ref="I2294">_xlfn.LET(_xlpm.text, D2294,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4" s="18" t="str" cm="1">
        <f t="array" ref="J2294">_xlfn.LET(_xlpm.text, E2294,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4" s="14">
        <v>46171.817094907405</v>
      </c>
      <c r="L2294" s="14">
        <f t="shared" si="176"/>
        <v>46172.429432870369</v>
      </c>
    </row>
    <row r="2295" spans="1:12" x14ac:dyDescent="0.25">
      <c r="A2295" s="4" t="s">
        <v>3175</v>
      </c>
      <c r="B2295" s="16" t="str">
        <f t="shared" si="173"/>
        <v>M/s SHREE VISHNU MINERALS</v>
      </c>
      <c r="C2295" s="16" t="str">
        <f t="shared" si="174"/>
        <v>Mokha Charnan / Kolayat / Bikaner</v>
      </c>
      <c r="D2295" s="4" t="s">
        <v>3035</v>
      </c>
      <c r="E2295" s="4" t="s">
        <v>3192</v>
      </c>
      <c r="F2295" s="5">
        <v>46171.766585648147</v>
      </c>
      <c r="G2295" s="16" t="str">
        <f t="shared" si="175"/>
        <v>Silica Sand</v>
      </c>
      <c r="H2295" s="4" t="s">
        <v>2895</v>
      </c>
      <c r="I2295" s="18" t="str" cm="1">
        <f t="array" ref="I2295">_xlfn.LET(_xlpm.text, D2295,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5" s="18" t="str" cm="1">
        <f t="array" ref="J2295">_xlfn.LET(_xlpm.text, E2295,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5" s="14">
        <v>46171.767013888886</v>
      </c>
      <c r="L2295" s="14">
        <f t="shared" si="176"/>
        <v>46172.391585648147</v>
      </c>
    </row>
    <row r="2296" spans="1:12" x14ac:dyDescent="0.25">
      <c r="A2296" s="4" t="s">
        <v>3176</v>
      </c>
      <c r="B2296" s="16" t="str">
        <f t="shared" si="173"/>
        <v>M/s SHREE VISHNU MINERALS</v>
      </c>
      <c r="C2296" s="16" t="str">
        <f t="shared" si="174"/>
        <v>Mokha Charnan / Kolayat / Bikaner</v>
      </c>
      <c r="D2296" s="4" t="s">
        <v>3035</v>
      </c>
      <c r="E2296" s="4" t="s">
        <v>3192</v>
      </c>
      <c r="F2296" s="5">
        <v>46171.75681712963</v>
      </c>
      <c r="G2296" s="16" t="str">
        <f t="shared" si="175"/>
        <v>Silica Sand</v>
      </c>
      <c r="H2296" s="4" t="s">
        <v>2582</v>
      </c>
      <c r="I2296" s="18" t="str" cm="1">
        <f t="array" ref="I2296">_xlfn.LET(_xlpm.text, D2296,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6" s="18" t="str" cm="1">
        <f t="array" ref="J2296">_xlfn.LET(_xlpm.text, E2296,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6" s="14">
        <v>46171.757280092592</v>
      </c>
      <c r="L2296" s="14">
        <f t="shared" si="176"/>
        <v>46172.38181712963</v>
      </c>
    </row>
    <row r="2297" spans="1:12" x14ac:dyDescent="0.25">
      <c r="A2297" s="4" t="s">
        <v>3177</v>
      </c>
      <c r="B2297" s="16" t="str">
        <f t="shared" si="173"/>
        <v>M/s SHREE VISHNU MINERALS</v>
      </c>
      <c r="C2297" s="16" t="str">
        <f t="shared" si="174"/>
        <v>Mokha Charnan / Kolayat / Bikaner</v>
      </c>
      <c r="D2297" s="4" t="s">
        <v>3035</v>
      </c>
      <c r="E2297" s="4" t="s">
        <v>3192</v>
      </c>
      <c r="F2297" s="5">
        <v>46171.657025462962</v>
      </c>
      <c r="G2297" s="16" t="str">
        <f t="shared" si="175"/>
        <v>Silica Sand</v>
      </c>
      <c r="H2297" s="4" t="s">
        <v>3201</v>
      </c>
      <c r="I2297" s="18" t="str" cm="1">
        <f t="array" ref="I2297">_xlfn.LET(_xlpm.text, D2297,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7" s="18" t="str" cm="1">
        <f t="array" ref="J2297">_xlfn.LET(_xlpm.text, E2297,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7" s="14">
        <v>46171.657766203702</v>
      </c>
      <c r="L2297" s="14">
        <f t="shared" si="176"/>
        <v>46172.282025462962</v>
      </c>
    </row>
    <row r="2298" spans="1:12" x14ac:dyDescent="0.25">
      <c r="A2298" s="4" t="s">
        <v>3178</v>
      </c>
      <c r="B2298" s="16" t="str">
        <f t="shared" si="173"/>
        <v>M/s SHREE VISHNU MINERALS</v>
      </c>
      <c r="C2298" s="16" t="str">
        <f t="shared" si="174"/>
        <v>Mokha Charnan / Kolayat / Bikaner</v>
      </c>
      <c r="D2298" s="4" t="s">
        <v>3035</v>
      </c>
      <c r="E2298" s="4" t="s">
        <v>3192</v>
      </c>
      <c r="F2298" s="5">
        <v>46171.646562499998</v>
      </c>
      <c r="G2298" s="16" t="str">
        <f t="shared" si="175"/>
        <v>Silica Sand</v>
      </c>
      <c r="H2298" s="4" t="s">
        <v>2856</v>
      </c>
      <c r="I2298" s="18" t="str" cm="1">
        <f t="array" ref="I2298">_xlfn.LET(_xlpm.text, D2298,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8" s="18" t="str" cm="1">
        <f t="array" ref="J2298">_xlfn.LET(_xlpm.text, E2298,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8" s="14">
        <v>46171.647118055553</v>
      </c>
      <c r="L2298" s="14">
        <f t="shared" si="176"/>
        <v>46172.271562499998</v>
      </c>
    </row>
    <row r="2299" spans="1:12" x14ac:dyDescent="0.25">
      <c r="A2299" s="4" t="s">
        <v>3179</v>
      </c>
      <c r="B2299" s="16" t="str">
        <f t="shared" si="173"/>
        <v>M/s SHREE VISHNU MINERALS</v>
      </c>
      <c r="C2299" s="16" t="str">
        <f t="shared" si="174"/>
        <v>Mokha Charnan / Kolayat / Bikaner</v>
      </c>
      <c r="D2299" s="4" t="s">
        <v>3035</v>
      </c>
      <c r="E2299" s="4" t="s">
        <v>3192</v>
      </c>
      <c r="F2299" s="5">
        <v>46171.545497685183</v>
      </c>
      <c r="G2299" s="16" t="str">
        <f t="shared" si="175"/>
        <v>Silica Sand</v>
      </c>
      <c r="H2299" s="4" t="s">
        <v>2611</v>
      </c>
      <c r="I2299" s="18" t="str" cm="1">
        <f t="array" ref="I2299">_xlfn.LET(_xlpm.text, D2299,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299" s="18" t="str" cm="1">
        <f t="array" ref="J2299">_xlfn.LET(_xlpm.text, E2299,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299" s="14">
        <v>46171.546226851853</v>
      </c>
      <c r="L2299" s="14">
        <f t="shared" si="176"/>
        <v>46172.170497685183</v>
      </c>
    </row>
    <row r="2300" spans="1:12" x14ac:dyDescent="0.25">
      <c r="A2300" s="4" t="s">
        <v>3180</v>
      </c>
      <c r="B2300" s="16" t="str">
        <f t="shared" si="173"/>
        <v>M/s SHREE VISHNU MINERALS</v>
      </c>
      <c r="C2300" s="16" t="str">
        <f t="shared" si="174"/>
        <v>Mokha Charnan / Kolayat / Bikaner</v>
      </c>
      <c r="D2300" s="4" t="s">
        <v>3035</v>
      </c>
      <c r="E2300" s="4" t="s">
        <v>3192</v>
      </c>
      <c r="F2300" s="5">
        <v>46170.845104166663</v>
      </c>
      <c r="G2300" s="16" t="str">
        <f t="shared" si="175"/>
        <v>Silica Sand</v>
      </c>
      <c r="H2300" s="4" t="s">
        <v>344</v>
      </c>
      <c r="I2300" s="18" t="str" cm="1">
        <f t="array" ref="I2300">_xlfn.LET(_xlpm.text, D2300,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0" s="18" t="str" cm="1">
        <f t="array" ref="J2300">_xlfn.LET(_xlpm.text, E2300,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0" s="14">
        <v>46170.84615740741</v>
      </c>
      <c r="L2300" s="14">
        <f t="shared" si="176"/>
        <v>46171.470104166663</v>
      </c>
    </row>
    <row r="2301" spans="1:12" x14ac:dyDescent="0.25">
      <c r="A2301" s="4" t="s">
        <v>3181</v>
      </c>
      <c r="B2301" s="16" t="str">
        <f t="shared" si="173"/>
        <v>M/s SHREE VISHNU MINERALS</v>
      </c>
      <c r="C2301" s="16" t="str">
        <f t="shared" si="174"/>
        <v>Mokha Charnan / Kolayat / Bikaner</v>
      </c>
      <c r="D2301" s="4" t="s">
        <v>3035</v>
      </c>
      <c r="E2301" s="4" t="s">
        <v>3192</v>
      </c>
      <c r="F2301" s="5">
        <v>46170.815393518518</v>
      </c>
      <c r="G2301" s="16" t="str">
        <f t="shared" si="175"/>
        <v>Silica Sand</v>
      </c>
      <c r="H2301" s="4" t="s">
        <v>3202</v>
      </c>
      <c r="I2301" s="18" t="str" cm="1">
        <f t="array" ref="I2301">_xlfn.LET(_xlpm.text, D2301,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1" s="18" t="str" cm="1">
        <f t="array" ref="J2301">_xlfn.LET(_xlpm.text, E2301,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1" s="14">
        <v>46170.815949074073</v>
      </c>
      <c r="L2301" s="14">
        <f t="shared" si="176"/>
        <v>46171.440393518518</v>
      </c>
    </row>
    <row r="2302" spans="1:12" x14ac:dyDescent="0.25">
      <c r="A2302" s="4" t="s">
        <v>3182</v>
      </c>
      <c r="B2302" s="16" t="str">
        <f t="shared" si="173"/>
        <v>M/s SHREE VISHNU MINERALS</v>
      </c>
      <c r="C2302" s="16" t="str">
        <f t="shared" si="174"/>
        <v>Mokha Charnan / Kolayat / Bikaner</v>
      </c>
      <c r="D2302" s="4" t="s">
        <v>3035</v>
      </c>
      <c r="E2302" s="4" t="s">
        <v>3192</v>
      </c>
      <c r="F2302" s="5">
        <v>46170.809189814812</v>
      </c>
      <c r="G2302" s="16" t="str">
        <f t="shared" si="175"/>
        <v>Silica Sand</v>
      </c>
      <c r="H2302" s="4" t="s">
        <v>2856</v>
      </c>
      <c r="I2302" s="18" t="str" cm="1">
        <f t="array" ref="I2302">_xlfn.LET(_xlpm.text, D2302,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2" s="18" t="str" cm="1">
        <f t="array" ref="J2302">_xlfn.LET(_xlpm.text, E2302,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2" s="14">
        <v>46170.809756944444</v>
      </c>
      <c r="L2302" s="14">
        <f t="shared" si="176"/>
        <v>46171.434189814812</v>
      </c>
    </row>
    <row r="2303" spans="1:12" x14ac:dyDescent="0.25">
      <c r="A2303" s="4" t="s">
        <v>3183</v>
      </c>
      <c r="B2303" s="16" t="str">
        <f t="shared" si="173"/>
        <v>M/s SHREE VISHNU MINERALS</v>
      </c>
      <c r="C2303" s="16" t="str">
        <f t="shared" si="174"/>
        <v>Mokha Charnan / Kolayat / Bikaner</v>
      </c>
      <c r="D2303" s="4" t="s">
        <v>3035</v>
      </c>
      <c r="E2303" s="4" t="s">
        <v>3192</v>
      </c>
      <c r="F2303" s="5">
        <v>46170.803437499999</v>
      </c>
      <c r="G2303" s="16" t="str">
        <f t="shared" si="175"/>
        <v>Silica Sand</v>
      </c>
      <c r="H2303" s="4" t="s">
        <v>3203</v>
      </c>
      <c r="I2303" s="18" t="str" cm="1">
        <f t="array" ref="I2303">_xlfn.LET(_xlpm.text, D2303,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3" s="18" t="str" cm="1">
        <f t="array" ref="J2303">_xlfn.LET(_xlpm.text, E2303,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3" s="14">
        <v>46170.80395833333</v>
      </c>
      <c r="L2303" s="14">
        <f t="shared" si="176"/>
        <v>46171.428437499999</v>
      </c>
    </row>
    <row r="2304" spans="1:12" x14ac:dyDescent="0.25">
      <c r="A2304" s="4" t="s">
        <v>3184</v>
      </c>
      <c r="B2304" s="16" t="str">
        <f t="shared" si="173"/>
        <v>M/s SHREE VISHNU MINERALS</v>
      </c>
      <c r="C2304" s="16" t="str">
        <f t="shared" si="174"/>
        <v>Mokha Charnan / Kolayat / Bikaner</v>
      </c>
      <c r="D2304" s="4" t="s">
        <v>3035</v>
      </c>
      <c r="E2304" s="4" t="s">
        <v>3192</v>
      </c>
      <c r="F2304" s="5">
        <v>46170.404803240737</v>
      </c>
      <c r="G2304" s="16" t="str">
        <f t="shared" si="175"/>
        <v>Silica Sand</v>
      </c>
      <c r="H2304" s="4" t="s">
        <v>2895</v>
      </c>
      <c r="I2304" s="18" t="str" cm="1">
        <f t="array" ref="I2304">_xlfn.LET(_xlpm.text, D2304,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4" s="18" t="str" cm="1">
        <f t="array" ref="J2304">_xlfn.LET(_xlpm.text, E2304,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4" s="14">
        <v>46170.406192129631</v>
      </c>
      <c r="L2304" s="14">
        <f t="shared" si="176"/>
        <v>46171.029803240737</v>
      </c>
    </row>
    <row r="2305" spans="1:12" x14ac:dyDescent="0.25">
      <c r="A2305" s="4" t="s">
        <v>3185</v>
      </c>
      <c r="B2305" s="16" t="str">
        <f t="shared" si="173"/>
        <v>M/s SHREE VISHNU MINERALS</v>
      </c>
      <c r="C2305" s="16" t="str">
        <f t="shared" si="174"/>
        <v>Mokha Charnan / Kolayat / Bikaner</v>
      </c>
      <c r="D2305" s="4" t="s">
        <v>3035</v>
      </c>
      <c r="E2305" s="4" t="s">
        <v>3192</v>
      </c>
      <c r="F2305" s="5">
        <v>46170.403287037036</v>
      </c>
      <c r="G2305" s="16" t="str">
        <f t="shared" si="175"/>
        <v>Silica Sand</v>
      </c>
      <c r="H2305" s="4" t="s">
        <v>2582</v>
      </c>
      <c r="I2305" s="18" t="str" cm="1">
        <f t="array" ref="I2305">_xlfn.LET(_xlpm.text, D2305,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5" s="18" t="str" cm="1">
        <f t="array" ref="J2305">_xlfn.LET(_xlpm.text, E2305,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5" s="14">
        <v>46170.40388888889</v>
      </c>
      <c r="L2305" s="14">
        <f t="shared" si="176"/>
        <v>46171.028287037036</v>
      </c>
    </row>
    <row r="2306" spans="1:12" x14ac:dyDescent="0.25">
      <c r="A2306" s="4" t="s">
        <v>3186</v>
      </c>
      <c r="B2306" s="16" t="str">
        <f t="shared" si="173"/>
        <v>M/s SHREE VISHNU MINERALS</v>
      </c>
      <c r="C2306" s="16" t="str">
        <f t="shared" si="174"/>
        <v>Mokha Charnan / Kolayat / Bikaner</v>
      </c>
      <c r="D2306" s="4" t="s">
        <v>3035</v>
      </c>
      <c r="E2306" s="4" t="s">
        <v>3192</v>
      </c>
      <c r="F2306" s="5">
        <v>46169.945694444446</v>
      </c>
      <c r="G2306" s="16" t="str">
        <f t="shared" si="175"/>
        <v>Silica Sand</v>
      </c>
      <c r="H2306" s="4" t="s">
        <v>3202</v>
      </c>
      <c r="I2306" s="18" t="str" cm="1">
        <f t="array" ref="I2306">_xlfn.LET(_xlpm.text, D2306,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6" s="18" t="str" cm="1">
        <f t="array" ref="J2306">_xlfn.LET(_xlpm.text, E2306,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6" s="14">
        <v>46169.946296296293</v>
      </c>
      <c r="L2306" s="14">
        <f t="shared" si="176"/>
        <v>46170.570694444446</v>
      </c>
    </row>
    <row r="2307" spans="1:12" x14ac:dyDescent="0.25">
      <c r="A2307" s="4" t="s">
        <v>3187</v>
      </c>
      <c r="B2307" s="16" t="str">
        <f t="shared" ref="B2307:B2362" si="177">VLOOKUP(LEFT($A2307,4)&amp;"*",$O$3:$R$17, 2, FALSE)</f>
        <v>M/s SHREE VISHNU MINERALS</v>
      </c>
      <c r="C2307" s="16" t="str">
        <f t="shared" ref="C2307:C2362" si="178">VLOOKUP(LEFT($A2307,4)&amp;"*",$O$3:$R$17, 3, FALSE)</f>
        <v>Mokha Charnan / Kolayat / Bikaner</v>
      </c>
      <c r="D2307" s="4" t="s">
        <v>3035</v>
      </c>
      <c r="E2307" s="4" t="s">
        <v>3192</v>
      </c>
      <c r="F2307" s="5">
        <v>46169.901770833334</v>
      </c>
      <c r="G2307" s="16" t="str">
        <f t="shared" ref="G2307:G2362" si="179">VLOOKUP(LEFT($A2307,4)&amp;"*",$O$3:$R$17, 4, FALSE)</f>
        <v>Silica Sand</v>
      </c>
      <c r="H2307" s="4" t="s">
        <v>2611</v>
      </c>
      <c r="I2307" s="18" t="str" cm="1">
        <f t="array" ref="I2307">_xlfn.LET(_xlpm.text, D2307,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7" s="18" t="str" cm="1">
        <f t="array" ref="J2307">_xlfn.LET(_xlpm.text, E2307,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7" s="14">
        <v>46169.904328703706</v>
      </c>
      <c r="L2307" s="14">
        <f t="shared" ref="L2307:L2312" si="180">F2307+(15/24)</f>
        <v>46170.526770833334</v>
      </c>
    </row>
    <row r="2308" spans="1:12" x14ac:dyDescent="0.25">
      <c r="A2308" s="4" t="s">
        <v>3188</v>
      </c>
      <c r="B2308" s="16" t="str">
        <f t="shared" si="177"/>
        <v>M/s SHREE VISHNU MINERALS</v>
      </c>
      <c r="C2308" s="16" t="str">
        <f t="shared" si="178"/>
        <v>Mokha Charnan / Kolayat / Bikaner</v>
      </c>
      <c r="D2308" s="4" t="s">
        <v>3035</v>
      </c>
      <c r="E2308" s="4" t="s">
        <v>3192</v>
      </c>
      <c r="F2308" s="5">
        <v>46169.891284722224</v>
      </c>
      <c r="G2308" s="16" t="str">
        <f t="shared" si="179"/>
        <v>Silica Sand</v>
      </c>
      <c r="H2308" s="4" t="s">
        <v>2390</v>
      </c>
      <c r="I2308" s="18" t="str" cm="1">
        <f t="array" ref="I2308">_xlfn.LET(_xlpm.text, D2308,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8" s="18" t="str" cm="1">
        <f t="array" ref="J2308">_xlfn.LET(_xlpm.text, E2308,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8" s="14">
        <v>46169.891747685186</v>
      </c>
      <c r="L2308" s="14">
        <f t="shared" si="180"/>
        <v>46170.516284722224</v>
      </c>
    </row>
    <row r="2309" spans="1:12" x14ac:dyDescent="0.25">
      <c r="A2309" s="4" t="s">
        <v>3189</v>
      </c>
      <c r="B2309" s="16" t="str">
        <f t="shared" si="177"/>
        <v>M/s SHREE VISHNU MINERALS</v>
      </c>
      <c r="C2309" s="16" t="str">
        <f t="shared" si="178"/>
        <v>Mokha Charnan / Kolayat / Bikaner</v>
      </c>
      <c r="D2309" s="4" t="s">
        <v>3035</v>
      </c>
      <c r="E2309" s="4" t="s">
        <v>3192</v>
      </c>
      <c r="F2309" s="5">
        <v>46169.832488425927</v>
      </c>
      <c r="G2309" s="16" t="str">
        <f t="shared" si="179"/>
        <v>Silica Sand</v>
      </c>
      <c r="H2309" s="4" t="s">
        <v>2766</v>
      </c>
      <c r="I2309" s="18" t="str" cm="1">
        <f t="array" ref="I2309">_xlfn.LET(_xlpm.text, D2309,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09" s="18" t="str" cm="1">
        <f t="array" ref="J2309">_xlfn.LET(_xlpm.text, E2309,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09" s="14">
        <v>46169.834733796299</v>
      </c>
      <c r="L2309" s="14">
        <f t="shared" si="180"/>
        <v>46170.457488425927</v>
      </c>
    </row>
    <row r="2310" spans="1:12" x14ac:dyDescent="0.25">
      <c r="A2310" s="4" t="s">
        <v>3190</v>
      </c>
      <c r="B2310" s="16" t="str">
        <f t="shared" si="177"/>
        <v>M/s SHREE VISHNU MINERALS</v>
      </c>
      <c r="C2310" s="16" t="str">
        <f t="shared" si="178"/>
        <v>Mokha Charnan / Kolayat / Bikaner</v>
      </c>
      <c r="D2310" s="4" t="s">
        <v>3035</v>
      </c>
      <c r="E2310" s="4" t="s">
        <v>3192</v>
      </c>
      <c r="F2310" s="5">
        <v>46169.831469907411</v>
      </c>
      <c r="G2310" s="16" t="str">
        <f t="shared" si="179"/>
        <v>Silica Sand</v>
      </c>
      <c r="H2310" s="4" t="s">
        <v>2766</v>
      </c>
      <c r="I2310" s="18" t="str" cm="1">
        <f t="array" ref="I2310">_xlfn.LET(_xlpm.text, D2310,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10" s="18" t="str" cm="1">
        <f t="array" ref="J2310">_xlfn.LET(_xlpm.text, E2310,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10" s="14">
        <v>46169.831909722219</v>
      </c>
      <c r="L2310" s="14">
        <f t="shared" si="180"/>
        <v>46170.456469907411</v>
      </c>
    </row>
    <row r="2311" spans="1:12" x14ac:dyDescent="0.25">
      <c r="A2311" s="4" t="s">
        <v>3191</v>
      </c>
      <c r="B2311" s="16" t="str">
        <f t="shared" si="177"/>
        <v>M/s SHREE VISHNU MINERALS</v>
      </c>
      <c r="C2311" s="16" t="str">
        <f t="shared" si="178"/>
        <v>Mokha Charnan / Kolayat / Bikaner</v>
      </c>
      <c r="D2311" s="4" t="s">
        <v>3035</v>
      </c>
      <c r="E2311" s="4" t="s">
        <v>3192</v>
      </c>
      <c r="F2311" s="5">
        <v>46169.791215277779</v>
      </c>
      <c r="G2311" s="16" t="str">
        <f t="shared" si="179"/>
        <v>Silica Sand</v>
      </c>
      <c r="H2311" s="4" t="s">
        <v>2926</v>
      </c>
      <c r="I2311" s="18" t="str" cm="1">
        <f t="array" ref="I2311">_xlfn.LET(_xlpm.text, D2311, _xlpm.L, LEN(_xlpm.text), _xlfn.CONCAT(_xlfn.MAP(_xlfn.SEQUENCE(_xlpm.L), _xlfn.LAMBDA(_xlpm.i, _xlfn.LET(_xlpm.char, MID(_xlpm.text, _xlpm.i, 1), IF(OR(_xlpm.i=1, _xlpm.i=_xlpm.L, _xlpm.char=" "), _xlpm.char, "X"))))))</f>
        <v>AXX XXX XXXXXXXXXXXN</v>
      </c>
      <c r="J2311" s="18" t="str" cm="1">
        <f t="array" ref="J2311">_xlfn.LET(_xlpm.text, E2311, _xlpm.L, LEN(_xlpm.text), _xlfn.CONCAT(_xlfn.MAP(_xlfn.SEQUENCE(_xlpm.L), _xlfn.LAMBDA(_xlpm.i, _xlfn.LET(_xlpm.char, MID(_xlpm.text, _xlpm.i, 1), IF(OR(_xlpm.i=1, _xlpm.i=_xlpm.L, _xlpm.char=" "), _xlpm.char, "X"))))))</f>
        <v>kXXXXXXX XXXXXXXXX XXXXXXX XXXXXXX XXXXXXXX XXXXXXXXX,</v>
      </c>
      <c r="K2311" s="14">
        <v>46169.791666666664</v>
      </c>
      <c r="L2311" s="14">
        <f t="shared" si="180"/>
        <v>46170.416215277779</v>
      </c>
    </row>
    <row r="2312" spans="1:12" x14ac:dyDescent="0.25">
      <c r="A2312" s="4" t="s">
        <v>3241</v>
      </c>
      <c r="B2312" s="16" t="str">
        <f t="shared" si="177"/>
        <v>MAA DURGA STONE CRUSHING COMPANY</v>
      </c>
      <c r="C2312" s="16" t="str">
        <f t="shared" si="178"/>
        <v>CHADWAS(Chadwas/Bidasar/Sujangarh)</v>
      </c>
      <c r="D2312" s="4" t="s">
        <v>3242</v>
      </c>
      <c r="E2312" s="4" t="s">
        <v>3243</v>
      </c>
      <c r="F2312" s="5">
        <v>46179.632326388892</v>
      </c>
      <c r="G2312" s="16" t="str">
        <f t="shared" si="179"/>
        <v>MasonaryStone (Gitti)</v>
      </c>
      <c r="H2312" s="4" t="s">
        <v>3204</v>
      </c>
      <c r="I2312" s="20" t="s">
        <v>3242</v>
      </c>
      <c r="J2312" s="20" t="s">
        <v>3243</v>
      </c>
      <c r="K2312" s="14">
        <f t="shared" ref="K2312" si="181">F2312+(29/86400)</f>
        <v>46179.632662037038</v>
      </c>
      <c r="L2312" s="14">
        <f t="shared" si="180"/>
        <v>46180.257326388892</v>
      </c>
    </row>
    <row r="2313" spans="1:12" x14ac:dyDescent="0.25">
      <c r="A2313" s="4" t="s">
        <v>3244</v>
      </c>
      <c r="B2313" s="16" t="str">
        <f t="shared" si="177"/>
        <v>MAA DURGA STONE CRUSHING COMPANY</v>
      </c>
      <c r="C2313" s="16" t="str">
        <f t="shared" si="178"/>
        <v>CHADWAS(Chadwas/Bidasar/Sujangarh)</v>
      </c>
      <c r="D2313" s="4" t="s">
        <v>3242</v>
      </c>
      <c r="E2313" s="4" t="s">
        <v>3243</v>
      </c>
      <c r="F2313" s="5">
        <v>46179.635069444441</v>
      </c>
      <c r="G2313" s="16" t="str">
        <f t="shared" si="179"/>
        <v>MasonaryStone (Gitti)</v>
      </c>
      <c r="H2313" s="4" t="s">
        <v>3205</v>
      </c>
      <c r="I2313" s="20" t="s">
        <v>3242</v>
      </c>
      <c r="J2313" s="20" t="s">
        <v>3243</v>
      </c>
      <c r="K2313" s="14">
        <f t="shared" ref="K2313:K2362" si="182">F2313+(29/86400)</f>
        <v>46179.635405092587</v>
      </c>
      <c r="L2313" s="14">
        <f t="shared" ref="L2313:L2362" si="183">F2313+(15/24)</f>
        <v>46180.260069444441</v>
      </c>
    </row>
    <row r="2314" spans="1:12" x14ac:dyDescent="0.25">
      <c r="A2314" s="4" t="s">
        <v>3245</v>
      </c>
      <c r="B2314" s="16" t="str">
        <f t="shared" si="177"/>
        <v>MAA DURGA STONE CRUSHING COMPANY</v>
      </c>
      <c r="C2314" s="16" t="str">
        <f t="shared" si="178"/>
        <v>CHADWAS(Chadwas/Bidasar/Sujangarh)</v>
      </c>
      <c r="D2314" s="4" t="s">
        <v>3242</v>
      </c>
      <c r="E2314" s="4" t="s">
        <v>3243</v>
      </c>
      <c r="F2314" s="5">
        <v>46179.637870370374</v>
      </c>
      <c r="G2314" s="16" t="str">
        <f t="shared" si="179"/>
        <v>MasonaryStone (Gitti)</v>
      </c>
      <c r="H2314" s="4" t="s">
        <v>3206</v>
      </c>
      <c r="I2314" s="20" t="s">
        <v>3242</v>
      </c>
      <c r="J2314" s="20" t="s">
        <v>3243</v>
      </c>
      <c r="K2314" s="14">
        <f t="shared" si="182"/>
        <v>46179.638206018521</v>
      </c>
      <c r="L2314" s="14">
        <f t="shared" si="183"/>
        <v>46180.262870370374</v>
      </c>
    </row>
    <row r="2315" spans="1:12" x14ac:dyDescent="0.25">
      <c r="A2315" s="4" t="s">
        <v>3246</v>
      </c>
      <c r="B2315" s="16" t="str">
        <f t="shared" si="177"/>
        <v>MAA DURGA STONE CRUSHING COMPANY</v>
      </c>
      <c r="C2315" s="16" t="str">
        <f t="shared" si="178"/>
        <v>CHADWAS(Chadwas/Bidasar/Sujangarh)</v>
      </c>
      <c r="D2315" s="4" t="s">
        <v>3242</v>
      </c>
      <c r="E2315" s="4" t="s">
        <v>3243</v>
      </c>
      <c r="F2315" s="5">
        <v>46179.640567129631</v>
      </c>
      <c r="G2315" s="16" t="str">
        <f t="shared" si="179"/>
        <v>MasonaryStone (Gitti)</v>
      </c>
      <c r="H2315" s="4" t="s">
        <v>3207</v>
      </c>
      <c r="I2315" s="20" t="s">
        <v>3242</v>
      </c>
      <c r="J2315" s="20" t="s">
        <v>3243</v>
      </c>
      <c r="K2315" s="14">
        <f t="shared" si="182"/>
        <v>46179.640902777777</v>
      </c>
      <c r="L2315" s="14">
        <f t="shared" si="183"/>
        <v>46180.265567129631</v>
      </c>
    </row>
    <row r="2316" spans="1:12" x14ac:dyDescent="0.25">
      <c r="A2316" s="4" t="s">
        <v>3247</v>
      </c>
      <c r="B2316" s="16" t="str">
        <f t="shared" si="177"/>
        <v>MAA DURGA STONE CRUSHING COMPANY</v>
      </c>
      <c r="C2316" s="16" t="str">
        <f t="shared" si="178"/>
        <v>CHADWAS(Chadwas/Bidasar/Sujangarh)</v>
      </c>
      <c r="D2316" s="4" t="s">
        <v>3242</v>
      </c>
      <c r="E2316" s="4" t="s">
        <v>3243</v>
      </c>
      <c r="F2316" s="5">
        <v>46179.642754629633</v>
      </c>
      <c r="G2316" s="16" t="str">
        <f t="shared" si="179"/>
        <v>MasonaryStone (Gitti)</v>
      </c>
      <c r="H2316" s="4" t="s">
        <v>3208</v>
      </c>
      <c r="I2316" s="20" t="s">
        <v>3242</v>
      </c>
      <c r="J2316" s="20" t="s">
        <v>3243</v>
      </c>
      <c r="K2316" s="14">
        <f t="shared" si="182"/>
        <v>46179.643090277779</v>
      </c>
      <c r="L2316" s="14">
        <f t="shared" si="183"/>
        <v>46180.267754629633</v>
      </c>
    </row>
    <row r="2317" spans="1:12" x14ac:dyDescent="0.25">
      <c r="A2317" s="4" t="s">
        <v>3248</v>
      </c>
      <c r="B2317" s="16" t="str">
        <f t="shared" si="177"/>
        <v>MAA DURGA STONE CRUSHING COMPANY</v>
      </c>
      <c r="C2317" s="16" t="str">
        <f t="shared" si="178"/>
        <v>CHADWAS(Chadwas/Bidasar/Sujangarh)</v>
      </c>
      <c r="D2317" s="4" t="s">
        <v>3242</v>
      </c>
      <c r="E2317" s="4" t="s">
        <v>3243</v>
      </c>
      <c r="F2317" s="5">
        <v>46179.64508101852</v>
      </c>
      <c r="G2317" s="16" t="str">
        <f t="shared" si="179"/>
        <v>MasonaryStone (Gitti)</v>
      </c>
      <c r="H2317" s="4" t="s">
        <v>3209</v>
      </c>
      <c r="I2317" s="20" t="s">
        <v>3242</v>
      </c>
      <c r="J2317" s="20" t="s">
        <v>3243</v>
      </c>
      <c r="K2317" s="14">
        <f t="shared" si="182"/>
        <v>46179.645416666666</v>
      </c>
      <c r="L2317" s="14">
        <f t="shared" si="183"/>
        <v>46180.27008101852</v>
      </c>
    </row>
    <row r="2318" spans="1:12" x14ac:dyDescent="0.25">
      <c r="A2318" s="4" t="s">
        <v>3249</v>
      </c>
      <c r="B2318" s="16" t="str">
        <f t="shared" si="177"/>
        <v>MAA DURGA STONE CRUSHING COMPANY</v>
      </c>
      <c r="C2318" s="16" t="str">
        <f t="shared" si="178"/>
        <v>CHADWAS(Chadwas/Bidasar/Sujangarh)</v>
      </c>
      <c r="D2318" s="4" t="s">
        <v>3242</v>
      </c>
      <c r="E2318" s="4" t="s">
        <v>3243</v>
      </c>
      <c r="F2318" s="5">
        <v>46179.647372685184</v>
      </c>
      <c r="G2318" s="16" t="str">
        <f t="shared" si="179"/>
        <v>MasonaryStone (Gitti)</v>
      </c>
      <c r="H2318" s="4" t="s">
        <v>3210</v>
      </c>
      <c r="I2318" s="20" t="s">
        <v>3242</v>
      </c>
      <c r="J2318" s="20" t="s">
        <v>3243</v>
      </c>
      <c r="K2318" s="14">
        <f t="shared" si="182"/>
        <v>46179.64770833333</v>
      </c>
      <c r="L2318" s="14">
        <f t="shared" si="183"/>
        <v>46180.272372685184</v>
      </c>
    </row>
    <row r="2319" spans="1:12" x14ac:dyDescent="0.25">
      <c r="A2319" s="4" t="s">
        <v>3250</v>
      </c>
      <c r="B2319" s="16" t="str">
        <f t="shared" si="177"/>
        <v>MAA DURGA STONE CRUSHING COMPANY</v>
      </c>
      <c r="C2319" s="16" t="str">
        <f t="shared" si="178"/>
        <v>CHADWAS(Chadwas/Bidasar/Sujangarh)</v>
      </c>
      <c r="D2319" s="4" t="s">
        <v>3242</v>
      </c>
      <c r="E2319" s="4" t="s">
        <v>3243</v>
      </c>
      <c r="F2319" s="5">
        <v>46179.649814814817</v>
      </c>
      <c r="G2319" s="16" t="str">
        <f t="shared" si="179"/>
        <v>MasonaryStone (Gitti)</v>
      </c>
      <c r="H2319" s="4" t="s">
        <v>3211</v>
      </c>
      <c r="I2319" s="20" t="s">
        <v>3242</v>
      </c>
      <c r="J2319" s="20" t="s">
        <v>3243</v>
      </c>
      <c r="K2319" s="14">
        <f t="shared" si="182"/>
        <v>46179.650150462963</v>
      </c>
      <c r="L2319" s="14">
        <f t="shared" si="183"/>
        <v>46180.274814814817</v>
      </c>
    </row>
    <row r="2320" spans="1:12" x14ac:dyDescent="0.25">
      <c r="A2320" s="4" t="s">
        <v>3251</v>
      </c>
      <c r="B2320" s="16" t="str">
        <f t="shared" si="177"/>
        <v>MAA DURGA STONE CRUSHING COMPANY</v>
      </c>
      <c r="C2320" s="16" t="str">
        <f t="shared" si="178"/>
        <v>CHADWAS(Chadwas/Bidasar/Sujangarh)</v>
      </c>
      <c r="D2320" s="4" t="s">
        <v>3242</v>
      </c>
      <c r="E2320" s="4" t="s">
        <v>3243</v>
      </c>
      <c r="F2320" s="5">
        <v>46179.652650462966</v>
      </c>
      <c r="G2320" s="16" t="str">
        <f t="shared" si="179"/>
        <v>MasonaryStone (Gitti)</v>
      </c>
      <c r="H2320" s="4" t="s">
        <v>3212</v>
      </c>
      <c r="I2320" s="20" t="s">
        <v>3242</v>
      </c>
      <c r="J2320" s="20" t="s">
        <v>3243</v>
      </c>
      <c r="K2320" s="14">
        <f t="shared" si="182"/>
        <v>46179.652986111112</v>
      </c>
      <c r="L2320" s="14">
        <f t="shared" si="183"/>
        <v>46180.277650462966</v>
      </c>
    </row>
    <row r="2321" spans="1:12" x14ac:dyDescent="0.25">
      <c r="A2321" s="4" t="s">
        <v>3252</v>
      </c>
      <c r="B2321" s="16" t="str">
        <f t="shared" si="177"/>
        <v>MAA DURGA STONE CRUSHING COMPANY</v>
      </c>
      <c r="C2321" s="16" t="str">
        <f t="shared" si="178"/>
        <v>CHADWAS(Chadwas/Bidasar/Sujangarh)</v>
      </c>
      <c r="D2321" s="4" t="s">
        <v>3242</v>
      </c>
      <c r="E2321" s="4" t="s">
        <v>3243</v>
      </c>
      <c r="F2321" s="5">
        <v>46179.655046296299</v>
      </c>
      <c r="G2321" s="16" t="str">
        <f t="shared" si="179"/>
        <v>MasonaryStone (Gitti)</v>
      </c>
      <c r="H2321" s="4" t="s">
        <v>2915</v>
      </c>
      <c r="I2321" s="20" t="s">
        <v>3242</v>
      </c>
      <c r="J2321" s="20" t="s">
        <v>3243</v>
      </c>
      <c r="K2321" s="14">
        <f t="shared" si="182"/>
        <v>46179.655381944445</v>
      </c>
      <c r="L2321" s="14">
        <f t="shared" si="183"/>
        <v>46180.280046296299</v>
      </c>
    </row>
    <row r="2322" spans="1:12" x14ac:dyDescent="0.25">
      <c r="A2322" s="4" t="s">
        <v>3253</v>
      </c>
      <c r="B2322" s="16" t="str">
        <f t="shared" si="177"/>
        <v>MAA DURGA STONE CRUSHING COMPANY</v>
      </c>
      <c r="C2322" s="16" t="str">
        <f t="shared" si="178"/>
        <v>CHADWAS(Chadwas/Bidasar/Sujangarh)</v>
      </c>
      <c r="D2322" s="4" t="s">
        <v>3242</v>
      </c>
      <c r="E2322" s="4" t="s">
        <v>3243</v>
      </c>
      <c r="F2322" s="5">
        <v>46179.658090277779</v>
      </c>
      <c r="G2322" s="16" t="str">
        <f t="shared" si="179"/>
        <v>MasonaryStone (Gitti)</v>
      </c>
      <c r="H2322" s="4" t="s">
        <v>3213</v>
      </c>
      <c r="I2322" s="20" t="s">
        <v>3242</v>
      </c>
      <c r="J2322" s="20" t="s">
        <v>3243</v>
      </c>
      <c r="K2322" s="14">
        <f t="shared" si="182"/>
        <v>46179.658425925925</v>
      </c>
      <c r="L2322" s="14">
        <f t="shared" si="183"/>
        <v>46180.283090277779</v>
      </c>
    </row>
    <row r="2323" spans="1:12" x14ac:dyDescent="0.25">
      <c r="A2323" s="4" t="s">
        <v>3254</v>
      </c>
      <c r="B2323" s="16" t="str">
        <f t="shared" si="177"/>
        <v>MAA DURGA STONE CRUSHING COMPANY</v>
      </c>
      <c r="C2323" s="16" t="str">
        <f t="shared" si="178"/>
        <v>CHADWAS(Chadwas/Bidasar/Sujangarh)</v>
      </c>
      <c r="D2323" s="4" t="s">
        <v>3242</v>
      </c>
      <c r="E2323" s="4" t="s">
        <v>3243</v>
      </c>
      <c r="F2323" s="5">
        <v>46179.660277777781</v>
      </c>
      <c r="G2323" s="16" t="str">
        <f t="shared" si="179"/>
        <v>MasonaryStone (Gitti)</v>
      </c>
      <c r="H2323" s="4" t="s">
        <v>3214</v>
      </c>
      <c r="I2323" s="20" t="s">
        <v>3242</v>
      </c>
      <c r="J2323" s="20" t="s">
        <v>3243</v>
      </c>
      <c r="K2323" s="14">
        <f t="shared" si="182"/>
        <v>46179.660613425927</v>
      </c>
      <c r="L2323" s="14">
        <f t="shared" si="183"/>
        <v>46180.285277777781</v>
      </c>
    </row>
    <row r="2324" spans="1:12" x14ac:dyDescent="0.25">
      <c r="A2324" s="4" t="s">
        <v>3255</v>
      </c>
      <c r="B2324" s="16" t="str">
        <f t="shared" si="177"/>
        <v>MAA DURGA STONE CRUSHING COMPANY</v>
      </c>
      <c r="C2324" s="16" t="str">
        <f t="shared" si="178"/>
        <v>CHADWAS(Chadwas/Bidasar/Sujangarh)</v>
      </c>
      <c r="D2324" s="4" t="s">
        <v>3242</v>
      </c>
      <c r="E2324" s="4" t="s">
        <v>3243</v>
      </c>
      <c r="F2324" s="5">
        <v>46179.834999999999</v>
      </c>
      <c r="G2324" s="16" t="str">
        <f t="shared" si="179"/>
        <v>MasonaryStone (Gitti)</v>
      </c>
      <c r="H2324" s="4" t="s">
        <v>2619</v>
      </c>
      <c r="I2324" s="20" t="s">
        <v>3242</v>
      </c>
      <c r="J2324" s="20" t="s">
        <v>3243</v>
      </c>
      <c r="K2324" s="14">
        <f t="shared" si="182"/>
        <v>46179.835335648146</v>
      </c>
      <c r="L2324" s="14">
        <f t="shared" si="183"/>
        <v>46180.46</v>
      </c>
    </row>
    <row r="2325" spans="1:12" x14ac:dyDescent="0.25">
      <c r="A2325" s="4" t="s">
        <v>3256</v>
      </c>
      <c r="B2325" s="16" t="str">
        <f t="shared" si="177"/>
        <v>MAA DURGA STONE CRUSHING COMPANY</v>
      </c>
      <c r="C2325" s="16" t="str">
        <f t="shared" si="178"/>
        <v>CHADWAS(Chadwas/Bidasar/Sujangarh)</v>
      </c>
      <c r="D2325" s="4" t="s">
        <v>3242</v>
      </c>
      <c r="E2325" s="4" t="s">
        <v>3243</v>
      </c>
      <c r="F2325" s="5">
        <v>46180.320497685185</v>
      </c>
      <c r="G2325" s="16" t="str">
        <f t="shared" si="179"/>
        <v>MasonaryStone (Gitti)</v>
      </c>
      <c r="H2325" s="4" t="s">
        <v>3215</v>
      </c>
      <c r="I2325" s="20" t="s">
        <v>3242</v>
      </c>
      <c r="J2325" s="20" t="s">
        <v>3243</v>
      </c>
      <c r="K2325" s="14">
        <f t="shared" si="182"/>
        <v>46180.320833333331</v>
      </c>
      <c r="L2325" s="14">
        <f t="shared" si="183"/>
        <v>46180.945497685185</v>
      </c>
    </row>
    <row r="2326" spans="1:12" x14ac:dyDescent="0.25">
      <c r="A2326" s="4" t="s">
        <v>3257</v>
      </c>
      <c r="B2326" s="16" t="str">
        <f t="shared" si="177"/>
        <v>MAA DURGA STONE CRUSHING COMPANY</v>
      </c>
      <c r="C2326" s="16" t="str">
        <f t="shared" si="178"/>
        <v>CHADWAS(Chadwas/Bidasar/Sujangarh)</v>
      </c>
      <c r="D2326" s="4" t="s">
        <v>3242</v>
      </c>
      <c r="E2326" s="4" t="s">
        <v>3243</v>
      </c>
      <c r="F2326" s="5">
        <v>46180.560983796298</v>
      </c>
      <c r="G2326" s="16" t="str">
        <f t="shared" si="179"/>
        <v>MasonaryStone (Gitti)</v>
      </c>
      <c r="H2326" s="4" t="s">
        <v>2457</v>
      </c>
      <c r="I2326" s="20" t="s">
        <v>3242</v>
      </c>
      <c r="J2326" s="20" t="s">
        <v>3243</v>
      </c>
      <c r="K2326" s="14">
        <f t="shared" si="182"/>
        <v>46180.561319444445</v>
      </c>
      <c r="L2326" s="14">
        <f t="shared" si="183"/>
        <v>46181.185983796298</v>
      </c>
    </row>
    <row r="2327" spans="1:12" x14ac:dyDescent="0.25">
      <c r="A2327" s="4" t="s">
        <v>3258</v>
      </c>
      <c r="B2327" s="16" t="str">
        <f t="shared" si="177"/>
        <v>MAA DURGA STONE CRUSHING COMPANY</v>
      </c>
      <c r="C2327" s="16" t="str">
        <f t="shared" si="178"/>
        <v>CHADWAS(Chadwas/Bidasar/Sujangarh)</v>
      </c>
      <c r="D2327" s="4" t="s">
        <v>3242</v>
      </c>
      <c r="E2327" s="4" t="s">
        <v>3243</v>
      </c>
      <c r="F2327" s="5">
        <v>46180.627395833333</v>
      </c>
      <c r="G2327" s="16" t="str">
        <f t="shared" si="179"/>
        <v>MasonaryStone (Gitti)</v>
      </c>
      <c r="H2327" s="4" t="s">
        <v>3216</v>
      </c>
      <c r="I2327" s="20" t="s">
        <v>3242</v>
      </c>
      <c r="J2327" s="20" t="s">
        <v>3243</v>
      </c>
      <c r="K2327" s="14">
        <f t="shared" si="182"/>
        <v>46180.62773148148</v>
      </c>
      <c r="L2327" s="14">
        <f t="shared" si="183"/>
        <v>46181.252395833333</v>
      </c>
    </row>
    <row r="2328" spans="1:12" x14ac:dyDescent="0.25">
      <c r="A2328" s="4" t="s">
        <v>3259</v>
      </c>
      <c r="B2328" s="16" t="str">
        <f t="shared" si="177"/>
        <v>MAA DURGA STONE CRUSHING COMPANY</v>
      </c>
      <c r="C2328" s="16" t="str">
        <f t="shared" si="178"/>
        <v>CHADWAS(Chadwas/Bidasar/Sujangarh)</v>
      </c>
      <c r="D2328" s="4" t="s">
        <v>3242</v>
      </c>
      <c r="E2328" s="4" t="s">
        <v>3243</v>
      </c>
      <c r="F2328" s="5">
        <v>46180.62972222222</v>
      </c>
      <c r="G2328" s="16" t="str">
        <f t="shared" si="179"/>
        <v>MasonaryStone (Gitti)</v>
      </c>
      <c r="H2328" s="4" t="s">
        <v>3217</v>
      </c>
      <c r="I2328" s="20" t="s">
        <v>3242</v>
      </c>
      <c r="J2328" s="20" t="s">
        <v>3243</v>
      </c>
      <c r="K2328" s="14">
        <f t="shared" si="182"/>
        <v>46180.630057870367</v>
      </c>
      <c r="L2328" s="14">
        <f t="shared" si="183"/>
        <v>46181.25472222222</v>
      </c>
    </row>
    <row r="2329" spans="1:12" x14ac:dyDescent="0.25">
      <c r="A2329" s="4" t="s">
        <v>3260</v>
      </c>
      <c r="B2329" s="16" t="str">
        <f t="shared" si="177"/>
        <v>MAA DURGA STONE CRUSHING COMPANY</v>
      </c>
      <c r="C2329" s="16" t="str">
        <f t="shared" si="178"/>
        <v>CHADWAS(Chadwas/Bidasar/Sujangarh)</v>
      </c>
      <c r="D2329" s="4" t="s">
        <v>3242</v>
      </c>
      <c r="E2329" s="4" t="s">
        <v>3243</v>
      </c>
      <c r="F2329" s="5">
        <v>46180.631979166668</v>
      </c>
      <c r="G2329" s="16" t="str">
        <f t="shared" si="179"/>
        <v>MasonaryStone (Gitti)</v>
      </c>
      <c r="H2329" s="4" t="s">
        <v>3210</v>
      </c>
      <c r="I2329" s="20" t="s">
        <v>3242</v>
      </c>
      <c r="J2329" s="20" t="s">
        <v>3243</v>
      </c>
      <c r="K2329" s="14">
        <f t="shared" si="182"/>
        <v>46180.632314814815</v>
      </c>
      <c r="L2329" s="14">
        <f t="shared" si="183"/>
        <v>46181.256979166668</v>
      </c>
    </row>
    <row r="2330" spans="1:12" x14ac:dyDescent="0.25">
      <c r="A2330" s="4" t="s">
        <v>3261</v>
      </c>
      <c r="B2330" s="16" t="str">
        <f t="shared" si="177"/>
        <v>MAA DURGA STONE CRUSHING COMPANY</v>
      </c>
      <c r="C2330" s="16" t="str">
        <f t="shared" si="178"/>
        <v>CHADWAS(Chadwas/Bidasar/Sujangarh)</v>
      </c>
      <c r="D2330" s="4" t="s">
        <v>3242</v>
      </c>
      <c r="E2330" s="4" t="s">
        <v>3243</v>
      </c>
      <c r="F2330" s="5">
        <v>46180.634826388887</v>
      </c>
      <c r="G2330" s="16" t="str">
        <f t="shared" si="179"/>
        <v>MasonaryStone (Gitti)</v>
      </c>
      <c r="H2330" s="4" t="s">
        <v>3218</v>
      </c>
      <c r="I2330" s="20" t="s">
        <v>3242</v>
      </c>
      <c r="J2330" s="20" t="s">
        <v>3243</v>
      </c>
      <c r="K2330" s="14">
        <f t="shared" si="182"/>
        <v>46180.635162037033</v>
      </c>
      <c r="L2330" s="14">
        <f t="shared" si="183"/>
        <v>46181.259826388887</v>
      </c>
    </row>
    <row r="2331" spans="1:12" x14ac:dyDescent="0.25">
      <c r="A2331" s="4" t="s">
        <v>3262</v>
      </c>
      <c r="B2331" s="16" t="str">
        <f t="shared" si="177"/>
        <v>MAA DURGA STONE CRUSHING COMPANY</v>
      </c>
      <c r="C2331" s="16" t="str">
        <f t="shared" si="178"/>
        <v>CHADWAS(Chadwas/Bidasar/Sujangarh)</v>
      </c>
      <c r="D2331" s="4" t="s">
        <v>3242</v>
      </c>
      <c r="E2331" s="4" t="s">
        <v>3243</v>
      </c>
      <c r="F2331" s="5">
        <v>46180.637175925927</v>
      </c>
      <c r="G2331" s="16" t="str">
        <f t="shared" si="179"/>
        <v>MasonaryStone (Gitti)</v>
      </c>
      <c r="H2331" s="4" t="s">
        <v>3219</v>
      </c>
      <c r="I2331" s="20" t="s">
        <v>3242</v>
      </c>
      <c r="J2331" s="20" t="s">
        <v>3243</v>
      </c>
      <c r="K2331" s="14">
        <f t="shared" si="182"/>
        <v>46180.637511574074</v>
      </c>
      <c r="L2331" s="14">
        <f t="shared" si="183"/>
        <v>46181.262175925927</v>
      </c>
    </row>
    <row r="2332" spans="1:12" x14ac:dyDescent="0.25">
      <c r="A2332" s="4" t="s">
        <v>3263</v>
      </c>
      <c r="B2332" s="16" t="str">
        <f t="shared" si="177"/>
        <v>MAA DURGA STONE CRUSHING COMPANY</v>
      </c>
      <c r="C2332" s="16" t="str">
        <f t="shared" si="178"/>
        <v>CHADWAS(Chadwas/Bidasar/Sujangarh)</v>
      </c>
      <c r="D2332" s="4" t="s">
        <v>3242</v>
      </c>
      <c r="E2332" s="4" t="s">
        <v>3243</v>
      </c>
      <c r="F2332" s="5">
        <v>46180.639328703706</v>
      </c>
      <c r="G2332" s="16" t="str">
        <f t="shared" si="179"/>
        <v>MasonaryStone (Gitti)</v>
      </c>
      <c r="H2332" s="4" t="s">
        <v>3220</v>
      </c>
      <c r="I2332" s="20" t="s">
        <v>3242</v>
      </c>
      <c r="J2332" s="20" t="s">
        <v>3243</v>
      </c>
      <c r="K2332" s="14">
        <f t="shared" si="182"/>
        <v>46180.639664351853</v>
      </c>
      <c r="L2332" s="14">
        <f t="shared" si="183"/>
        <v>46181.264328703706</v>
      </c>
    </row>
    <row r="2333" spans="1:12" x14ac:dyDescent="0.25">
      <c r="A2333" s="4" t="s">
        <v>3264</v>
      </c>
      <c r="B2333" s="16" t="str">
        <f t="shared" si="177"/>
        <v>MAA DURGA STONE CRUSHING COMPANY</v>
      </c>
      <c r="C2333" s="16" t="str">
        <f t="shared" si="178"/>
        <v>CHADWAS(Chadwas/Bidasar/Sujangarh)</v>
      </c>
      <c r="D2333" s="4" t="s">
        <v>3242</v>
      </c>
      <c r="E2333" s="4" t="s">
        <v>3243</v>
      </c>
      <c r="F2333" s="5">
        <v>46180.642384259256</v>
      </c>
      <c r="G2333" s="16" t="str">
        <f t="shared" si="179"/>
        <v>MasonaryStone (Gitti)</v>
      </c>
      <c r="H2333" s="4" t="s">
        <v>3221</v>
      </c>
      <c r="I2333" s="20" t="s">
        <v>3242</v>
      </c>
      <c r="J2333" s="20" t="s">
        <v>3243</v>
      </c>
      <c r="K2333" s="14">
        <f t="shared" si="182"/>
        <v>46180.642719907402</v>
      </c>
      <c r="L2333" s="14">
        <f t="shared" si="183"/>
        <v>46181.267384259256</v>
      </c>
    </row>
    <row r="2334" spans="1:12" x14ac:dyDescent="0.25">
      <c r="A2334" s="4" t="s">
        <v>3265</v>
      </c>
      <c r="B2334" s="16" t="str">
        <f t="shared" si="177"/>
        <v>MAA DURGA STONE CRUSHING COMPANY</v>
      </c>
      <c r="C2334" s="16" t="str">
        <f t="shared" si="178"/>
        <v>CHADWAS(Chadwas/Bidasar/Sujangarh)</v>
      </c>
      <c r="D2334" s="4" t="s">
        <v>3242</v>
      </c>
      <c r="E2334" s="4" t="s">
        <v>3243</v>
      </c>
      <c r="F2334" s="5">
        <v>46180.644988425927</v>
      </c>
      <c r="G2334" s="16" t="str">
        <f t="shared" si="179"/>
        <v>MasonaryStone (Gitti)</v>
      </c>
      <c r="H2334" s="4" t="s">
        <v>3210</v>
      </c>
      <c r="I2334" s="20" t="s">
        <v>3242</v>
      </c>
      <c r="J2334" s="20" t="s">
        <v>3243</v>
      </c>
      <c r="K2334" s="14">
        <f t="shared" si="182"/>
        <v>46180.645324074074</v>
      </c>
      <c r="L2334" s="14">
        <f t="shared" si="183"/>
        <v>46181.269988425927</v>
      </c>
    </row>
    <row r="2335" spans="1:12" x14ac:dyDescent="0.25">
      <c r="A2335" s="4" t="s">
        <v>3266</v>
      </c>
      <c r="B2335" s="16" t="str">
        <f t="shared" si="177"/>
        <v>MAA DURGA STONE CRUSHING COMPANY</v>
      </c>
      <c r="C2335" s="16" t="str">
        <f t="shared" si="178"/>
        <v>CHADWAS(Chadwas/Bidasar/Sujangarh)</v>
      </c>
      <c r="D2335" s="4" t="s">
        <v>3242</v>
      </c>
      <c r="E2335" s="4" t="s">
        <v>3243</v>
      </c>
      <c r="F2335" s="5">
        <v>46180.647418981483</v>
      </c>
      <c r="G2335" s="16" t="str">
        <f t="shared" si="179"/>
        <v>MasonaryStone (Gitti)</v>
      </c>
      <c r="H2335" s="4" t="s">
        <v>3218</v>
      </c>
      <c r="I2335" s="20" t="s">
        <v>3242</v>
      </c>
      <c r="J2335" s="20" t="s">
        <v>3243</v>
      </c>
      <c r="K2335" s="14">
        <f t="shared" si="182"/>
        <v>46180.64775462963</v>
      </c>
      <c r="L2335" s="14">
        <f t="shared" si="183"/>
        <v>46181.272418981483</v>
      </c>
    </row>
    <row r="2336" spans="1:12" x14ac:dyDescent="0.25">
      <c r="A2336" s="4" t="s">
        <v>3267</v>
      </c>
      <c r="B2336" s="16" t="str">
        <f t="shared" si="177"/>
        <v>MAA DURGA STONE CRUSHING COMPANY</v>
      </c>
      <c r="C2336" s="16" t="str">
        <f t="shared" si="178"/>
        <v>CHADWAS(Chadwas/Bidasar/Sujangarh)</v>
      </c>
      <c r="D2336" s="4" t="s">
        <v>3242</v>
      </c>
      <c r="E2336" s="4" t="s">
        <v>3243</v>
      </c>
      <c r="F2336" s="5">
        <v>46180.649722222224</v>
      </c>
      <c r="G2336" s="16" t="str">
        <f t="shared" si="179"/>
        <v>MasonaryStone (Gitti)</v>
      </c>
      <c r="H2336" s="4" t="s">
        <v>2919</v>
      </c>
      <c r="I2336" s="20" t="s">
        <v>3242</v>
      </c>
      <c r="J2336" s="20" t="s">
        <v>3243</v>
      </c>
      <c r="K2336" s="14">
        <f t="shared" si="182"/>
        <v>46180.650057870371</v>
      </c>
      <c r="L2336" s="14">
        <f t="shared" si="183"/>
        <v>46181.274722222224</v>
      </c>
    </row>
    <row r="2337" spans="1:12" x14ac:dyDescent="0.25">
      <c r="A2337" s="4" t="s">
        <v>3268</v>
      </c>
      <c r="B2337" s="16" t="str">
        <f t="shared" si="177"/>
        <v>MAA DURGA STONE CRUSHING COMPANY</v>
      </c>
      <c r="C2337" s="16" t="str">
        <f t="shared" si="178"/>
        <v>CHADWAS(Chadwas/Bidasar/Sujangarh)</v>
      </c>
      <c r="D2337" s="4" t="s">
        <v>3242</v>
      </c>
      <c r="E2337" s="4" t="s">
        <v>3243</v>
      </c>
      <c r="F2337" s="5">
        <v>46180.65693287037</v>
      </c>
      <c r="G2337" s="16" t="str">
        <f t="shared" si="179"/>
        <v>MasonaryStone (Gitti)</v>
      </c>
      <c r="H2337" s="4" t="s">
        <v>2457</v>
      </c>
      <c r="I2337" s="20" t="s">
        <v>3242</v>
      </c>
      <c r="J2337" s="20" t="s">
        <v>3243</v>
      </c>
      <c r="K2337" s="14">
        <f t="shared" si="182"/>
        <v>46180.657268518517</v>
      </c>
      <c r="L2337" s="14">
        <f t="shared" si="183"/>
        <v>46181.28193287037</v>
      </c>
    </row>
    <row r="2338" spans="1:12" x14ac:dyDescent="0.25">
      <c r="A2338" s="4" t="s">
        <v>3269</v>
      </c>
      <c r="B2338" s="16" t="str">
        <f t="shared" si="177"/>
        <v>MAA DURGA STONE CRUSHING COMPANY</v>
      </c>
      <c r="C2338" s="16" t="str">
        <f t="shared" si="178"/>
        <v>CHADWAS(Chadwas/Bidasar/Sujangarh)</v>
      </c>
      <c r="D2338" s="4" t="s">
        <v>3242</v>
      </c>
      <c r="E2338" s="4" t="s">
        <v>3243</v>
      </c>
      <c r="F2338" s="5">
        <v>46180.660046296296</v>
      </c>
      <c r="G2338" s="16" t="str">
        <f t="shared" si="179"/>
        <v>MasonaryStone (Gitti)</v>
      </c>
      <c r="H2338" s="4" t="s">
        <v>3222</v>
      </c>
      <c r="I2338" s="20" t="s">
        <v>3242</v>
      </c>
      <c r="J2338" s="20" t="s">
        <v>3243</v>
      </c>
      <c r="K2338" s="14">
        <f t="shared" si="182"/>
        <v>46180.660381944443</v>
      </c>
      <c r="L2338" s="14">
        <f t="shared" si="183"/>
        <v>46181.285046296296</v>
      </c>
    </row>
    <row r="2339" spans="1:12" x14ac:dyDescent="0.25">
      <c r="A2339" s="4" t="s">
        <v>3270</v>
      </c>
      <c r="B2339" s="16" t="str">
        <f t="shared" si="177"/>
        <v>MAA DURGA STONE CRUSHING COMPANY</v>
      </c>
      <c r="C2339" s="16" t="str">
        <f t="shared" si="178"/>
        <v>CHADWAS(Chadwas/Bidasar/Sujangarh)</v>
      </c>
      <c r="D2339" s="4" t="s">
        <v>3242</v>
      </c>
      <c r="E2339" s="4" t="s">
        <v>3243</v>
      </c>
      <c r="F2339" s="5">
        <v>46180.718043981484</v>
      </c>
      <c r="G2339" s="16" t="str">
        <f t="shared" si="179"/>
        <v>MasonaryStone (Gitti)</v>
      </c>
      <c r="H2339" s="4" t="s">
        <v>3223</v>
      </c>
      <c r="I2339" s="20" t="s">
        <v>3242</v>
      </c>
      <c r="J2339" s="20" t="s">
        <v>3243</v>
      </c>
      <c r="K2339" s="14">
        <f t="shared" si="182"/>
        <v>46180.71837962963</v>
      </c>
      <c r="L2339" s="14">
        <f t="shared" si="183"/>
        <v>46181.343043981484</v>
      </c>
    </row>
    <row r="2340" spans="1:12" x14ac:dyDescent="0.25">
      <c r="A2340" s="4" t="s">
        <v>3271</v>
      </c>
      <c r="B2340" s="16" t="str">
        <f t="shared" si="177"/>
        <v>MAA DURGA STONE CRUSHING COMPANY</v>
      </c>
      <c r="C2340" s="16" t="str">
        <f t="shared" si="178"/>
        <v>CHADWAS(Chadwas/Bidasar/Sujangarh)</v>
      </c>
      <c r="D2340" s="4" t="s">
        <v>3242</v>
      </c>
      <c r="E2340" s="4" t="s">
        <v>3243</v>
      </c>
      <c r="F2340" s="5">
        <v>46180.720451388886</v>
      </c>
      <c r="G2340" s="16" t="str">
        <f t="shared" si="179"/>
        <v>MasonaryStone (Gitti)</v>
      </c>
      <c r="H2340" s="4" t="s">
        <v>3224</v>
      </c>
      <c r="I2340" s="20" t="s">
        <v>3242</v>
      </c>
      <c r="J2340" s="20" t="s">
        <v>3243</v>
      </c>
      <c r="K2340" s="14">
        <f t="shared" si="182"/>
        <v>46180.720787037033</v>
      </c>
      <c r="L2340" s="14">
        <f t="shared" si="183"/>
        <v>46181.345451388886</v>
      </c>
    </row>
    <row r="2341" spans="1:12" x14ac:dyDescent="0.25">
      <c r="A2341" s="4" t="s">
        <v>3272</v>
      </c>
      <c r="B2341" s="16" t="str">
        <f t="shared" si="177"/>
        <v>MAA DURGA STONE CRUSHING COMPANY</v>
      </c>
      <c r="C2341" s="16" t="str">
        <f t="shared" si="178"/>
        <v>CHADWAS(Chadwas/Bidasar/Sujangarh)</v>
      </c>
      <c r="D2341" s="4" t="s">
        <v>3242</v>
      </c>
      <c r="E2341" s="4" t="s">
        <v>3243</v>
      </c>
      <c r="F2341" s="5">
        <v>46180.722858796296</v>
      </c>
      <c r="G2341" s="16" t="str">
        <f t="shared" si="179"/>
        <v>MasonaryStone (Gitti)</v>
      </c>
      <c r="H2341" s="4" t="s">
        <v>3225</v>
      </c>
      <c r="I2341" s="20" t="s">
        <v>3242</v>
      </c>
      <c r="J2341" s="20" t="s">
        <v>3243</v>
      </c>
      <c r="K2341" s="14">
        <f t="shared" si="182"/>
        <v>46180.723194444443</v>
      </c>
      <c r="L2341" s="14">
        <f t="shared" si="183"/>
        <v>46181.347858796296</v>
      </c>
    </row>
    <row r="2342" spans="1:12" x14ac:dyDescent="0.25">
      <c r="A2342" s="4" t="s">
        <v>3273</v>
      </c>
      <c r="B2342" s="16" t="str">
        <f t="shared" si="177"/>
        <v>MAA DURGA STONE CRUSHING COMPANY</v>
      </c>
      <c r="C2342" s="16" t="str">
        <f t="shared" si="178"/>
        <v>CHADWAS(Chadwas/Bidasar/Sujangarh)</v>
      </c>
      <c r="D2342" s="4" t="s">
        <v>3242</v>
      </c>
      <c r="E2342" s="4" t="s">
        <v>3243</v>
      </c>
      <c r="F2342" s="5">
        <v>46180.725057870368</v>
      </c>
      <c r="G2342" s="16" t="str">
        <f t="shared" si="179"/>
        <v>MasonaryStone (Gitti)</v>
      </c>
      <c r="H2342" s="4" t="s">
        <v>3226</v>
      </c>
      <c r="I2342" s="20" t="s">
        <v>3242</v>
      </c>
      <c r="J2342" s="20" t="s">
        <v>3243</v>
      </c>
      <c r="K2342" s="14">
        <f t="shared" si="182"/>
        <v>46180.725393518514</v>
      </c>
      <c r="L2342" s="14">
        <f t="shared" si="183"/>
        <v>46181.350057870368</v>
      </c>
    </row>
    <row r="2343" spans="1:12" x14ac:dyDescent="0.25">
      <c r="A2343" s="4" t="s">
        <v>3274</v>
      </c>
      <c r="B2343" s="16" t="str">
        <f t="shared" si="177"/>
        <v>MAA DURGA STONE CRUSHING COMPANY</v>
      </c>
      <c r="C2343" s="16" t="str">
        <f t="shared" si="178"/>
        <v>CHADWAS(Chadwas/Bidasar/Sujangarh)</v>
      </c>
      <c r="D2343" s="4" t="s">
        <v>3242</v>
      </c>
      <c r="E2343" s="4" t="s">
        <v>3243</v>
      </c>
      <c r="F2343" s="5">
        <v>46180.727418981478</v>
      </c>
      <c r="G2343" s="16" t="str">
        <f t="shared" si="179"/>
        <v>MasonaryStone (Gitti)</v>
      </c>
      <c r="H2343" s="4" t="s">
        <v>2947</v>
      </c>
      <c r="I2343" s="20" t="s">
        <v>3242</v>
      </c>
      <c r="J2343" s="20" t="s">
        <v>3243</v>
      </c>
      <c r="K2343" s="14">
        <f t="shared" si="182"/>
        <v>46180.727754629625</v>
      </c>
      <c r="L2343" s="14">
        <f t="shared" si="183"/>
        <v>46181.352418981478</v>
      </c>
    </row>
    <row r="2344" spans="1:12" x14ac:dyDescent="0.25">
      <c r="A2344" s="4" t="s">
        <v>3275</v>
      </c>
      <c r="B2344" s="16" t="str">
        <f t="shared" si="177"/>
        <v>MAA DURGA STONE CRUSHING COMPANY</v>
      </c>
      <c r="C2344" s="16" t="str">
        <f t="shared" si="178"/>
        <v>CHADWAS(Chadwas/Bidasar/Sujangarh)</v>
      </c>
      <c r="D2344" s="4" t="s">
        <v>3242</v>
      </c>
      <c r="E2344" s="4" t="s">
        <v>3243</v>
      </c>
      <c r="F2344" s="5">
        <v>46180.729837962965</v>
      </c>
      <c r="G2344" s="16" t="str">
        <f t="shared" si="179"/>
        <v>MasonaryStone (Gitti)</v>
      </c>
      <c r="H2344" s="4" t="s">
        <v>418</v>
      </c>
      <c r="I2344" s="20" t="s">
        <v>3242</v>
      </c>
      <c r="J2344" s="20" t="s">
        <v>3243</v>
      </c>
      <c r="K2344" s="14">
        <f t="shared" si="182"/>
        <v>46180.730173611111</v>
      </c>
      <c r="L2344" s="14">
        <f t="shared" si="183"/>
        <v>46181.354837962965</v>
      </c>
    </row>
    <row r="2345" spans="1:12" x14ac:dyDescent="0.25">
      <c r="A2345" s="4" t="s">
        <v>3276</v>
      </c>
      <c r="B2345" s="16" t="str">
        <f t="shared" si="177"/>
        <v>MAA DURGA STONE CRUSHING COMPANY</v>
      </c>
      <c r="C2345" s="16" t="str">
        <f t="shared" si="178"/>
        <v>CHADWAS(Chadwas/Bidasar/Sujangarh)</v>
      </c>
      <c r="D2345" s="4" t="s">
        <v>3242</v>
      </c>
      <c r="E2345" s="4" t="s">
        <v>3243</v>
      </c>
      <c r="F2345" s="5">
        <v>46180.731990740744</v>
      </c>
      <c r="G2345" s="16" t="str">
        <f t="shared" si="179"/>
        <v>MasonaryStone (Gitti)</v>
      </c>
      <c r="H2345" s="4" t="s">
        <v>3227</v>
      </c>
      <c r="I2345" s="20" t="s">
        <v>3242</v>
      </c>
      <c r="J2345" s="20" t="s">
        <v>3243</v>
      </c>
      <c r="K2345" s="14">
        <f t="shared" si="182"/>
        <v>46180.73232638889</v>
      </c>
      <c r="L2345" s="14">
        <f t="shared" si="183"/>
        <v>46181.356990740744</v>
      </c>
    </row>
    <row r="2346" spans="1:12" x14ac:dyDescent="0.25">
      <c r="A2346" s="4" t="s">
        <v>3277</v>
      </c>
      <c r="B2346" s="16" t="str">
        <f t="shared" si="177"/>
        <v>MAA DURGA STONE CRUSHING COMPANY</v>
      </c>
      <c r="C2346" s="16" t="str">
        <f t="shared" si="178"/>
        <v>CHADWAS(Chadwas/Bidasar/Sujangarh)</v>
      </c>
      <c r="D2346" s="4" t="s">
        <v>3242</v>
      </c>
      <c r="E2346" s="4" t="s">
        <v>3243</v>
      </c>
      <c r="F2346" s="5">
        <v>46180.734143518515</v>
      </c>
      <c r="G2346" s="16" t="str">
        <f t="shared" si="179"/>
        <v>MasonaryStone (Gitti)</v>
      </c>
      <c r="H2346" s="4" t="s">
        <v>3228</v>
      </c>
      <c r="I2346" s="20" t="s">
        <v>3242</v>
      </c>
      <c r="J2346" s="20" t="s">
        <v>3243</v>
      </c>
      <c r="K2346" s="14">
        <f t="shared" si="182"/>
        <v>46180.734479166662</v>
      </c>
      <c r="L2346" s="14">
        <f t="shared" si="183"/>
        <v>46181.359143518515</v>
      </c>
    </row>
    <row r="2347" spans="1:12" x14ac:dyDescent="0.25">
      <c r="A2347" s="4" t="s">
        <v>3278</v>
      </c>
      <c r="B2347" s="16" t="str">
        <f t="shared" si="177"/>
        <v>MAA DURGA STONE CRUSHING COMPANY</v>
      </c>
      <c r="C2347" s="16" t="str">
        <f t="shared" si="178"/>
        <v>CHADWAS(Chadwas/Bidasar/Sujangarh)</v>
      </c>
      <c r="D2347" s="4" t="s">
        <v>3242</v>
      </c>
      <c r="E2347" s="4" t="s">
        <v>3243</v>
      </c>
      <c r="F2347" s="5">
        <v>46180.737222222226</v>
      </c>
      <c r="G2347" s="16" t="str">
        <f t="shared" si="179"/>
        <v>MasonaryStone (Gitti)</v>
      </c>
      <c r="H2347" s="4" t="s">
        <v>3229</v>
      </c>
      <c r="I2347" s="20" t="s">
        <v>3242</v>
      </c>
      <c r="J2347" s="20" t="s">
        <v>3243</v>
      </c>
      <c r="K2347" s="14">
        <f t="shared" si="182"/>
        <v>46180.737557870372</v>
      </c>
      <c r="L2347" s="14">
        <f t="shared" si="183"/>
        <v>46181.362222222226</v>
      </c>
    </row>
    <row r="2348" spans="1:12" x14ac:dyDescent="0.25">
      <c r="A2348" s="4" t="s">
        <v>3279</v>
      </c>
      <c r="B2348" s="16" t="str">
        <f t="shared" si="177"/>
        <v>MAA DURGA STONE CRUSHING COMPANY</v>
      </c>
      <c r="C2348" s="16" t="str">
        <f t="shared" si="178"/>
        <v>CHADWAS(Chadwas/Bidasar/Sujangarh)</v>
      </c>
      <c r="D2348" s="4" t="s">
        <v>3242</v>
      </c>
      <c r="E2348" s="4" t="s">
        <v>3243</v>
      </c>
      <c r="F2348" s="5">
        <v>46180.739629629628</v>
      </c>
      <c r="G2348" s="16" t="str">
        <f t="shared" si="179"/>
        <v>MasonaryStone (Gitti)</v>
      </c>
      <c r="H2348" s="4" t="s">
        <v>2886</v>
      </c>
      <c r="I2348" s="20" t="s">
        <v>3242</v>
      </c>
      <c r="J2348" s="20" t="s">
        <v>3243</v>
      </c>
      <c r="K2348" s="14">
        <f t="shared" si="182"/>
        <v>46180.739965277775</v>
      </c>
      <c r="L2348" s="14">
        <f t="shared" si="183"/>
        <v>46181.364629629628</v>
      </c>
    </row>
    <row r="2349" spans="1:12" x14ac:dyDescent="0.25">
      <c r="A2349" s="4" t="s">
        <v>3280</v>
      </c>
      <c r="B2349" s="16" t="str">
        <f t="shared" si="177"/>
        <v>MAA DURGA STONE CRUSHING COMPANY</v>
      </c>
      <c r="C2349" s="16" t="str">
        <f t="shared" si="178"/>
        <v>CHADWAS(Chadwas/Bidasar/Sujangarh)</v>
      </c>
      <c r="D2349" s="4" t="s">
        <v>3242</v>
      </c>
      <c r="E2349" s="4" t="s">
        <v>3243</v>
      </c>
      <c r="F2349" s="5">
        <v>46180.745497685188</v>
      </c>
      <c r="G2349" s="16" t="str">
        <f t="shared" si="179"/>
        <v>MasonaryStone (Gitti)</v>
      </c>
      <c r="H2349" s="4" t="s">
        <v>3230</v>
      </c>
      <c r="I2349" s="20" t="s">
        <v>3242</v>
      </c>
      <c r="J2349" s="20" t="s">
        <v>3243</v>
      </c>
      <c r="K2349" s="14">
        <f t="shared" si="182"/>
        <v>46180.745833333334</v>
      </c>
      <c r="L2349" s="14">
        <f t="shared" si="183"/>
        <v>46181.370497685188</v>
      </c>
    </row>
    <row r="2350" spans="1:12" x14ac:dyDescent="0.25">
      <c r="A2350" s="4" t="s">
        <v>3281</v>
      </c>
      <c r="B2350" s="16" t="str">
        <f t="shared" si="177"/>
        <v>MAA DURGA STONE CRUSHING COMPANY</v>
      </c>
      <c r="C2350" s="16" t="str">
        <f t="shared" si="178"/>
        <v>CHADWAS(Chadwas/Bidasar/Sujangarh)</v>
      </c>
      <c r="D2350" s="4" t="s">
        <v>3242</v>
      </c>
      <c r="E2350" s="4" t="s">
        <v>3243</v>
      </c>
      <c r="F2350" s="5">
        <v>46180.748078703706</v>
      </c>
      <c r="G2350" s="16" t="str">
        <f t="shared" si="179"/>
        <v>MasonaryStone (Gitti)</v>
      </c>
      <c r="H2350" s="4" t="s">
        <v>3231</v>
      </c>
      <c r="I2350" s="20" t="s">
        <v>3242</v>
      </c>
      <c r="J2350" s="20" t="s">
        <v>3243</v>
      </c>
      <c r="K2350" s="14">
        <f t="shared" si="182"/>
        <v>46180.748414351852</v>
      </c>
      <c r="L2350" s="14">
        <f t="shared" si="183"/>
        <v>46181.373078703706</v>
      </c>
    </row>
    <row r="2351" spans="1:12" x14ac:dyDescent="0.25">
      <c r="A2351" s="4" t="s">
        <v>3282</v>
      </c>
      <c r="B2351" s="16" t="str">
        <f t="shared" si="177"/>
        <v>MAA DURGA STONE CRUSHING COMPANY</v>
      </c>
      <c r="C2351" s="16" t="str">
        <f t="shared" si="178"/>
        <v>CHADWAS(Chadwas/Bidasar/Sujangarh)</v>
      </c>
      <c r="D2351" s="4" t="s">
        <v>3242</v>
      </c>
      <c r="E2351" s="4" t="s">
        <v>3243</v>
      </c>
      <c r="F2351" s="5">
        <v>46180.750347222223</v>
      </c>
      <c r="G2351" s="16" t="str">
        <f t="shared" si="179"/>
        <v>MasonaryStone (Gitti)</v>
      </c>
      <c r="H2351" s="4" t="s">
        <v>3232</v>
      </c>
      <c r="I2351" s="20" t="s">
        <v>3242</v>
      </c>
      <c r="J2351" s="20" t="s">
        <v>3243</v>
      </c>
      <c r="K2351" s="14">
        <f t="shared" si="182"/>
        <v>46180.75068287037</v>
      </c>
      <c r="L2351" s="14">
        <f t="shared" si="183"/>
        <v>46181.375347222223</v>
      </c>
    </row>
    <row r="2352" spans="1:12" x14ac:dyDescent="0.25">
      <c r="A2352" s="4" t="s">
        <v>3283</v>
      </c>
      <c r="B2352" s="16" t="str">
        <f t="shared" si="177"/>
        <v>MAA DURGA STONE CRUSHING COMPANY</v>
      </c>
      <c r="C2352" s="16" t="str">
        <f t="shared" si="178"/>
        <v>CHADWAS(Chadwas/Bidasar/Sujangarh)</v>
      </c>
      <c r="D2352" s="4" t="s">
        <v>3242</v>
      </c>
      <c r="E2352" s="4" t="s">
        <v>3243</v>
      </c>
      <c r="F2352" s="5">
        <v>46180.752523148149</v>
      </c>
      <c r="G2352" s="16" t="str">
        <f t="shared" si="179"/>
        <v>MasonaryStone (Gitti)</v>
      </c>
      <c r="H2352" s="4" t="s">
        <v>3233</v>
      </c>
      <c r="I2352" s="20" t="s">
        <v>3242</v>
      </c>
      <c r="J2352" s="20" t="s">
        <v>3243</v>
      </c>
      <c r="K2352" s="14">
        <f t="shared" si="182"/>
        <v>46180.752858796295</v>
      </c>
      <c r="L2352" s="14">
        <f t="shared" si="183"/>
        <v>46181.377523148149</v>
      </c>
    </row>
    <row r="2353" spans="1:12" x14ac:dyDescent="0.25">
      <c r="A2353" s="4" t="s">
        <v>3284</v>
      </c>
      <c r="B2353" s="16" t="str">
        <f t="shared" si="177"/>
        <v>MAA DURGA STONE CRUSHING COMPANY</v>
      </c>
      <c r="C2353" s="16" t="str">
        <f t="shared" si="178"/>
        <v>CHADWAS(Chadwas/Bidasar/Sujangarh)</v>
      </c>
      <c r="D2353" s="4" t="s">
        <v>3242</v>
      </c>
      <c r="E2353" s="4" t="s">
        <v>3243</v>
      </c>
      <c r="F2353" s="5">
        <v>46181.478009259263</v>
      </c>
      <c r="G2353" s="16" t="str">
        <f t="shared" si="179"/>
        <v>MasonaryStone (Gitti)</v>
      </c>
      <c r="H2353" s="4" t="s">
        <v>3234</v>
      </c>
      <c r="I2353" s="20" t="s">
        <v>3242</v>
      </c>
      <c r="J2353" s="20" t="s">
        <v>3243</v>
      </c>
      <c r="K2353" s="14">
        <f t="shared" si="182"/>
        <v>46181.478344907409</v>
      </c>
      <c r="L2353" s="14">
        <f t="shared" si="183"/>
        <v>46182.103009259263</v>
      </c>
    </row>
    <row r="2354" spans="1:12" x14ac:dyDescent="0.25">
      <c r="A2354" s="4" t="s">
        <v>3285</v>
      </c>
      <c r="B2354" s="16" t="str">
        <f t="shared" si="177"/>
        <v>MAA DURGA STONE CRUSHING COMPANY</v>
      </c>
      <c r="C2354" s="16" t="str">
        <f t="shared" si="178"/>
        <v>CHADWAS(Chadwas/Bidasar/Sujangarh)</v>
      </c>
      <c r="D2354" s="4" t="s">
        <v>3242</v>
      </c>
      <c r="E2354" s="4" t="s">
        <v>3243</v>
      </c>
      <c r="F2354" s="5">
        <v>46181.480925925927</v>
      </c>
      <c r="G2354" s="16" t="str">
        <f t="shared" si="179"/>
        <v>MasonaryStone (Gitti)</v>
      </c>
      <c r="H2354" s="4" t="s">
        <v>3235</v>
      </c>
      <c r="I2354" s="20" t="s">
        <v>3242</v>
      </c>
      <c r="J2354" s="20" t="s">
        <v>3243</v>
      </c>
      <c r="K2354" s="14">
        <f t="shared" si="182"/>
        <v>46181.481261574074</v>
      </c>
      <c r="L2354" s="14">
        <f t="shared" si="183"/>
        <v>46182.105925925927</v>
      </c>
    </row>
    <row r="2355" spans="1:12" x14ac:dyDescent="0.25">
      <c r="A2355" s="4" t="s">
        <v>3286</v>
      </c>
      <c r="B2355" s="16" t="str">
        <f t="shared" si="177"/>
        <v>MAA DURGA STONE CRUSHING COMPANY</v>
      </c>
      <c r="C2355" s="16" t="str">
        <f t="shared" si="178"/>
        <v>CHADWAS(Chadwas/Bidasar/Sujangarh)</v>
      </c>
      <c r="D2355" s="4" t="s">
        <v>3242</v>
      </c>
      <c r="E2355" s="4" t="s">
        <v>3243</v>
      </c>
      <c r="F2355" s="5">
        <v>46181.483136574076</v>
      </c>
      <c r="G2355" s="16" t="str">
        <f t="shared" si="179"/>
        <v>MasonaryStone (Gitti)</v>
      </c>
      <c r="H2355" s="4" t="s">
        <v>3236</v>
      </c>
      <c r="I2355" s="20" t="s">
        <v>3242</v>
      </c>
      <c r="J2355" s="20" t="s">
        <v>3243</v>
      </c>
      <c r="K2355" s="14">
        <f t="shared" si="182"/>
        <v>46181.483472222222</v>
      </c>
      <c r="L2355" s="14">
        <f t="shared" si="183"/>
        <v>46182.108136574076</v>
      </c>
    </row>
    <row r="2356" spans="1:12" x14ac:dyDescent="0.25">
      <c r="A2356" s="4" t="s">
        <v>3287</v>
      </c>
      <c r="B2356" s="16" t="str">
        <f t="shared" si="177"/>
        <v>MAA DURGA STONE CRUSHING COMPANY</v>
      </c>
      <c r="C2356" s="16" t="str">
        <f t="shared" si="178"/>
        <v>CHADWAS(Chadwas/Bidasar/Sujangarh)</v>
      </c>
      <c r="D2356" s="4" t="s">
        <v>3242</v>
      </c>
      <c r="E2356" s="4" t="s">
        <v>3243</v>
      </c>
      <c r="F2356" s="5">
        <v>46181.485312500001</v>
      </c>
      <c r="G2356" s="16" t="str">
        <f t="shared" si="179"/>
        <v>MasonaryStone (Gitti)</v>
      </c>
      <c r="H2356" s="4" t="s">
        <v>3237</v>
      </c>
      <c r="I2356" s="20" t="s">
        <v>3242</v>
      </c>
      <c r="J2356" s="20" t="s">
        <v>3243</v>
      </c>
      <c r="K2356" s="14">
        <f t="shared" si="182"/>
        <v>46181.485648148147</v>
      </c>
      <c r="L2356" s="14">
        <f t="shared" si="183"/>
        <v>46182.110312500001</v>
      </c>
    </row>
    <row r="2357" spans="1:12" x14ac:dyDescent="0.25">
      <c r="A2357" s="4" t="s">
        <v>3288</v>
      </c>
      <c r="B2357" s="16" t="str">
        <f t="shared" si="177"/>
        <v>MAA DURGA STONE CRUSHING COMPANY</v>
      </c>
      <c r="C2357" s="16" t="str">
        <f t="shared" si="178"/>
        <v>CHADWAS(Chadwas/Bidasar/Sujangarh)</v>
      </c>
      <c r="D2357" s="4" t="s">
        <v>3242</v>
      </c>
      <c r="E2357" s="4" t="s">
        <v>3243</v>
      </c>
      <c r="F2357" s="5">
        <v>46181.487569444442</v>
      </c>
      <c r="G2357" s="16" t="str">
        <f t="shared" si="179"/>
        <v>MasonaryStone (Gitti)</v>
      </c>
      <c r="H2357" s="4" t="s">
        <v>3238</v>
      </c>
      <c r="I2357" s="20" t="s">
        <v>3242</v>
      </c>
      <c r="J2357" s="20" t="s">
        <v>3243</v>
      </c>
      <c r="K2357" s="14">
        <f t="shared" si="182"/>
        <v>46181.487905092588</v>
      </c>
      <c r="L2357" s="14">
        <f t="shared" si="183"/>
        <v>46182.112569444442</v>
      </c>
    </row>
    <row r="2358" spans="1:12" x14ac:dyDescent="0.25">
      <c r="A2358" s="4" t="s">
        <v>3289</v>
      </c>
      <c r="B2358" s="16" t="str">
        <f t="shared" si="177"/>
        <v>MAA DURGA STONE CRUSHING COMPANY</v>
      </c>
      <c r="C2358" s="16" t="str">
        <f t="shared" si="178"/>
        <v>CHADWAS(Chadwas/Bidasar/Sujangarh)</v>
      </c>
      <c r="D2358" s="4" t="s">
        <v>3242</v>
      </c>
      <c r="E2358" s="4" t="s">
        <v>3243</v>
      </c>
      <c r="F2358" s="5">
        <v>46181.489953703705</v>
      </c>
      <c r="G2358" s="16" t="str">
        <f t="shared" si="179"/>
        <v>MasonaryStone (Gitti)</v>
      </c>
      <c r="H2358" s="4" t="s">
        <v>3112</v>
      </c>
      <c r="I2358" s="20" t="s">
        <v>3242</v>
      </c>
      <c r="J2358" s="20" t="s">
        <v>3243</v>
      </c>
      <c r="K2358" s="14">
        <f t="shared" si="182"/>
        <v>46181.490289351852</v>
      </c>
      <c r="L2358" s="14">
        <f t="shared" si="183"/>
        <v>46182.114953703705</v>
      </c>
    </row>
    <row r="2359" spans="1:12" x14ac:dyDescent="0.25">
      <c r="A2359" s="4" t="s">
        <v>3290</v>
      </c>
      <c r="B2359" s="16" t="str">
        <f t="shared" si="177"/>
        <v>MAA DURGA STONE CRUSHING COMPANY</v>
      </c>
      <c r="C2359" s="16" t="str">
        <f t="shared" si="178"/>
        <v>CHADWAS(Chadwas/Bidasar/Sujangarh)</v>
      </c>
      <c r="D2359" s="4" t="s">
        <v>3242</v>
      </c>
      <c r="E2359" s="4" t="s">
        <v>3243</v>
      </c>
      <c r="F2359" s="5">
        <v>46181.492673611108</v>
      </c>
      <c r="G2359" s="16" t="str">
        <f t="shared" si="179"/>
        <v>MasonaryStone (Gitti)</v>
      </c>
      <c r="H2359" s="4" t="s">
        <v>3239</v>
      </c>
      <c r="I2359" s="20" t="s">
        <v>3242</v>
      </c>
      <c r="J2359" s="20" t="s">
        <v>3243</v>
      </c>
      <c r="K2359" s="14">
        <f t="shared" si="182"/>
        <v>46181.493009259255</v>
      </c>
      <c r="L2359" s="14">
        <f t="shared" si="183"/>
        <v>46182.117673611108</v>
      </c>
    </row>
    <row r="2360" spans="1:12" x14ac:dyDescent="0.25">
      <c r="A2360" s="4" t="s">
        <v>3291</v>
      </c>
      <c r="B2360" s="16" t="str">
        <f t="shared" si="177"/>
        <v>MAA DURGA STONE CRUSHING COMPANY</v>
      </c>
      <c r="C2360" s="16" t="str">
        <f t="shared" si="178"/>
        <v>CHADWAS(Chadwas/Bidasar/Sujangarh)</v>
      </c>
      <c r="D2360" s="4" t="s">
        <v>3242</v>
      </c>
      <c r="E2360" s="4" t="s">
        <v>3243</v>
      </c>
      <c r="F2360" s="5">
        <v>46181.494837962964</v>
      </c>
      <c r="G2360" s="16" t="str">
        <f t="shared" si="179"/>
        <v>MasonaryStone (Gitti)</v>
      </c>
      <c r="H2360" s="4" t="s">
        <v>3235</v>
      </c>
      <c r="I2360" s="20" t="s">
        <v>3242</v>
      </c>
      <c r="J2360" s="20" t="s">
        <v>3243</v>
      </c>
      <c r="K2360" s="14">
        <f t="shared" si="182"/>
        <v>46181.495173611111</v>
      </c>
      <c r="L2360" s="14">
        <f t="shared" si="183"/>
        <v>46182.119837962964</v>
      </c>
    </row>
    <row r="2361" spans="1:12" x14ac:dyDescent="0.25">
      <c r="A2361" s="4" t="s">
        <v>3292</v>
      </c>
      <c r="B2361" s="16" t="str">
        <f t="shared" si="177"/>
        <v>MAA DURGA STONE CRUSHING COMPANY</v>
      </c>
      <c r="C2361" s="16" t="str">
        <f t="shared" si="178"/>
        <v>CHADWAS(Chadwas/Bidasar/Sujangarh)</v>
      </c>
      <c r="D2361" s="4" t="s">
        <v>3242</v>
      </c>
      <c r="E2361" s="4" t="s">
        <v>3243</v>
      </c>
      <c r="F2361" s="5">
        <v>46181.498159722221</v>
      </c>
      <c r="G2361" s="16" t="str">
        <f t="shared" si="179"/>
        <v>MasonaryStone (Gitti)</v>
      </c>
      <c r="H2361" s="4" t="s">
        <v>3240</v>
      </c>
      <c r="I2361" s="20" t="s">
        <v>3242</v>
      </c>
      <c r="J2361" s="20" t="s">
        <v>3243</v>
      </c>
      <c r="K2361" s="14">
        <f t="shared" si="182"/>
        <v>46181.498495370368</v>
      </c>
      <c r="L2361" s="14">
        <f t="shared" si="183"/>
        <v>46182.123159722221</v>
      </c>
    </row>
    <row r="2362" spans="1:12" x14ac:dyDescent="0.25">
      <c r="A2362" s="4" t="s">
        <v>3293</v>
      </c>
      <c r="B2362" s="16" t="str">
        <f t="shared" si="177"/>
        <v>MAA DURGA STONE CRUSHING COMPANY</v>
      </c>
      <c r="C2362" s="16" t="str">
        <f t="shared" si="178"/>
        <v>CHADWAS(Chadwas/Bidasar/Sujangarh)</v>
      </c>
      <c r="D2362" s="4" t="s">
        <v>3242</v>
      </c>
      <c r="E2362" s="4" t="s">
        <v>3243</v>
      </c>
      <c r="F2362" s="5">
        <v>46181.500439814816</v>
      </c>
      <c r="G2362" s="16" t="str">
        <f t="shared" si="179"/>
        <v>MasonaryStone (Gitti)</v>
      </c>
      <c r="H2362" s="4" t="s">
        <v>2746</v>
      </c>
      <c r="I2362" s="20" t="s">
        <v>3242</v>
      </c>
      <c r="J2362" s="20" t="s">
        <v>3243</v>
      </c>
      <c r="K2362" s="14">
        <f t="shared" si="182"/>
        <v>46181.500775462962</v>
      </c>
      <c r="L2362" s="14">
        <f t="shared" si="183"/>
        <v>46182.125439814816</v>
      </c>
    </row>
  </sheetData>
  <autoFilter ref="A1:P2362" xr:uid="{67F94DEA-726A-4004-8BFE-9C5DC5168EED}"/>
  <phoneticPr fontId="1" type="noConversion"/>
  <conditionalFormatting sqref="A407:A2312">
    <cfRule type="top10" dxfId="5" priority="1" percent="1" rank="10"/>
    <cfRule type="top10" dxfId="4" priority="2" rank="10"/>
    <cfRule type="top10" dxfId="3" priority="3" rank="10"/>
  </conditionalFormatting>
  <conditionalFormatting sqref="O20">
    <cfRule type="duplicateValues" dxfId="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8D0E-0A3A-4397-8045-33F1C8D4B438}">
  <dimension ref="A1:I2188"/>
  <sheetViews>
    <sheetView workbookViewId="0">
      <selection sqref="A1:D19"/>
    </sheetView>
  </sheetViews>
  <sheetFormatPr defaultRowHeight="15" x14ac:dyDescent="0.25"/>
  <cols>
    <col min="1" max="1" width="19.5703125" style="1" bestFit="1" customWidth="1"/>
    <col min="2" max="2" width="59.5703125" bestFit="1" customWidth="1"/>
    <col min="3" max="3" width="83.42578125" bestFit="1" customWidth="1"/>
    <col min="4" max="4" width="28.85546875" bestFit="1" customWidth="1"/>
  </cols>
  <sheetData>
    <row r="1" spans="1:9" s="1" customFormat="1" x14ac:dyDescent="0.25">
      <c r="A1" s="4" t="s">
        <v>16</v>
      </c>
      <c r="B1" s="4" t="s">
        <v>2254</v>
      </c>
      <c r="C1" s="4" t="s">
        <v>2255</v>
      </c>
      <c r="D1" s="4" t="s">
        <v>1</v>
      </c>
      <c r="E1" s="4"/>
      <c r="F1" s="5"/>
      <c r="G1" s="6"/>
      <c r="H1" s="4"/>
      <c r="I1" s="8"/>
    </row>
    <row r="2" spans="1:9" s="1" customFormat="1" x14ac:dyDescent="0.25">
      <c r="A2" s="4" t="s">
        <v>18</v>
      </c>
      <c r="B2" s="4" t="s">
        <v>322</v>
      </c>
      <c r="C2" s="4" t="s">
        <v>324</v>
      </c>
      <c r="D2" s="4" t="s">
        <v>326</v>
      </c>
      <c r="E2" s="4"/>
      <c r="F2" s="5"/>
      <c r="G2" s="6"/>
      <c r="H2" s="4"/>
      <c r="I2" s="8"/>
    </row>
    <row r="3" spans="1:9" s="1" customFormat="1" x14ac:dyDescent="0.25">
      <c r="A3" s="4" t="s">
        <v>0</v>
      </c>
      <c r="B3" s="4" t="s">
        <v>10</v>
      </c>
      <c r="C3" s="4" t="s">
        <v>13</v>
      </c>
      <c r="D3" s="4" t="s">
        <v>3</v>
      </c>
      <c r="E3" s="4"/>
      <c r="F3" s="5"/>
      <c r="G3" s="6"/>
      <c r="H3" s="4"/>
      <c r="I3" s="8"/>
    </row>
    <row r="4" spans="1:9" s="1" customFormat="1" x14ac:dyDescent="0.25">
      <c r="A4" s="4" t="s">
        <v>309</v>
      </c>
      <c r="B4" s="4" t="s">
        <v>323</v>
      </c>
      <c r="C4" s="4" t="s">
        <v>325</v>
      </c>
      <c r="D4" s="4" t="s">
        <v>327</v>
      </c>
      <c r="E4" s="4"/>
      <c r="F4" s="5"/>
      <c r="G4" s="6"/>
      <c r="H4" s="4"/>
      <c r="I4" s="8"/>
    </row>
    <row r="5" spans="1:9" s="1" customFormat="1" x14ac:dyDescent="0.25">
      <c r="A5" s="4" t="s">
        <v>421</v>
      </c>
      <c r="B5" s="4" t="s">
        <v>431</v>
      </c>
      <c r="C5" s="4" t="s">
        <v>432</v>
      </c>
      <c r="D5" s="4" t="s">
        <v>3</v>
      </c>
      <c r="E5" s="4"/>
      <c r="F5" s="5"/>
      <c r="G5" s="6"/>
      <c r="H5" s="4"/>
      <c r="I5" s="8"/>
    </row>
    <row r="6" spans="1:9" s="1" customFormat="1" x14ac:dyDescent="0.25">
      <c r="A6" s="4" t="s">
        <v>1422</v>
      </c>
      <c r="B6" s="4" t="s">
        <v>2232</v>
      </c>
      <c r="C6" s="4" t="s">
        <v>2233</v>
      </c>
      <c r="D6" s="4" t="s">
        <v>2231</v>
      </c>
      <c r="E6" s="4"/>
      <c r="F6" s="5"/>
      <c r="G6" s="6"/>
      <c r="H6" s="4"/>
      <c r="I6" s="8"/>
    </row>
    <row r="7" spans="1:9" s="1" customFormat="1" x14ac:dyDescent="0.25">
      <c r="A7" s="4" t="s">
        <v>1417</v>
      </c>
      <c r="B7" s="4" t="s">
        <v>2234</v>
      </c>
      <c r="C7" s="4" t="s">
        <v>2235</v>
      </c>
      <c r="D7" s="4" t="s">
        <v>2231</v>
      </c>
      <c r="E7" s="4"/>
      <c r="F7" s="5"/>
      <c r="G7" s="6"/>
      <c r="H7" s="4"/>
      <c r="I7" s="8"/>
    </row>
    <row r="8" spans="1:9" s="1" customFormat="1" x14ac:dyDescent="0.25">
      <c r="A8" s="4" t="s">
        <v>1401</v>
      </c>
      <c r="B8" s="4" t="s">
        <v>2236</v>
      </c>
      <c r="C8" s="4" t="s">
        <v>2237</v>
      </c>
      <c r="D8" s="4" t="s">
        <v>2231</v>
      </c>
      <c r="E8" s="4"/>
      <c r="F8" s="5"/>
      <c r="G8" s="6"/>
      <c r="H8" s="4"/>
      <c r="I8" s="8"/>
    </row>
    <row r="9" spans="1:9" s="1" customFormat="1" x14ac:dyDescent="0.25">
      <c r="A9" s="4" t="s">
        <v>1395</v>
      </c>
      <c r="B9" s="4" t="s">
        <v>2238</v>
      </c>
      <c r="C9" s="4" t="s">
        <v>2239</v>
      </c>
      <c r="D9" s="4" t="s">
        <v>2231</v>
      </c>
      <c r="E9" s="4"/>
      <c r="F9" s="5"/>
      <c r="G9" s="6"/>
      <c r="H9" s="4"/>
      <c r="I9" s="8"/>
    </row>
    <row r="10" spans="1:9" s="1" customFormat="1" x14ac:dyDescent="0.25">
      <c r="A10" s="4" t="s">
        <v>1387</v>
      </c>
      <c r="B10" s="4" t="s">
        <v>2240</v>
      </c>
      <c r="C10" s="4" t="s">
        <v>2241</v>
      </c>
      <c r="D10" s="4" t="s">
        <v>2231</v>
      </c>
      <c r="E10" s="4"/>
      <c r="F10" s="5"/>
      <c r="G10" s="6"/>
      <c r="H10" s="4"/>
      <c r="I10" s="8"/>
    </row>
    <row r="11" spans="1:9" s="1" customFormat="1" x14ac:dyDescent="0.25">
      <c r="A11" s="4" t="s">
        <v>1383</v>
      </c>
      <c r="B11" s="4" t="s">
        <v>2242</v>
      </c>
      <c r="C11" s="4" t="s">
        <v>2243</v>
      </c>
      <c r="D11" s="4" t="s">
        <v>2231</v>
      </c>
      <c r="E11" s="4"/>
      <c r="F11" s="5"/>
      <c r="G11" s="6"/>
      <c r="H11" s="4"/>
      <c r="I11" s="8"/>
    </row>
    <row r="12" spans="1:9" s="1" customFormat="1" x14ac:dyDescent="0.25">
      <c r="A12" s="4" t="s">
        <v>2244</v>
      </c>
      <c r="B12" s="4" t="s">
        <v>2245</v>
      </c>
      <c r="C12" s="4" t="s">
        <v>2246</v>
      </c>
      <c r="D12" s="4" t="s">
        <v>3</v>
      </c>
      <c r="E12" s="4"/>
      <c r="F12" s="5"/>
      <c r="G12" s="6"/>
      <c r="H12" s="4"/>
      <c r="I12" s="8"/>
    </row>
    <row r="13" spans="1:9" s="1" customFormat="1" x14ac:dyDescent="0.25">
      <c r="A13" s="4" t="s">
        <v>557</v>
      </c>
      <c r="B13" s="4" t="s">
        <v>2245</v>
      </c>
      <c r="C13" s="4" t="s">
        <v>2247</v>
      </c>
      <c r="D13" s="4" t="s">
        <v>3</v>
      </c>
      <c r="E13" s="4"/>
      <c r="F13" s="5"/>
      <c r="G13" s="6"/>
      <c r="H13" s="4"/>
      <c r="I13" s="8"/>
    </row>
    <row r="14" spans="1:9" s="1" customFormat="1" x14ac:dyDescent="0.25">
      <c r="A14" s="4" t="s">
        <v>546</v>
      </c>
      <c r="B14" s="4" t="s">
        <v>2248</v>
      </c>
      <c r="C14" s="4" t="s">
        <v>2249</v>
      </c>
      <c r="D14" s="4" t="s">
        <v>3</v>
      </c>
      <c r="E14" s="4"/>
      <c r="F14" s="5"/>
      <c r="G14" s="6"/>
      <c r="H14" s="4"/>
      <c r="I14" s="8"/>
    </row>
    <row r="15" spans="1:9" s="1" customFormat="1" x14ac:dyDescent="0.25">
      <c r="A15" s="4" t="s">
        <v>455</v>
      </c>
      <c r="B15" s="4" t="s">
        <v>2250</v>
      </c>
      <c r="C15" s="4" t="s">
        <v>2251</v>
      </c>
      <c r="D15" s="4" t="s">
        <v>3</v>
      </c>
      <c r="E15" s="4"/>
      <c r="F15" s="5"/>
      <c r="G15" s="6"/>
      <c r="H15" s="4"/>
      <c r="I15" s="8"/>
    </row>
    <row r="16" spans="1:9" s="1" customFormat="1" x14ac:dyDescent="0.25">
      <c r="A16" s="4" t="s">
        <v>433</v>
      </c>
      <c r="B16" s="4" t="s">
        <v>2252</v>
      </c>
      <c r="C16" s="4" t="s">
        <v>2253</v>
      </c>
      <c r="D16" s="4" t="s">
        <v>3</v>
      </c>
      <c r="E16" s="4"/>
      <c r="F16" s="5"/>
      <c r="G16" s="6"/>
      <c r="H16" s="4"/>
      <c r="I16" s="8"/>
    </row>
    <row r="17" spans="1:9" s="1" customFormat="1" x14ac:dyDescent="0.25">
      <c r="A17" s="4"/>
      <c r="B17" s="4"/>
      <c r="C17" s="4"/>
      <c r="D17" s="4"/>
      <c r="E17" s="4"/>
      <c r="F17" s="5"/>
      <c r="G17" s="6"/>
      <c r="H17" s="4"/>
      <c r="I17" s="8"/>
    </row>
    <row r="18" spans="1:9" s="1" customFormat="1" x14ac:dyDescent="0.25">
      <c r="A18" s="4"/>
      <c r="B18" s="4"/>
      <c r="C18" s="4"/>
      <c r="D18" s="4"/>
      <c r="E18" s="4"/>
      <c r="F18" s="5"/>
      <c r="G18" s="6"/>
      <c r="H18" s="4"/>
      <c r="I18" s="8"/>
    </row>
    <row r="19" spans="1:9" x14ac:dyDescent="0.25">
      <c r="A19" s="9" t="s">
        <v>2256</v>
      </c>
      <c r="B19" t="str">
        <f>VLOOKUP(LEFT(A19,4)&amp;"*",$A$1:$D$16, 2, FALSE)</f>
        <v>MAA DURGA STONE CRUSHING COMPANY</v>
      </c>
      <c r="C19" t="str">
        <f>VLOOKUP(LEFT(A19,4)&amp;"*",$A$1:$D$16, 3, FALSE)</f>
        <v>CHADWAS(Chadwas/Bidasar/Sujangarh)</v>
      </c>
      <c r="D19" t="str">
        <f>VLOOKUP(LEFT(A19,4)&amp;"*",$A$1:$D$16, 4, FALSE)</f>
        <v>MasonaryStone (Gitti)</v>
      </c>
    </row>
    <row r="20" spans="1:9" x14ac:dyDescent="0.25">
      <c r="A20"/>
    </row>
    <row r="21" spans="1:9" x14ac:dyDescent="0.25">
      <c r="A21"/>
    </row>
    <row r="22" spans="1:9" x14ac:dyDescent="0.25">
      <c r="A22"/>
    </row>
    <row r="23" spans="1:9" x14ac:dyDescent="0.25">
      <c r="A23"/>
    </row>
    <row r="24" spans="1:9" x14ac:dyDescent="0.25">
      <c r="A24"/>
    </row>
    <row r="25" spans="1:9" x14ac:dyDescent="0.25">
      <c r="A25"/>
    </row>
    <row r="26" spans="1:9" x14ac:dyDescent="0.25">
      <c r="A26"/>
    </row>
    <row r="27" spans="1:9" x14ac:dyDescent="0.25">
      <c r="A27"/>
    </row>
    <row r="28" spans="1:9" x14ac:dyDescent="0.25">
      <c r="A28"/>
    </row>
    <row r="29" spans="1:9" x14ac:dyDescent="0.25">
      <c r="A29"/>
    </row>
    <row r="30" spans="1:9" x14ac:dyDescent="0.25">
      <c r="A30"/>
    </row>
    <row r="31" spans="1:9" x14ac:dyDescent="0.25">
      <c r="A31"/>
    </row>
    <row r="32" spans="1:9" x14ac:dyDescent="0.25">
      <c r="A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</sheetData>
  <conditionalFormatting sqref="A19:A1048576">
    <cfRule type="duplicateValues" dxfId="1" priority="847"/>
  </conditionalFormatting>
  <conditionalFormatting sqref="A2189:A1048576">
    <cfRule type="duplicateValues" dxfId="0" priority="84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53195-13AD-4077-BE2A-98811721AA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lal Suthar</dc:creator>
  <cp:lastModifiedBy>Shankar lal Suthar</cp:lastModifiedBy>
  <cp:lastPrinted>2026-05-04T16:19:09Z</cp:lastPrinted>
  <dcterms:created xsi:type="dcterms:W3CDTF">2026-05-04T13:52:59Z</dcterms:created>
  <dcterms:modified xsi:type="dcterms:W3CDTF">2026-06-08T17:18:05Z</dcterms:modified>
</cp:coreProperties>
</file>